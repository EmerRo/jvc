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Personal\Desktop\PLANILLA 2025\planilla - boletas de pago AGOSTO\"/>
    </mc:Choice>
  </mc:AlternateContent>
  <xr:revisionPtr revIDLastSave="0" documentId="13_ncr:1_{A15F45DA-52A7-4528-9384-962C411A477C}" xr6:coauthVersionLast="47" xr6:coauthVersionMax="47" xr10:uidLastSave="{00000000-0000-0000-0000-000000000000}"/>
  <bookViews>
    <workbookView xWindow="-108" yWindow="-108" windowWidth="23256" windowHeight="12456" xr2:uid="{9D9ECA12-078A-4583-93F1-E3CBA2D2120E}"/>
  </bookViews>
  <sheets>
    <sheet name="AGOSTO" sheetId="19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afp2">'[1].xls)AFP'!$A$10:$G$161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A" hidden="1">#REF!</definedName>
    <definedName name="ADD">#REF!</definedName>
    <definedName name="ADELANTOS">#REF!</definedName>
    <definedName name="AFP">#REF!</definedName>
    <definedName name="ALM" hidden="1">#REF!</definedName>
    <definedName name="ALMACEN" hidden="1">#REF!</definedName>
    <definedName name="ALMACEN10" hidden="1">#REF!</definedName>
    <definedName name="ALONDRA">#REF!</definedName>
    <definedName name="animon">#REF!</definedName>
    <definedName name="ATACOCHA">#REF!</definedName>
    <definedName name="B">#REF!</definedName>
    <definedName name="BASE">[2]BASE!$A$22:$P$66</definedName>
    <definedName name="BASES">[2]BASE!$A$10:$P$17</definedName>
    <definedName name="caraveli">#REF!</definedName>
    <definedName name="com">#REF!</definedName>
    <definedName name="CONGEMIN">'[3]PLLA PAGO'!$A:$IV</definedName>
    <definedName name="CONSEMPL">#REF!</definedName>
    <definedName name="CONSOBRE">#REF!</definedName>
    <definedName name="CUADRO">#REF!</definedName>
    <definedName name="CUP">[4]Hoja1!#REF!</definedName>
    <definedName name="data">'[5]PLANILLA ENERO'!$A$136:$AM$236</definedName>
    <definedName name="datos">#REF!</definedName>
    <definedName name="DCTOVAC">#REF!</definedName>
    <definedName name="DDDDDD" hidden="1">#REF!</definedName>
    <definedName name="DDDDDDDDDDDDDDDDDDDD">#REF!</definedName>
    <definedName name="EMPLE">[2]PLANILLA!$B$70:$BH$77</definedName>
    <definedName name="EMPLEADOS">#REF!</definedName>
    <definedName name="FEC">[4]Hoja1!#REF!</definedName>
    <definedName name="FFF" hidden="1">#REF!</definedName>
    <definedName name="FH" hidden="1">#REF!</definedName>
    <definedName name="genaro">#REF!</definedName>
    <definedName name="GENERAL">[6]GENERAL!$A$9:$AF$183</definedName>
    <definedName name="GRLEMPL">#REF!</definedName>
    <definedName name="hua">[5]GRATIF.HUARON!$A:$IV</definedName>
    <definedName name="huaron">#REF!</definedName>
    <definedName name="INGRE">[4]Hoja1!#REF!</definedName>
    <definedName name="JJJ">'[7]PLANILLA OK.'!$A:$IV</definedName>
    <definedName name="JULIO">#REF!</definedName>
    <definedName name="KAD">#REF!</definedName>
    <definedName name="KEROSENE">#REF!</definedName>
    <definedName name="lily">'[8]PLANILLA OK.'!$A:$IV</definedName>
    <definedName name="LIMA">#REF!</definedName>
    <definedName name="LOCA">#REF!</definedName>
    <definedName name="LOCO">#REF!</definedName>
    <definedName name="LUZM">[9]planilla!$B$7:$AO$93</definedName>
    <definedName name="manu">#REF!</definedName>
    <definedName name="MAYO">'[10]PLLA PAGO'!$A:$IV</definedName>
    <definedName name="MILI">#REF!</definedName>
    <definedName name="OBREROS">'[6]PLANILLA OBREROS'!$A$12:$BM$236</definedName>
    <definedName name="otros">#REF!</definedName>
    <definedName name="P´LLA" hidden="1">#REF!</definedName>
    <definedName name="PAL">#REF!</definedName>
    <definedName name="PALM">#REF!</definedName>
    <definedName name="PALMI">#REF!</definedName>
    <definedName name="palmira">#REF!</definedName>
    <definedName name="PENSION">#REF!</definedName>
    <definedName name="PERSONAL">#REF!</definedName>
    <definedName name="PERSONAL.">#REF!</definedName>
    <definedName name="PERSONAL1">#REF!</definedName>
    <definedName name="PLANILLA">[2]PLANILLA!$B$15:$BH$58</definedName>
    <definedName name="pucarrajo">#REF!</definedName>
    <definedName name="QWERTYYUIIO" hidden="1">#REF!</definedName>
    <definedName name="rein">#REF!</definedName>
    <definedName name="RELACION">#REF!</definedName>
    <definedName name="REME">#REF!</definedName>
    <definedName name="remesa">#REF!</definedName>
    <definedName name="RET">#REF!</definedName>
    <definedName name="RST" hidden="1">#REF!</definedName>
    <definedName name="S" hidden="1">#REF!</definedName>
    <definedName name="SET" hidden="1">#REF!</definedName>
    <definedName name="sonia">'[11]PLANILLA OK'!$A:$IV</definedName>
    <definedName name="SS" hidden="1">#REF!</definedName>
    <definedName name="super...">#REF!</definedName>
    <definedName name="SUPER5">#REF!</definedName>
    <definedName name="SUPER6">#REF!</definedName>
    <definedName name="Supervisores">#REF!</definedName>
    <definedName name="TAREO">#REF!</definedName>
    <definedName name="TAREO1">'[12]TAREO MARZO'!$B$6:$BM$219</definedName>
    <definedName name="TR" hidden="1">#REF!</definedName>
    <definedName name="Trabajadores">#REF!</definedName>
    <definedName name="Trabajos">#REF!</definedName>
    <definedName name="TTT" hidden="1">#REF!</definedName>
    <definedName name="uni">#REF!</definedName>
    <definedName name="unidad">[13]INF!$D$4:$D$7</definedName>
    <definedName name="VACAENE">#REF!</definedName>
    <definedName name="VACEMPL">#REF!</definedName>
    <definedName name="VACOBRE">#REF!</definedName>
    <definedName name="VBDFG4ER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58" i="19" l="1"/>
  <c r="AY58" i="19"/>
  <c r="AR58" i="19"/>
  <c r="AN58" i="19"/>
  <c r="AM58" i="19"/>
  <c r="AL58" i="19"/>
  <c r="AK58" i="19"/>
  <c r="AJ58" i="19"/>
  <c r="AI58" i="19"/>
  <c r="AG58" i="19"/>
  <c r="AE58" i="19"/>
  <c r="AD58" i="19"/>
  <c r="AC58" i="19"/>
  <c r="AB58" i="19"/>
  <c r="AA58" i="19"/>
  <c r="Z58" i="19"/>
  <c r="Y58" i="19"/>
  <c r="V58" i="19"/>
  <c r="U58" i="19"/>
  <c r="T58" i="19"/>
  <c r="S58" i="19"/>
  <c r="BA49" i="19"/>
  <c r="AW49" i="19"/>
  <c r="X49" i="19"/>
  <c r="W49" i="19"/>
  <c r="Q49" i="19"/>
  <c r="R49" i="19" s="1"/>
  <c r="AF49" i="19" s="1"/>
  <c r="BA48" i="19"/>
  <c r="AW48" i="19"/>
  <c r="X48" i="19"/>
  <c r="W48" i="19"/>
  <c r="AF48" i="19" s="1"/>
  <c r="AV48" i="19" s="1"/>
  <c r="Q48" i="19"/>
  <c r="BA47" i="19"/>
  <c r="X47" i="19"/>
  <c r="W47" i="19"/>
  <c r="Q47" i="19"/>
  <c r="R47" i="19" s="1"/>
  <c r="AF47" i="19" s="1"/>
  <c r="BA46" i="19"/>
  <c r="X46" i="19"/>
  <c r="W46" i="19"/>
  <c r="Q46" i="19"/>
  <c r="R46" i="19" s="1"/>
  <c r="AF46" i="19" s="1"/>
  <c r="BA45" i="19"/>
  <c r="X45" i="19"/>
  <c r="W45" i="19"/>
  <c r="R45" i="19"/>
  <c r="AF45" i="19" s="1"/>
  <c r="Q45" i="19"/>
  <c r="BA44" i="19"/>
  <c r="AW44" i="19"/>
  <c r="AV44" i="19"/>
  <c r="AU44" i="19"/>
  <c r="X44" i="19"/>
  <c r="W44" i="19"/>
  <c r="Q44" i="19"/>
  <c r="R44" i="19" s="1"/>
  <c r="AF44" i="19" s="1"/>
  <c r="BA43" i="19"/>
  <c r="AW43" i="19"/>
  <c r="AV43" i="19"/>
  <c r="AU43" i="19"/>
  <c r="X43" i="19"/>
  <c r="W43" i="19"/>
  <c r="AF43" i="19" s="1"/>
  <c r="Q43" i="19"/>
  <c r="BA42" i="19"/>
  <c r="X42" i="19"/>
  <c r="W42" i="19"/>
  <c r="Q42" i="19"/>
  <c r="R42" i="19" s="1"/>
  <c r="AF42" i="19" s="1"/>
  <c r="BA41" i="19"/>
  <c r="AW41" i="19"/>
  <c r="AV41" i="19"/>
  <c r="AU41" i="19"/>
  <c r="X41" i="19"/>
  <c r="AF41" i="19" s="1"/>
  <c r="W41" i="19"/>
  <c r="R41" i="19"/>
  <c r="Q41" i="19"/>
  <c r="BA40" i="19"/>
  <c r="AW40" i="19"/>
  <c r="AV40" i="19"/>
  <c r="AU40" i="19"/>
  <c r="X40" i="19"/>
  <c r="W40" i="19"/>
  <c r="R40" i="19"/>
  <c r="AF40" i="19" s="1"/>
  <c r="Q40" i="19"/>
  <c r="BA39" i="19"/>
  <c r="AW39" i="19"/>
  <c r="AV39" i="19"/>
  <c r="AU39" i="19"/>
  <c r="X39" i="19"/>
  <c r="AF39" i="19" s="1"/>
  <c r="AT39" i="19" s="1"/>
  <c r="AX39" i="19" s="1"/>
  <c r="W39" i="19"/>
  <c r="R39" i="19"/>
  <c r="Q39" i="19"/>
  <c r="BA38" i="19"/>
  <c r="X38" i="19"/>
  <c r="W38" i="19"/>
  <c r="Q38" i="19"/>
  <c r="R38" i="19" s="1"/>
  <c r="AF38" i="19" s="1"/>
  <c r="BA37" i="19"/>
  <c r="AW37" i="19"/>
  <c r="AV37" i="19"/>
  <c r="AU37" i="19"/>
  <c r="X37" i="19"/>
  <c r="W37" i="19"/>
  <c r="R37" i="19"/>
  <c r="AF37" i="19" s="1"/>
  <c r="Q37" i="19"/>
  <c r="BA36" i="19"/>
  <c r="AW36" i="19"/>
  <c r="X36" i="19"/>
  <c r="AF36" i="19" s="1"/>
  <c r="W36" i="19"/>
  <c r="R36" i="19"/>
  <c r="Q36" i="19"/>
  <c r="BA35" i="19"/>
  <c r="X35" i="19"/>
  <c r="AF35" i="19" s="1"/>
  <c r="W35" i="19"/>
  <c r="Q35" i="19"/>
  <c r="R35" i="19" s="1"/>
  <c r="BA34" i="19"/>
  <c r="X34" i="19"/>
  <c r="W34" i="19"/>
  <c r="AF34" i="19" s="1"/>
  <c r="Q34" i="19"/>
  <c r="BA33" i="19"/>
  <c r="X33" i="19"/>
  <c r="AF33" i="19" s="1"/>
  <c r="W33" i="19"/>
  <c r="Q33" i="19"/>
  <c r="BA32" i="19"/>
  <c r="AW32" i="19"/>
  <c r="AV32" i="19"/>
  <c r="AU32" i="19"/>
  <c r="AX32" i="19" s="1"/>
  <c r="X32" i="19"/>
  <c r="W32" i="19"/>
  <c r="Q32" i="19"/>
  <c r="R32" i="19" s="1"/>
  <c r="AF32" i="19" s="1"/>
  <c r="BA31" i="19"/>
  <c r="AW31" i="19"/>
  <c r="AV31" i="19"/>
  <c r="AU31" i="19"/>
  <c r="W31" i="19"/>
  <c r="Q31" i="19"/>
  <c r="R31" i="19" s="1"/>
  <c r="AF31" i="19" s="1"/>
  <c r="BA30" i="19"/>
  <c r="X30" i="19"/>
  <c r="W30" i="19"/>
  <c r="Q30" i="19"/>
  <c r="R30" i="19" s="1"/>
  <c r="AF30" i="19" s="1"/>
  <c r="BA29" i="19"/>
  <c r="X29" i="19"/>
  <c r="W29" i="19"/>
  <c r="Q29" i="19"/>
  <c r="R29" i="19" s="1"/>
  <c r="AF29" i="19" s="1"/>
  <c r="BA28" i="19"/>
  <c r="AW28" i="19"/>
  <c r="AV28" i="19"/>
  <c r="AU28" i="19"/>
  <c r="X28" i="19"/>
  <c r="W28" i="19"/>
  <c r="Q28" i="19"/>
  <c r="R28" i="19" s="1"/>
  <c r="AF28" i="19" s="1"/>
  <c r="AH28" i="19" s="1"/>
  <c r="BA27" i="19"/>
  <c r="AW27" i="19"/>
  <c r="AU27" i="19"/>
  <c r="X27" i="19"/>
  <c r="W27" i="19"/>
  <c r="AF27" i="19" s="1"/>
  <c r="R27" i="19"/>
  <c r="Q27" i="19"/>
  <c r="BA26" i="19"/>
  <c r="X26" i="19"/>
  <c r="W26" i="19"/>
  <c r="Q26" i="19"/>
  <c r="R26" i="19" s="1"/>
  <c r="AF26" i="19" s="1"/>
  <c r="BA25" i="19"/>
  <c r="AW25" i="19"/>
  <c r="AV25" i="19"/>
  <c r="AU25" i="19"/>
  <c r="X25" i="19"/>
  <c r="W25" i="19"/>
  <c r="R25" i="19"/>
  <c r="AF25" i="19" s="1"/>
  <c r="AT25" i="19" s="1"/>
  <c r="AX25" i="19" s="1"/>
  <c r="Q25" i="19"/>
  <c r="BA24" i="19"/>
  <c r="AU24" i="19"/>
  <c r="AT24" i="19"/>
  <c r="X24" i="19"/>
  <c r="W24" i="19"/>
  <c r="Q24" i="19"/>
  <c r="R24" i="19" s="1"/>
  <c r="AF24" i="19" s="1"/>
  <c r="BA23" i="19"/>
  <c r="X23" i="19"/>
  <c r="W23" i="19"/>
  <c r="Q23" i="19"/>
  <c r="R23" i="19" s="1"/>
  <c r="AF23" i="19" s="1"/>
  <c r="BA22" i="19"/>
  <c r="AW22" i="19"/>
  <c r="AV22" i="19"/>
  <c r="AU22" i="19"/>
  <c r="AT22" i="19"/>
  <c r="AX22" i="19" s="1"/>
  <c r="X22" i="19"/>
  <c r="W22" i="19"/>
  <c r="Q22" i="19"/>
  <c r="R22" i="19" s="1"/>
  <c r="AF22" i="19" s="1"/>
  <c r="BA21" i="19"/>
  <c r="AW21" i="19"/>
  <c r="AV21" i="19"/>
  <c r="AU21" i="19"/>
  <c r="X21" i="19"/>
  <c r="W21" i="19"/>
  <c r="Q21" i="19"/>
  <c r="R21" i="19" s="1"/>
  <c r="AF21" i="19" s="1"/>
  <c r="BA20" i="19"/>
  <c r="X20" i="19"/>
  <c r="W20" i="19"/>
  <c r="R20" i="19"/>
  <c r="AF20" i="19" s="1"/>
  <c r="Q20" i="19"/>
  <c r="BA19" i="19"/>
  <c r="AW19" i="19"/>
  <c r="AV19" i="19"/>
  <c r="AU19" i="19"/>
  <c r="X19" i="19"/>
  <c r="AF19" i="19" s="1"/>
  <c r="Q19" i="19"/>
  <c r="BA18" i="19"/>
  <c r="X18" i="19"/>
  <c r="W18" i="19"/>
  <c r="R18" i="19"/>
  <c r="AF18" i="19" s="1"/>
  <c r="Q18" i="19"/>
  <c r="BA17" i="19"/>
  <c r="X17" i="19"/>
  <c r="W17" i="19"/>
  <c r="Q17" i="19"/>
  <c r="R17" i="19" s="1"/>
  <c r="AF17" i="19" s="1"/>
  <c r="BA16" i="19"/>
  <c r="AW16" i="19"/>
  <c r="AU16" i="19"/>
  <c r="AT16" i="19"/>
  <c r="AX16" i="19" s="1"/>
  <c r="AF16" i="19"/>
  <c r="AH16" i="19" s="1"/>
  <c r="AS16" i="19" s="1"/>
  <c r="X16" i="19"/>
  <c r="W16" i="19"/>
  <c r="Q16" i="19"/>
  <c r="BA15" i="19"/>
  <c r="AW15" i="19"/>
  <c r="AV15" i="19"/>
  <c r="AU15" i="19"/>
  <c r="X15" i="19"/>
  <c r="W15" i="19"/>
  <c r="Q15" i="19"/>
  <c r="R15" i="19" s="1"/>
  <c r="AF15" i="19" s="1"/>
  <c r="BA14" i="19"/>
  <c r="AW14" i="19"/>
  <c r="X14" i="19"/>
  <c r="W14" i="19"/>
  <c r="AF14" i="19" s="1"/>
  <c r="Q14" i="19"/>
  <c r="BA13" i="19"/>
  <c r="AW13" i="19"/>
  <c r="AV13" i="19"/>
  <c r="AU13" i="19"/>
  <c r="AF13" i="19"/>
  <c r="AT13" i="19" s="1"/>
  <c r="AX13" i="19" s="1"/>
  <c r="X13" i="19"/>
  <c r="W13" i="19"/>
  <c r="R13" i="19"/>
  <c r="Q13" i="19"/>
  <c r="BA12" i="19"/>
  <c r="X12" i="19"/>
  <c r="W12" i="19"/>
  <c r="Q12" i="19"/>
  <c r="BA11" i="19"/>
  <c r="X11" i="19"/>
  <c r="W11" i="19"/>
  <c r="Q11" i="19"/>
  <c r="R11" i="19" s="1"/>
  <c r="AF11" i="19" s="1"/>
  <c r="BA10" i="19"/>
  <c r="AW10" i="19"/>
  <c r="AV10" i="19"/>
  <c r="AU10" i="19"/>
  <c r="X10" i="19"/>
  <c r="W10" i="19"/>
  <c r="Q10" i="19"/>
  <c r="BA9" i="19"/>
  <c r="AQ9" i="19"/>
  <c r="X9" i="19"/>
  <c r="W9" i="19"/>
  <c r="Q9" i="19"/>
  <c r="R9" i="19" s="1"/>
  <c r="AF9" i="19" s="1"/>
  <c r="BA8" i="19"/>
  <c r="X8" i="19"/>
  <c r="W8" i="19"/>
  <c r="AF8" i="19" s="1"/>
  <c r="Q8" i="19"/>
  <c r="BA7" i="19"/>
  <c r="AW7" i="19"/>
  <c r="AU7" i="19"/>
  <c r="AF7" i="19"/>
  <c r="X7" i="19"/>
  <c r="W7" i="19"/>
  <c r="Q7" i="19"/>
  <c r="R7" i="19" s="1"/>
  <c r="AT27" i="19" l="1"/>
  <c r="AX27" i="19" s="1"/>
  <c r="AH27" i="19"/>
  <c r="AS27" i="19" s="1"/>
  <c r="F62" i="19" s="1"/>
  <c r="AW29" i="19"/>
  <c r="AV29" i="19"/>
  <c r="AU29" i="19"/>
  <c r="AT29" i="19"/>
  <c r="AX29" i="19" s="1"/>
  <c r="AH29" i="19"/>
  <c r="AS29" i="19" s="1"/>
  <c r="AW23" i="19"/>
  <c r="AV23" i="19"/>
  <c r="AU23" i="19"/>
  <c r="AT23" i="19"/>
  <c r="AX23" i="19" s="1"/>
  <c r="AQ23" i="19"/>
  <c r="AO23" i="19"/>
  <c r="AS23" i="19" s="1"/>
  <c r="AW33" i="19"/>
  <c r="AV33" i="19"/>
  <c r="AU33" i="19"/>
  <c r="AT33" i="19"/>
  <c r="AH33" i="19"/>
  <c r="AS33" i="19" s="1"/>
  <c r="AW20" i="19"/>
  <c r="AV20" i="19"/>
  <c r="AU20" i="19"/>
  <c r="AT20" i="19"/>
  <c r="AX20" i="19" s="1"/>
  <c r="AH20" i="19"/>
  <c r="AS20" i="19" s="1"/>
  <c r="AH47" i="19"/>
  <c r="AS47" i="19" s="1"/>
  <c r="AT17" i="19"/>
  <c r="AW17" i="19"/>
  <c r="AV17" i="19"/>
  <c r="AU17" i="19"/>
  <c r="AH17" i="19"/>
  <c r="AS17" i="19" s="1"/>
  <c r="AW38" i="19"/>
  <c r="AV38" i="19"/>
  <c r="AU38" i="19"/>
  <c r="AT38" i="19"/>
  <c r="AX38" i="19" s="1"/>
  <c r="AS38" i="19"/>
  <c r="AH38" i="19"/>
  <c r="AW35" i="19"/>
  <c r="AV35" i="19"/>
  <c r="AU35" i="19"/>
  <c r="AT35" i="19"/>
  <c r="AX35" i="19" s="1"/>
  <c r="AH35" i="19"/>
  <c r="AS35" i="19" s="1"/>
  <c r="AW18" i="19"/>
  <c r="AV18" i="19"/>
  <c r="AU18" i="19"/>
  <c r="AT18" i="19"/>
  <c r="AX18" i="19" s="1"/>
  <c r="AQ18" i="19"/>
  <c r="AO18" i="19"/>
  <c r="AS18" i="19" s="1"/>
  <c r="W58" i="19"/>
  <c r="AV49" i="19"/>
  <c r="AU49" i="19"/>
  <c r="AT49" i="19"/>
  <c r="AX49" i="19" s="1"/>
  <c r="AS49" i="19"/>
  <c r="AH49" i="19"/>
  <c r="AF12" i="19"/>
  <c r="AV36" i="19"/>
  <c r="AU36" i="19"/>
  <c r="AT36" i="19"/>
  <c r="AX36" i="19" s="1"/>
  <c r="AH36" i="19"/>
  <c r="AS36" i="19" s="1"/>
  <c r="AT44" i="19"/>
  <c r="AX44" i="19" s="1"/>
  <c r="AH44" i="19"/>
  <c r="AS44" i="19" s="1"/>
  <c r="AT40" i="19"/>
  <c r="AX40" i="19" s="1"/>
  <c r="AH40" i="19"/>
  <c r="AS40" i="19" s="1"/>
  <c r="AW47" i="19"/>
  <c r="AV47" i="19"/>
  <c r="AU47" i="19"/>
  <c r="AT47" i="19"/>
  <c r="AX47" i="19" s="1"/>
  <c r="AW30" i="19"/>
  <c r="AV30" i="19"/>
  <c r="AU30" i="19"/>
  <c r="AT30" i="19"/>
  <c r="AH30" i="19"/>
  <c r="AS30" i="19" s="1"/>
  <c r="AT21" i="19"/>
  <c r="AX21" i="19" s="1"/>
  <c r="AQ21" i="19"/>
  <c r="AP21" i="19"/>
  <c r="AP58" i="19" s="1"/>
  <c r="AO21" i="19"/>
  <c r="AS21" i="19" s="1"/>
  <c r="AX24" i="19"/>
  <c r="AT41" i="19"/>
  <c r="AX41" i="19" s="1"/>
  <c r="AH41" i="19"/>
  <c r="AS41" i="19" s="1"/>
  <c r="AQ32" i="19"/>
  <c r="AO32" i="19"/>
  <c r="AS32" i="19" s="1"/>
  <c r="AW45" i="19"/>
  <c r="AV45" i="19"/>
  <c r="AU45" i="19"/>
  <c r="AT45" i="19"/>
  <c r="AX45" i="19" s="1"/>
  <c r="AS45" i="19"/>
  <c r="AQ45" i="19"/>
  <c r="AO45" i="19"/>
  <c r="AW9" i="19"/>
  <c r="AV9" i="19"/>
  <c r="AU9" i="19"/>
  <c r="AT9" i="19"/>
  <c r="AX9" i="19" s="1"/>
  <c r="AW42" i="19"/>
  <c r="AV42" i="19"/>
  <c r="AU42" i="19"/>
  <c r="AT42" i="19"/>
  <c r="AX42" i="19" s="1"/>
  <c r="AH42" i="19"/>
  <c r="AS42" i="19" s="1"/>
  <c r="AO9" i="19"/>
  <c r="AS9" i="19" s="1"/>
  <c r="AF58" i="19"/>
  <c r="AO7" i="19"/>
  <c r="AS7" i="19" s="1"/>
  <c r="AT15" i="19"/>
  <c r="AX15" i="19" s="1"/>
  <c r="AH15" i="19"/>
  <c r="AS15" i="19" s="1"/>
  <c r="AQ7" i="19"/>
  <c r="X58" i="19"/>
  <c r="AT43" i="19"/>
  <c r="AX43" i="19" s="1"/>
  <c r="AQ43" i="19"/>
  <c r="AO43" i="19"/>
  <c r="AS43" i="19" s="1"/>
  <c r="AF10" i="19"/>
  <c r="AT7" i="19"/>
  <c r="AH25" i="19"/>
  <c r="AQ31" i="19"/>
  <c r="AO31" i="19"/>
  <c r="AS31" i="19" s="1"/>
  <c r="AS25" i="19"/>
  <c r="AT31" i="19"/>
  <c r="AX31" i="19" s="1"/>
  <c r="AV46" i="19"/>
  <c r="AU46" i="19"/>
  <c r="AT46" i="19"/>
  <c r="AX46" i="19" s="1"/>
  <c r="AS46" i="19"/>
  <c r="AQ46" i="19"/>
  <c r="AO46" i="19"/>
  <c r="AW46" i="19"/>
  <c r="AH39" i="19"/>
  <c r="AU8" i="19"/>
  <c r="AT8" i="19"/>
  <c r="AQ8" i="19"/>
  <c r="AO8" i="19"/>
  <c r="AS8" i="19" s="1"/>
  <c r="AW8" i="19"/>
  <c r="AV8" i="19"/>
  <c r="AW26" i="19"/>
  <c r="AV26" i="19"/>
  <c r="AU26" i="19"/>
  <c r="AT26" i="19"/>
  <c r="AX26" i="19" s="1"/>
  <c r="AQ26" i="19"/>
  <c r="AO26" i="19"/>
  <c r="AS26" i="19" s="1"/>
  <c r="AS39" i="19"/>
  <c r="AW24" i="19"/>
  <c r="AV24" i="19"/>
  <c r="AO24" i="19"/>
  <c r="R58" i="19"/>
  <c r="AQ24" i="19"/>
  <c r="AV14" i="19"/>
  <c r="AU14" i="19"/>
  <c r="AT14" i="19"/>
  <c r="AX14" i="19" s="1"/>
  <c r="AQ14" i="19"/>
  <c r="AO14" i="19"/>
  <c r="AS14" i="19" s="1"/>
  <c r="AS24" i="19"/>
  <c r="AU34" i="19"/>
  <c r="AT34" i="19"/>
  <c r="AX34" i="19" s="1"/>
  <c r="AQ34" i="19"/>
  <c r="AO34" i="19"/>
  <c r="AS34" i="19" s="1"/>
  <c r="AT19" i="19"/>
  <c r="AX19" i="19" s="1"/>
  <c r="AQ19" i="19"/>
  <c r="AS19" i="19" s="1"/>
  <c r="AO19" i="19"/>
  <c r="AV34" i="19"/>
  <c r="AO48" i="19"/>
  <c r="AW34" i="19"/>
  <c r="AQ48" i="19"/>
  <c r="AS48" i="19"/>
  <c r="AV11" i="19"/>
  <c r="AU11" i="19"/>
  <c r="AT11" i="19"/>
  <c r="AH11" i="19"/>
  <c r="AS11" i="19" s="1"/>
  <c r="AH13" i="19"/>
  <c r="AT48" i="19"/>
  <c r="AS13" i="19"/>
  <c r="AS28" i="19"/>
  <c r="AU48" i="19"/>
  <c r="AT28" i="19"/>
  <c r="AX28" i="19" s="1"/>
  <c r="AW11" i="19"/>
  <c r="AQ22" i="19"/>
  <c r="AO22" i="19"/>
  <c r="AS22" i="19" s="1"/>
  <c r="AT37" i="19"/>
  <c r="AX37" i="19" s="1"/>
  <c r="AQ37" i="19"/>
  <c r="AO37" i="19"/>
  <c r="AS37" i="19" s="1"/>
  <c r="F63" i="19" l="1"/>
  <c r="AX17" i="19"/>
  <c r="AO58" i="19"/>
  <c r="AX48" i="19"/>
  <c r="AX11" i="19"/>
  <c r="AT10" i="19"/>
  <c r="AX10" i="19" s="1"/>
  <c r="AH10" i="19"/>
  <c r="AH58" i="19" s="1"/>
  <c r="AX8" i="19"/>
  <c r="AX30" i="19"/>
  <c r="AU12" i="19"/>
  <c r="AU58" i="19" s="1"/>
  <c r="AW12" i="19"/>
  <c r="AW58" i="19" s="1"/>
  <c r="AV12" i="19"/>
  <c r="AV58" i="19" s="1"/>
  <c r="AT12" i="19"/>
  <c r="AX12" i="19" s="1"/>
  <c r="AS12" i="19"/>
  <c r="F64" i="19" s="1"/>
  <c r="AQ12" i="19"/>
  <c r="AQ58" i="19" s="1"/>
  <c r="AO12" i="19"/>
  <c r="AX7" i="19"/>
  <c r="AX33" i="19"/>
  <c r="AS10" i="19" l="1"/>
  <c r="AX58" i="19"/>
  <c r="AT58" i="19"/>
  <c r="F65" i="19" l="1"/>
  <c r="F66" i="19" s="1"/>
  <c r="AS58" i="1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Jhoseph Paucar</author>
  </authors>
  <commentList>
    <comment ref="X17" authorId="0" shapeId="0" xr:uid="{B1D20EAE-03A5-46BD-A24C-A795E1A42554}">
      <text>
        <r>
          <rPr>
            <b/>
            <sz val="9"/>
            <color indexed="81"/>
            <rFont val="Tahoma"/>
            <family val="2"/>
          </rPr>
          <t>Jhoseph Paucar:</t>
        </r>
        <r>
          <rPr>
            <sz val="9"/>
            <color indexed="81"/>
            <rFont val="Tahoma"/>
            <family val="2"/>
          </rPr>
          <t xml:space="preserve">
9 DIAS</t>
        </r>
      </text>
    </comment>
    <comment ref="X20" authorId="0" shapeId="0" xr:uid="{B6249326-2E47-41DE-8596-BC430D77C718}">
      <text>
        <r>
          <rPr>
            <b/>
            <sz val="9"/>
            <color indexed="81"/>
            <rFont val="Tahoma"/>
            <family val="2"/>
          </rPr>
          <t>Jhoseph Paucar:</t>
        </r>
        <r>
          <rPr>
            <sz val="9"/>
            <color indexed="81"/>
            <rFont val="Tahoma"/>
            <family val="2"/>
          </rPr>
          <t xml:space="preserve">
22 DIAS</t>
        </r>
      </text>
    </comment>
    <comment ref="X25" authorId="0" shapeId="0" xr:uid="{A1D2A2AC-1557-4364-A683-07C74D407EF0}">
      <text>
        <r>
          <rPr>
            <b/>
            <sz val="9"/>
            <color indexed="81"/>
            <rFont val="Tahoma"/>
            <family val="2"/>
          </rPr>
          <t>Jhoseph Paucar:</t>
        </r>
        <r>
          <rPr>
            <sz val="9"/>
            <color indexed="81"/>
            <rFont val="Tahoma"/>
            <family val="2"/>
          </rPr>
          <t xml:space="preserve">
11 DIAS</t>
        </r>
      </text>
    </comment>
    <comment ref="X30" authorId="0" shapeId="0" xr:uid="{F1CD84C0-D351-4816-83CC-BF400AEF65B4}">
      <text>
        <r>
          <rPr>
            <b/>
            <sz val="9"/>
            <color indexed="81"/>
            <rFont val="Tahoma"/>
            <family val="2"/>
          </rPr>
          <t>Jhoseph Paucar:</t>
        </r>
        <r>
          <rPr>
            <sz val="9"/>
            <color indexed="81"/>
            <rFont val="Tahoma"/>
            <family val="2"/>
          </rPr>
          <t xml:space="preserve">
3 DIAS</t>
        </r>
      </text>
    </comment>
    <comment ref="AD34" authorId="0" shapeId="0" xr:uid="{B42CD01A-7A24-4C39-8A4E-D3B1C4381A50}">
      <text>
        <r>
          <rPr>
            <b/>
            <sz val="9"/>
            <color indexed="81"/>
            <rFont val="Tahoma"/>
            <family val="2"/>
          </rPr>
          <t>Jhoseph Paucar:</t>
        </r>
        <r>
          <rPr>
            <sz val="9"/>
            <color indexed="81"/>
            <rFont val="Tahoma"/>
            <family val="2"/>
          </rPr>
          <t xml:space="preserve">
15  DIAS DE DM
</t>
        </r>
      </text>
    </comment>
    <comment ref="X47" authorId="0" shapeId="0" xr:uid="{86834E3F-A59C-436E-86AF-0689CB57148C}">
      <text>
        <r>
          <rPr>
            <b/>
            <sz val="9"/>
            <color indexed="81"/>
            <rFont val="Tahoma"/>
            <family val="2"/>
          </rPr>
          <t>Jhoseph Paucar:</t>
        </r>
        <r>
          <rPr>
            <sz val="9"/>
            <color indexed="81"/>
            <rFont val="Tahoma"/>
            <family val="2"/>
          </rPr>
          <t xml:space="preserve">
9 DIAS</t>
        </r>
      </text>
    </comment>
    <comment ref="X51" authorId="0" shapeId="0" xr:uid="{C46ED617-CF2A-47E2-A3E1-1F225AFF3E1E}">
      <text>
        <r>
          <rPr>
            <b/>
            <sz val="9"/>
            <color indexed="81"/>
            <rFont val="Tahoma"/>
            <family val="2"/>
          </rPr>
          <t>Jhoseph Paucar:</t>
        </r>
        <r>
          <rPr>
            <sz val="9"/>
            <color indexed="81"/>
            <rFont val="Tahoma"/>
            <family val="2"/>
          </rPr>
          <t xml:space="preserve">
9 DIAS</t>
        </r>
      </text>
    </comment>
    <comment ref="X52" authorId="0" shapeId="0" xr:uid="{F9FA4A30-31D4-4A01-8E54-D327F51D99CC}">
      <text>
        <r>
          <rPr>
            <b/>
            <sz val="9"/>
            <color indexed="81"/>
            <rFont val="Tahoma"/>
            <family val="2"/>
          </rPr>
          <t>Jhoseph Paucar:</t>
        </r>
        <r>
          <rPr>
            <sz val="9"/>
            <color indexed="81"/>
            <rFont val="Tahoma"/>
            <family val="2"/>
          </rPr>
          <t xml:space="preserve">
9 DIAS</t>
        </r>
      </text>
    </comment>
    <comment ref="X53" authorId="0" shapeId="0" xr:uid="{802F8C71-AC14-4FE2-B302-8CE1AC1BBE30}">
      <text>
        <r>
          <rPr>
            <b/>
            <sz val="9"/>
            <color indexed="81"/>
            <rFont val="Tahoma"/>
            <family val="2"/>
          </rPr>
          <t>Jhoseph Paucar:</t>
        </r>
        <r>
          <rPr>
            <sz val="9"/>
            <color indexed="81"/>
            <rFont val="Tahoma"/>
            <family val="2"/>
          </rPr>
          <t xml:space="preserve">
9 DIAS</t>
        </r>
      </text>
    </comment>
  </commentList>
</comments>
</file>

<file path=xl/sharedStrings.xml><?xml version="1.0" encoding="utf-8"?>
<sst xmlns="http://schemas.openxmlformats.org/spreadsheetml/2006/main" count="413" uniqueCount="160">
  <si>
    <t>DATOS DE LOS TRABAJADORES</t>
  </si>
  <si>
    <t>DIAS LIBRES PAGADOS</t>
  </si>
  <si>
    <t>BASICO</t>
  </si>
  <si>
    <t>NETO A PAGAR</t>
  </si>
  <si>
    <t>APORTACIONES DEL EMPLEADOR</t>
  </si>
  <si>
    <t>UNIDAD DE TRABAJO</t>
  </si>
  <si>
    <t>ONP 13%</t>
  </si>
  <si>
    <t>RETENCION DE 5TA CATEGORIA</t>
  </si>
  <si>
    <t>ADELANTOS</t>
  </si>
  <si>
    <t>AFP</t>
  </si>
  <si>
    <t>CUPP</t>
  </si>
  <si>
    <t>PENSION</t>
  </si>
  <si>
    <t>COMISION</t>
  </si>
  <si>
    <t>SEGURO</t>
  </si>
  <si>
    <t>ESSALUD 9%</t>
  </si>
  <si>
    <t>SCTR PENSIONES</t>
  </si>
  <si>
    <t>APELLIDOS Y NOMBRES</t>
  </si>
  <si>
    <t>DNI</t>
  </si>
  <si>
    <t>Categoria</t>
  </si>
  <si>
    <t>CARGO U OCUPACION</t>
  </si>
  <si>
    <t>FECHA DE INGRESO</t>
  </si>
  <si>
    <t>PERIODO MENSUAL</t>
  </si>
  <si>
    <t>TAREA POR SEMANA</t>
  </si>
  <si>
    <t>FECHA DE CESE</t>
  </si>
  <si>
    <t>INTEGRA</t>
  </si>
  <si>
    <t>UCHUCCHACUA</t>
  </si>
  <si>
    <t>OBRERO</t>
  </si>
  <si>
    <t>OPERARIO AMBIENTAL</t>
  </si>
  <si>
    <t>-</t>
  </si>
  <si>
    <t>CONDUCTOR</t>
  </si>
  <si>
    <t>PROFUTUR</t>
  </si>
  <si>
    <t>PASCO</t>
  </si>
  <si>
    <t>BONILLA ESPINOZA KELY ROSMERY</t>
  </si>
  <si>
    <t>EMPLEADO</t>
  </si>
  <si>
    <t>RESIDENTE</t>
  </si>
  <si>
    <t>CHAVEZ LOPE JHONNY MARTIN</t>
  </si>
  <si>
    <t>GERENTE COMERCIAL</t>
  </si>
  <si>
    <t>584231JCLVE0</t>
  </si>
  <si>
    <t>CHAVEZ LOPE MARCO ANTONIO JUNIOR</t>
  </si>
  <si>
    <t>CHAVEZ LOPE MICHAEL HERRY</t>
  </si>
  <si>
    <t>44461876</t>
  </si>
  <si>
    <t xml:space="preserve">CORDOVA SALVADOR YOMAR OLMER	</t>
  </si>
  <si>
    <t>OPERARIO PTARD</t>
  </si>
  <si>
    <t>RAURA</t>
  </si>
  <si>
    <t>DE LA CRUZ QUILCA ELVIS</t>
  </si>
  <si>
    <t>OPERARIO DE RESIDUOS</t>
  </si>
  <si>
    <t>ECHEVARRIA POLINO JAMEL</t>
  </si>
  <si>
    <t>681481JEPEI9</t>
  </si>
  <si>
    <t>FRANCISCO LIVIA RIVELINO ROSMEL</t>
  </si>
  <si>
    <t xml:space="preserve">PRIMA </t>
  </si>
  <si>
    <t>601021RFLNI5</t>
  </si>
  <si>
    <t xml:space="preserve">GIRON FERNANDEZ EDBER ANTONIO	</t>
  </si>
  <si>
    <t>CONDUCTOR MINA</t>
  </si>
  <si>
    <t>610211EGFON6</t>
  </si>
  <si>
    <t>GIRON MUÑOZ RONALD CHARLES</t>
  </si>
  <si>
    <t>HIDALGO SALCEDO JOEL</t>
  </si>
  <si>
    <t>554671JHSAC3</t>
  </si>
  <si>
    <t xml:space="preserve">HUACHOS AVILA ISAIAS RUSBEL	</t>
  </si>
  <si>
    <t>HUAMAN CANCHARI ABDON TELESFORO</t>
  </si>
  <si>
    <t>LEON FALCON JOEL</t>
  </si>
  <si>
    <t>LOPEZ PARIONA JEISON RICHARD</t>
  </si>
  <si>
    <t>622771JLPEI4</t>
  </si>
  <si>
    <t>SUPERVISOR DE OPERACIONES</t>
  </si>
  <si>
    <t>RODRIGUEZ MALVAS ANTONY RAUL</t>
  </si>
  <si>
    <t>ROJAS ESPIRITU WILVER</t>
  </si>
  <si>
    <t>ROJAS NUÑEZ BRAYAN WILMER</t>
  </si>
  <si>
    <t>SALVIO ATANACIO JUAN MANUEL</t>
  </si>
  <si>
    <t>SANTIAGO LUCAS CARLOS ENRIQUE</t>
  </si>
  <si>
    <t>HABITAT</t>
  </si>
  <si>
    <t>CHAVEZ LOPE CHARON MILAGROS</t>
  </si>
  <si>
    <t>LOPE LLANA ABEL AMADO</t>
  </si>
  <si>
    <t>04082710</t>
  </si>
  <si>
    <t>04214202</t>
  </si>
  <si>
    <t>MORENO NESTARES MICHAEL ELVIS</t>
  </si>
  <si>
    <t>PAGO NETO</t>
  </si>
  <si>
    <t>CAMACUARI LOPEZ ORLANDO JONAS</t>
  </si>
  <si>
    <t>643451MMNET0</t>
  </si>
  <si>
    <t>SUPERVISOR SSOMA</t>
  </si>
  <si>
    <t>BARRETO ALVAREZ ANIBAL JULIO</t>
  </si>
  <si>
    <t>625481ABARA5</t>
  </si>
  <si>
    <t>ELECTROMECANICO</t>
  </si>
  <si>
    <t>CUELLAR PIZARRO ANTONIO JOEL</t>
  </si>
  <si>
    <t>620001ACPLA1</t>
  </si>
  <si>
    <t>DOMINGUEZ GOMEZ VALERIANO</t>
  </si>
  <si>
    <t>554351VDGIE6</t>
  </si>
  <si>
    <t>VACACIONES</t>
  </si>
  <si>
    <t>FECHA DE SALIDA</t>
  </si>
  <si>
    <t>BERNARDO AMBROSIO EDVER LIMBER</t>
  </si>
  <si>
    <t>41698706</t>
  </si>
  <si>
    <t>598921EBANR0</t>
  </si>
  <si>
    <t>TOSCANO CALDERON ALCIDES LUIS</t>
  </si>
  <si>
    <t>46077833</t>
  </si>
  <si>
    <t>TIEMPO DE HORAS EXTRAS</t>
  </si>
  <si>
    <t>SOLIS CANTA STEFFANY SUSAN</t>
  </si>
  <si>
    <t>COORDINADORA SGI</t>
  </si>
  <si>
    <t>VARGAS HUACHO YOSMEL ELEAZAR</t>
  </si>
  <si>
    <t>60085664</t>
  </si>
  <si>
    <t>PLANILLA DEL MES DE ENERO 2025 DE SCORPION E.I.R.L.</t>
  </si>
  <si>
    <t>DESCANSO MEDICO</t>
  </si>
  <si>
    <t>N°</t>
  </si>
  <si>
    <t>JORNAL</t>
  </si>
  <si>
    <t>DIAS LABORADOS</t>
  </si>
  <si>
    <t>FERIADOS</t>
  </si>
  <si>
    <t>TOTAL DE DIAS TRABAJADOS</t>
  </si>
  <si>
    <t>REMUNERACIONES</t>
  </si>
  <si>
    <t>movilidad</t>
  </si>
  <si>
    <t>Horas extras 25%</t>
  </si>
  <si>
    <t>Asignacion familiar, 10% sueldo minimo vital 1130</t>
  </si>
  <si>
    <t>Vacaciones truncas</t>
  </si>
  <si>
    <t>Dias libres compensables</t>
  </si>
  <si>
    <t>Licencia por maternidad o paternidad</t>
  </si>
  <si>
    <t>Licencia con goce de haber</t>
  </si>
  <si>
    <t>Descanso medico subsidiado</t>
  </si>
  <si>
    <t>Licencia por paternidad</t>
  </si>
  <si>
    <t>TOTAL REMUNERACIONES</t>
  </si>
  <si>
    <t>APORTES TRABAJADORES DE RIESGO</t>
  </si>
  <si>
    <t>DESCUENTOS POR PENSION ALIMENTARIA</t>
  </si>
  <si>
    <t>TOTAL H.H</t>
  </si>
  <si>
    <t>Feriados2</t>
  </si>
  <si>
    <t>Vacaciones3</t>
  </si>
  <si>
    <t>CUELLAR QUISPE NAYELI JHOMARA</t>
  </si>
  <si>
    <t>ASISTENTE SGI</t>
  </si>
  <si>
    <t>669520NCQLS3</t>
  </si>
  <si>
    <t>MELGAREJO CARBAJAL CARLOS OTONIEL</t>
  </si>
  <si>
    <t>646521CMCGB3</t>
  </si>
  <si>
    <t>681521BRNSE9</t>
  </si>
  <si>
    <t>DSCTS</t>
  </si>
  <si>
    <t>HUARON</t>
  </si>
  <si>
    <t>ONP</t>
  </si>
  <si>
    <t>S.N.P.-S.P.P.P:</t>
  </si>
  <si>
    <t>S.N.P.-S.P.P.P:2</t>
  </si>
  <si>
    <t>ATAHUAMAN CHAVEZ DANIEL DANILO</t>
  </si>
  <si>
    <t>RESUMEN DE PAGO DEL MES</t>
  </si>
  <si>
    <t>649351DACHV1</t>
  </si>
  <si>
    <t>Bono</t>
  </si>
  <si>
    <t>POLIZA DE SEGURO D LEG. 688</t>
  </si>
  <si>
    <t>EPS. SCTR.</t>
  </si>
  <si>
    <t>LIMA HUILLCAS NANCY ELIZABETH</t>
  </si>
  <si>
    <t>AUXILIAR DE MEDIO AMBIENTE</t>
  </si>
  <si>
    <t>ZUNIGA SANTIAGO JOSE LUIS</t>
  </si>
  <si>
    <t>643330NLHAL7</t>
  </si>
  <si>
    <t>Horas extras 35%</t>
  </si>
  <si>
    <t>ENFERMERA</t>
  </si>
  <si>
    <t>GERENTE DE OPERACIONES</t>
  </si>
  <si>
    <t>ASISTENTE DE ADMINISTRACION Y LOGISTICA</t>
  </si>
  <si>
    <t>ATENCIO VILLANUEVA ROBERTO</t>
  </si>
  <si>
    <t>Columna1</t>
  </si>
  <si>
    <t>INGA ALCANTARA JULY ROXANA</t>
  </si>
  <si>
    <t>643650JIAAA3</t>
  </si>
  <si>
    <t>SINCHE TAIPE FRANKLIN</t>
  </si>
  <si>
    <t>642441FSTCP1</t>
  </si>
  <si>
    <t>YARANGA ROMERO JUAN</t>
  </si>
  <si>
    <t>GASPAR ZUÑIGA ALFREDO</t>
  </si>
  <si>
    <t>635791AGZPI4</t>
  </si>
  <si>
    <t>GERENTE DE ADMINISTRACION Y CONTABILIDAD</t>
  </si>
  <si>
    <t>MENDOZA GARCIA RICHARD CRISTIAN</t>
  </si>
  <si>
    <t>SUPERVISOR AMBIENTAL</t>
  </si>
  <si>
    <t>343601RNGDC0</t>
  </si>
  <si>
    <t>DEL 01/08/2025 AL 31/08/2025</t>
  </si>
  <si>
    <t>OSORIO HUAMAN DAYVIZ JHON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</si>
</sst>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S/&quot;* #,##0.00_ ;_ &quot;S/&quot;* \-#,##0.00_ ;_ &quot;S/&quot;* &quot;-&quot;??_ ;_ @_ "/>
    <numFmt numFmtId="43" formatCode="_ * #,##0.00_ ;_ * \-#,##0.00_ ;_ * &quot;-&quot;??_ ;_ @_ "/>
  </numFmts>
  <fonts count="16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u/>
      <sz val="14"/>
      <name val="Clarendon BT"/>
      <family val="1"/>
    </font>
    <font>
      <sz val="10"/>
      <color theme="5" tint="-0.249977111117893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FF00"/>
      <name val="Arial Narrow"/>
      <family val="2"/>
    </font>
    <font>
      <b/>
      <sz val="10"/>
      <color theme="1"/>
      <name val="Arial Narrow"/>
      <family val="2"/>
    </font>
    <font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9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9" fillId="0" borderId="0"/>
    <xf numFmtId="0" fontId="11" fillId="0" borderId="0"/>
  </cellStyleXfs>
  <cellXfs count="62">
    <xf numFmtId="0" fontId="0" fillId="0" borderId="0" xfId="0"/>
    <xf numFmtId="43" fontId="0" fillId="0" borderId="0" xfId="1" applyFont="1"/>
    <xf numFmtId="0" fontId="11" fillId="0" borderId="0" xfId="4"/>
    <xf numFmtId="0" fontId="2" fillId="0" borderId="0" xfId="4" applyFont="1" applyAlignment="1">
      <alignment horizontal="center"/>
    </xf>
    <xf numFmtId="0" fontId="10" fillId="0" borderId="0" xfId="4" applyFont="1"/>
    <xf numFmtId="0" fontId="12" fillId="5" borderId="5" xfId="4" applyFont="1" applyFill="1" applyBorder="1" applyAlignment="1">
      <alignment horizontal="center" vertical="center" wrapText="1"/>
    </xf>
    <xf numFmtId="0" fontId="7" fillId="2" borderId="6" xfId="4" applyFont="1" applyFill="1" applyBorder="1" applyAlignment="1">
      <alignment vertical="center"/>
    </xf>
    <xf numFmtId="0" fontId="7" fillId="2" borderId="6" xfId="2" applyFont="1" applyFill="1" applyBorder="1" applyAlignment="1">
      <alignment horizontal="center" vertical="center" wrapText="1"/>
    </xf>
    <xf numFmtId="0" fontId="13" fillId="3" borderId="6" xfId="4" applyFont="1" applyFill="1" applyBorder="1" applyAlignment="1">
      <alignment horizontal="center" vertical="center"/>
    </xf>
    <xf numFmtId="0" fontId="13" fillId="3" borderId="6" xfId="4" applyFont="1" applyFill="1" applyBorder="1" applyAlignment="1">
      <alignment horizontal="center" vertical="center" wrapText="1"/>
    </xf>
    <xf numFmtId="0" fontId="12" fillId="4" borderId="6" xfId="4" applyFont="1" applyFill="1" applyBorder="1" applyAlignment="1">
      <alignment horizontal="center" vertical="center" wrapText="1"/>
    </xf>
    <xf numFmtId="0" fontId="12" fillId="5" borderId="6" xfId="4" applyFont="1" applyFill="1" applyBorder="1" applyAlignment="1">
      <alignment horizontal="center" vertical="center" wrapText="1"/>
    </xf>
    <xf numFmtId="0" fontId="8" fillId="6" borderId="5" xfId="4" applyFont="1" applyFill="1" applyBorder="1" applyAlignment="1">
      <alignment vertical="center"/>
    </xf>
    <xf numFmtId="0" fontId="8" fillId="6" borderId="5" xfId="2" applyFont="1" applyFill="1" applyBorder="1" applyAlignment="1">
      <alignment horizontal="center" vertical="center" wrapText="1"/>
    </xf>
    <xf numFmtId="0" fontId="12" fillId="6" borderId="5" xfId="4" applyFont="1" applyFill="1" applyBorder="1" applyAlignment="1">
      <alignment horizontal="center" vertical="center" wrapText="1"/>
    </xf>
    <xf numFmtId="14" fontId="2" fillId="0" borderId="0" xfId="4" applyNumberFormat="1" applyFont="1" applyAlignment="1">
      <alignment horizontal="center"/>
    </xf>
    <xf numFmtId="14" fontId="7" fillId="2" borderId="6" xfId="2" applyNumberFormat="1" applyFont="1" applyFill="1" applyBorder="1" applyAlignment="1">
      <alignment horizontal="center" vertical="center" wrapText="1"/>
    </xf>
    <xf numFmtId="14" fontId="8" fillId="6" borderId="5" xfId="2" applyNumberFormat="1" applyFont="1" applyFill="1" applyBorder="1" applyAlignment="1">
      <alignment horizontal="center" vertical="center" wrapText="1"/>
    </xf>
    <xf numFmtId="14" fontId="11" fillId="0" borderId="0" xfId="4" applyNumberFormat="1"/>
    <xf numFmtId="17" fontId="2" fillId="0" borderId="0" xfId="4" applyNumberFormat="1" applyFont="1" applyAlignment="1">
      <alignment horizontal="center"/>
    </xf>
    <xf numFmtId="17" fontId="7" fillId="2" borderId="6" xfId="2" applyNumberFormat="1" applyFont="1" applyFill="1" applyBorder="1" applyAlignment="1">
      <alignment horizontal="center" vertical="center" wrapText="1"/>
    </xf>
    <xf numFmtId="17" fontId="8" fillId="6" borderId="5" xfId="2" applyNumberFormat="1" applyFont="1" applyFill="1" applyBorder="1" applyAlignment="1">
      <alignment horizontal="center" vertical="center" wrapText="1"/>
    </xf>
    <xf numFmtId="17" fontId="11" fillId="0" borderId="0" xfId="4" applyNumberFormat="1"/>
    <xf numFmtId="2" fontId="12" fillId="6" borderId="5" xfId="4" applyNumberFormat="1" applyFont="1" applyFill="1" applyBorder="1" applyAlignment="1">
      <alignment horizontal="center" vertical="center" wrapText="1"/>
    </xf>
    <xf numFmtId="2" fontId="12" fillId="6" borderId="5" xfId="4" applyNumberFormat="1" applyFont="1" applyFill="1" applyBorder="1" applyAlignment="1">
      <alignment horizontal="center" vertical="center"/>
    </xf>
    <xf numFmtId="4" fontId="8" fillId="6" borderId="5" xfId="2" applyNumberFormat="1" applyFont="1" applyFill="1" applyBorder="1" applyAlignment="1">
      <alignment horizontal="center" vertical="center" wrapText="1"/>
    </xf>
    <xf numFmtId="4" fontId="8" fillId="7" borderId="5" xfId="2" applyNumberFormat="1" applyFont="1" applyFill="1" applyBorder="1" applyAlignment="1">
      <alignment horizontal="center" vertical="center" wrapText="1"/>
    </xf>
    <xf numFmtId="4" fontId="12" fillId="6" borderId="5" xfId="4" applyNumberFormat="1" applyFont="1" applyFill="1" applyBorder="1" applyAlignment="1">
      <alignment horizontal="center" vertical="center" wrapText="1"/>
    </xf>
    <xf numFmtId="0" fontId="8" fillId="6" borderId="5" xfId="2" applyFont="1" applyFill="1" applyBorder="1" applyAlignment="1">
      <alignment horizontal="left" vertical="center" wrapText="1"/>
    </xf>
    <xf numFmtId="0" fontId="2" fillId="0" borderId="3" xfId="4" applyFont="1" applyBorder="1" applyAlignment="1">
      <alignment horizontal="center"/>
    </xf>
    <xf numFmtId="4" fontId="11" fillId="0" borderId="0" xfId="4" applyNumberFormat="1"/>
    <xf numFmtId="0" fontId="11" fillId="6" borderId="0" xfId="4" applyFill="1"/>
    <xf numFmtId="0" fontId="4" fillId="6" borderId="0" xfId="4" applyFont="1" applyFill="1"/>
    <xf numFmtId="0" fontId="14" fillId="0" borderId="0" xfId="4" applyFont="1"/>
    <xf numFmtId="0" fontId="0" fillId="0" borderId="5" xfId="4" applyFont="1" applyBorder="1"/>
    <xf numFmtId="4" fontId="14" fillId="0" borderId="0" xfId="4" applyNumberFormat="1" applyFont="1"/>
    <xf numFmtId="44" fontId="15" fillId="0" borderId="0" xfId="4" applyNumberFormat="1" applyFont="1"/>
    <xf numFmtId="44" fontId="14" fillId="9" borderId="5" xfId="4" applyNumberFormat="1" applyFont="1" applyFill="1" applyBorder="1"/>
    <xf numFmtId="44" fontId="11" fillId="0" borderId="0" xfId="4" applyNumberFormat="1"/>
    <xf numFmtId="4" fontId="12" fillId="10" borderId="5" xfId="4" applyNumberFormat="1" applyFont="1" applyFill="1" applyBorder="1" applyAlignment="1">
      <alignment horizontal="center" vertical="center" wrapText="1"/>
    </xf>
    <xf numFmtId="0" fontId="12" fillId="10" borderId="5" xfId="4" applyFont="1" applyFill="1" applyBorder="1" applyAlignment="1">
      <alignment horizontal="center" vertical="center" wrapText="1"/>
    </xf>
    <xf numFmtId="44" fontId="14" fillId="11" borderId="5" xfId="4" applyNumberFormat="1" applyFont="1" applyFill="1" applyBorder="1"/>
    <xf numFmtId="0" fontId="8" fillId="12" borderId="5" xfId="2" applyFont="1" applyFill="1" applyBorder="1" applyAlignment="1">
      <alignment horizontal="left" vertical="center" wrapText="1"/>
    </xf>
    <xf numFmtId="4" fontId="12" fillId="14" borderId="5" xfId="4" applyNumberFormat="1" applyFont="1" applyFill="1" applyBorder="1" applyAlignment="1">
      <alignment horizontal="center" vertical="center" wrapText="1"/>
    </xf>
    <xf numFmtId="43" fontId="1" fillId="0" borderId="0" xfId="1" applyFont="1"/>
    <xf numFmtId="0" fontId="0" fillId="0" borderId="0" xfId="4" applyFont="1"/>
    <xf numFmtId="2" fontId="13" fillId="6" borderId="5" xfId="4" applyNumberFormat="1" applyFont="1" applyFill="1" applyBorder="1" applyAlignment="1">
      <alignment horizontal="center" vertical="center"/>
    </xf>
    <xf numFmtId="0" fontId="8" fillId="14" borderId="5" xfId="2" applyFont="1" applyFill="1" applyBorder="1" applyAlignment="1">
      <alignment horizontal="left" vertical="center" wrapText="1"/>
    </xf>
    <xf numFmtId="4" fontId="12" fillId="9" borderId="5" xfId="4" applyNumberFormat="1" applyFont="1" applyFill="1" applyBorder="1" applyAlignment="1">
      <alignment horizontal="center" vertical="center" wrapText="1"/>
    </xf>
    <xf numFmtId="0" fontId="12" fillId="5" borderId="1" xfId="4" applyFont="1" applyFill="1" applyBorder="1" applyAlignment="1">
      <alignment horizontal="center" vertical="center" wrapText="1"/>
    </xf>
    <xf numFmtId="4" fontId="12" fillId="12" borderId="5" xfId="4" applyNumberFormat="1" applyFont="1" applyFill="1" applyBorder="1" applyAlignment="1">
      <alignment horizontal="center" vertical="center" wrapText="1"/>
    </xf>
    <xf numFmtId="4" fontId="12" fillId="13" borderId="5" xfId="4" applyNumberFormat="1" applyFont="1" applyFill="1" applyBorder="1" applyAlignment="1">
      <alignment horizontal="center" vertical="center" wrapText="1"/>
    </xf>
    <xf numFmtId="2" fontId="12" fillId="15" borderId="5" xfId="4" applyNumberFormat="1" applyFont="1" applyFill="1" applyBorder="1" applyAlignment="1">
      <alignment horizontal="center" vertical="center"/>
    </xf>
    <xf numFmtId="0" fontId="8" fillId="15" borderId="5" xfId="2" applyFont="1" applyFill="1" applyBorder="1" applyAlignment="1">
      <alignment horizontal="left" vertical="center" wrapText="1"/>
    </xf>
    <xf numFmtId="2" fontId="12" fillId="11" borderId="5" xfId="4" applyNumberFormat="1" applyFont="1" applyFill="1" applyBorder="1" applyAlignment="1">
      <alignment horizontal="center" vertical="center"/>
    </xf>
    <xf numFmtId="0" fontId="14" fillId="8" borderId="0" xfId="4" applyFont="1" applyFill="1" applyAlignment="1">
      <alignment horizontal="center"/>
    </xf>
    <xf numFmtId="0" fontId="2" fillId="0" borderId="5" xfId="4" applyFont="1" applyBorder="1" applyAlignment="1">
      <alignment horizontal="center"/>
    </xf>
    <xf numFmtId="0" fontId="3" fillId="0" borderId="0" xfId="2" applyFont="1" applyAlignment="1">
      <alignment horizontal="center" vertical="center"/>
    </xf>
    <xf numFmtId="0" fontId="2" fillId="0" borderId="2" xfId="4" applyFont="1" applyBorder="1" applyAlignment="1">
      <alignment horizontal="center"/>
    </xf>
    <xf numFmtId="0" fontId="2" fillId="0" borderId="3" xfId="4" applyFont="1" applyBorder="1" applyAlignment="1">
      <alignment horizontal="center"/>
    </xf>
    <xf numFmtId="0" fontId="2" fillId="0" borderId="4" xfId="4" applyFont="1" applyBorder="1" applyAlignment="1">
      <alignment horizontal="center"/>
    </xf>
    <xf numFmtId="0" fontId="2" fillId="0" borderId="1" xfId="4" applyFont="1" applyBorder="1" applyAlignment="1">
      <alignment horizontal="center"/>
    </xf>
  </cellXfs>
  <cellStyles count="5">
    <cellStyle name="Millares" xfId="1" builtinId="3"/>
    <cellStyle name="Normal" xfId="0" builtinId="0"/>
    <cellStyle name="Normal 2" xfId="3" xr:uid="{84090577-3550-4C47-AE0E-86F8DD143C10}"/>
    <cellStyle name="Normal 3" xfId="4" xr:uid="{B6BB4C33-E4F8-489B-8CE2-337B921CB63E}"/>
    <cellStyle name="Normal 5" xfId="2" xr:uid="{F338426A-656F-4D37-BDBB-855CFA9C6C5D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6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4" formatCode="#,##0.00"/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9" tint="-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4" formatCode="#,##0.00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22" formatCode="mmm\-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numFmt numFmtId="164" formatCode="d/mm/yyyy"/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Narrow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4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256056</xdr:colOff>
      <xdr:row>0</xdr:row>
      <xdr:rowOff>0</xdr:rowOff>
    </xdr:from>
    <xdr:to>
      <xdr:col>1</xdr:col>
      <xdr:colOff>1882588</xdr:colOff>
      <xdr:row>3</xdr:row>
      <xdr:rowOff>149834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97AC1A-4BE1-4CD9-BC74-4783A33D5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6056" y="0"/>
          <a:ext cx="1946572" cy="6527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karina\PROMISER%20S.A.C.%202008\MINA%20ATACOCHA\PLANILLAS\PLANILLA_MES_DE_JUNIO%20atacoch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ngemin%20Carmen\PLANILLA\A&#209;O%202016\OCTUBRE\CONSULTING\HUANTAJALLA\PLANILLA\PLLA%202013\MAYO\5.%20MODELO%20BOLET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A79BC7F\PLLA%20ABRIL%202008%20-%20LI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729573C\PLANILLA%20INTEGRAL%20%20PARA%20DECLARACION%20MARZO%20PD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37160EAE\copi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2648EE8\PLANILLA%20DEL%20MES%20DE%20SETIEMBRE%20actu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mail.google.com/mail/Documents%20and%20Settings/Administracion/Mis%20documentos/PATH/DATOS%20PERSONAL/Documents%20and%20Settings/Administrador/Configuraci&#243;n%20local/Temp/PLANILLA%20Juni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7C0C7E9\Admi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JHONY\Planilla%20Jo%20-%2002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A79BC7F\PLLA%20MAYO%202008%20-%20LIMA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LANILLAS%20%20DE%20ANTAPITE%202003\PLANILLA%20JUNIO-04%20ANTAPITE%20OK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3\payroll\Users\jhuerta\Downloads\Users\USUARIO\Desktop\Users\PC\AppData\Local\Microsoft\Windows\Temporary%20Internet%20Files\Low\Content.IE5\VRSJABC0\PLANILLA%20MARZO%20ATACOCHA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corpion643-my.sharepoint.com/personal/administracion_scorpion643_onmicrosoft_com/Documents/General/01.%20%202023/04%20RR.HH/04%20Obligaciones%20Laborales/04%20Abril/03%20Raura/PLANILLA_MINSUR.xlsm" TargetMode="External"/><Relationship Id="rId1" Type="http://schemas.openxmlformats.org/officeDocument/2006/relationships/externalLinkPath" Target="https://scorpion643-my.sharepoint.com/personal/administracion_scorpion643_onmicrosoft_com/Documents/General/01.%20%202024/04%20RR.HH/04%20Obligaciones%20Laborales/04%20Abril/03%20Raura/PLANILLA_MINSU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A DE QUINTA CATEGORIA"/>
      <sheetName val=".xls)AFP"/>
      <sheetName val="TAREO JUNIO"/>
      <sheetName val="GENERAL"/>
      <sheetName val="PLANILLA EMPLEADOS"/>
      <sheetName val="PLANILLA OBREROS"/>
      <sheetName val="CONCESIONARIOS "/>
      <sheetName val="BOLETAS OBREROS"/>
      <sheetName val="BOLETAS EMPLEADOS"/>
      <sheetName val="ADELANTO VACACIONES"/>
      <sheetName val="RESUMEN PLANILLAS"/>
      <sheetName val="CONTROL DE TAREAS"/>
      <sheetName val="SCTR PENSION"/>
      <sheetName val="SCTR SALUD1"/>
      <sheetName val="SEGURO DE PROTECCION DFAMILAIR"/>
    </sheetNames>
    <sheetDataSet>
      <sheetData sheetId="0" refreshError="1"/>
      <sheetData sheetId="1">
        <row r="10">
          <cell r="D10" t="str">
            <v>OBLIGATORIO</v>
          </cell>
          <cell r="E10" t="str">
            <v>COMISION</v>
          </cell>
          <cell r="F10" t="str">
            <v>PRIMA</v>
          </cell>
          <cell r="G10" t="str">
            <v>FECHA DE INGRESO A LA AFP</v>
          </cell>
        </row>
        <row r="11">
          <cell r="A11">
            <v>1</v>
          </cell>
          <cell r="B11" t="str">
            <v>ACOSTA SAPALLANAY JUAN</v>
          </cell>
          <cell r="C11" t="str">
            <v>ONP</v>
          </cell>
        </row>
        <row r="12">
          <cell r="A12">
            <v>2</v>
          </cell>
          <cell r="B12" t="str">
            <v>AGUILAR CHAMORRO NILES CARLOS</v>
          </cell>
          <cell r="C12" t="str">
            <v>HZ</v>
          </cell>
          <cell r="D12">
            <v>0.12</v>
          </cell>
          <cell r="E12">
            <v>1.95E-2</v>
          </cell>
          <cell r="F12">
            <v>8.8000000000000005E-3</v>
          </cell>
        </row>
        <row r="13">
          <cell r="A13">
            <v>3</v>
          </cell>
          <cell r="B13" t="str">
            <v>AGUILAR SINCHE MARCELINO</v>
          </cell>
          <cell r="C13" t="str">
            <v>ONP</v>
          </cell>
        </row>
        <row r="14">
          <cell r="A14">
            <v>4</v>
          </cell>
          <cell r="B14" t="str">
            <v>ALANIA BERNALDO VIDAL</v>
          </cell>
          <cell r="C14" t="str">
            <v>HZ</v>
          </cell>
          <cell r="D14">
            <v>0.12</v>
          </cell>
          <cell r="E14">
            <v>1.95E-2</v>
          </cell>
          <cell r="F14">
            <v>8.8000000000000005E-3</v>
          </cell>
        </row>
        <row r="15">
          <cell r="A15">
            <v>5</v>
          </cell>
          <cell r="B15" t="str">
            <v>ALANIA SANTOS ELVIS</v>
          </cell>
          <cell r="C15" t="str">
            <v>HZ</v>
          </cell>
          <cell r="D15">
            <v>0.12</v>
          </cell>
          <cell r="E15">
            <v>1.95E-2</v>
          </cell>
          <cell r="F15">
            <v>8.8000000000000005E-3</v>
          </cell>
        </row>
        <row r="16">
          <cell r="A16">
            <v>6</v>
          </cell>
          <cell r="B16" t="str">
            <v>ALANIA TRAVEZAÑO, JORGE</v>
          </cell>
          <cell r="C16" t="str">
            <v>PR</v>
          </cell>
          <cell r="D16">
            <v>0.12</v>
          </cell>
          <cell r="E16">
            <v>1.4999999999999999E-2</v>
          </cell>
          <cell r="F16">
            <v>8.6999999999999994E-3</v>
          </cell>
        </row>
        <row r="17">
          <cell r="A17">
            <v>7</v>
          </cell>
          <cell r="B17" t="str">
            <v>ALFARO BERNAOLA ANGEL JESUS</v>
          </cell>
          <cell r="C17" t="str">
            <v>HZ</v>
          </cell>
          <cell r="D17">
            <v>0.12</v>
          </cell>
          <cell r="E17">
            <v>1.95E-2</v>
          </cell>
          <cell r="F17">
            <v>8.8000000000000005E-3</v>
          </cell>
        </row>
        <row r="18">
          <cell r="A18">
            <v>8</v>
          </cell>
          <cell r="B18" t="str">
            <v>ALVAREZ ALIAGA ARNALDO</v>
          </cell>
          <cell r="C18" t="str">
            <v>HZ</v>
          </cell>
          <cell r="D18">
            <v>0.12</v>
          </cell>
          <cell r="E18">
            <v>1.95E-2</v>
          </cell>
          <cell r="F18">
            <v>8.8000000000000005E-3</v>
          </cell>
        </row>
        <row r="19">
          <cell r="A19">
            <v>9</v>
          </cell>
          <cell r="B19" t="str">
            <v>ALVAREZ CRUZ FRANK AMERICO</v>
          </cell>
          <cell r="C19" t="str">
            <v>PF</v>
          </cell>
          <cell r="D19">
            <v>0.12</v>
          </cell>
          <cell r="E19">
            <v>1.9800000000000002E-2</v>
          </cell>
          <cell r="F19">
            <v>8.9999999999999993E-3</v>
          </cell>
        </row>
        <row r="20">
          <cell r="A20">
            <v>10</v>
          </cell>
          <cell r="B20" t="str">
            <v>ANTONIO GARCIA WILMER FREDY</v>
          </cell>
          <cell r="C20" t="str">
            <v>PF</v>
          </cell>
          <cell r="D20">
            <v>0.12</v>
          </cell>
          <cell r="E20">
            <v>1.9800000000000002E-2</v>
          </cell>
          <cell r="F20">
            <v>8.9999999999999993E-3</v>
          </cell>
        </row>
        <row r="21">
          <cell r="A21">
            <v>11</v>
          </cell>
          <cell r="B21" t="str">
            <v>AQUINO ALANYA LUIS JUAN</v>
          </cell>
          <cell r="C21" t="str">
            <v>HZ</v>
          </cell>
          <cell r="D21">
            <v>0.12</v>
          </cell>
          <cell r="E21">
            <v>1.95E-2</v>
          </cell>
          <cell r="F21">
            <v>8.8000000000000005E-3</v>
          </cell>
        </row>
        <row r="22">
          <cell r="A22">
            <v>12</v>
          </cell>
          <cell r="B22" t="str">
            <v>AQUINO TACZA RAUL</v>
          </cell>
          <cell r="C22" t="str">
            <v>IN</v>
          </cell>
          <cell r="D22">
            <v>0.12</v>
          </cell>
          <cell r="E22">
            <v>1.7999999999999999E-2</v>
          </cell>
          <cell r="F22">
            <v>8.8000000000000005E-3</v>
          </cell>
        </row>
        <row r="23">
          <cell r="A23">
            <v>13</v>
          </cell>
          <cell r="B23" t="str">
            <v>ARANDA SANTOS BARTOLOME</v>
          </cell>
          <cell r="C23" t="str">
            <v>ONP</v>
          </cell>
        </row>
        <row r="24">
          <cell r="A24">
            <v>14</v>
          </cell>
          <cell r="B24" t="str">
            <v>ARIAS VERTIZ EDWIN LUÍS</v>
          </cell>
          <cell r="C24" t="str">
            <v>HZ</v>
          </cell>
          <cell r="D24">
            <v>0.12</v>
          </cell>
          <cell r="E24">
            <v>1.95E-2</v>
          </cell>
          <cell r="F24">
            <v>8.8000000000000005E-3</v>
          </cell>
        </row>
        <row r="25">
          <cell r="A25">
            <v>15</v>
          </cell>
          <cell r="B25" t="str">
            <v>ARZAPALO VILLAR CARLOS ERNESTO</v>
          </cell>
          <cell r="C25" t="str">
            <v>ONP</v>
          </cell>
        </row>
        <row r="26">
          <cell r="A26">
            <v>16</v>
          </cell>
          <cell r="B26" t="str">
            <v>ASENCIO GONZALES ENDERZON ELVIS</v>
          </cell>
          <cell r="C26" t="str">
            <v>IN</v>
          </cell>
          <cell r="D26">
            <v>0.12</v>
          </cell>
          <cell r="E26">
            <v>1.7999999999999999E-2</v>
          </cell>
          <cell r="F26">
            <v>8.8000000000000005E-3</v>
          </cell>
        </row>
        <row r="27">
          <cell r="A27">
            <v>17</v>
          </cell>
          <cell r="B27" t="str">
            <v>BASILIO ROQUE JHONY WALTER</v>
          </cell>
          <cell r="C27" t="str">
            <v>HZ</v>
          </cell>
          <cell r="D27">
            <v>0.12</v>
          </cell>
          <cell r="E27">
            <v>1.95E-2</v>
          </cell>
          <cell r="F27">
            <v>8.8000000000000005E-3</v>
          </cell>
        </row>
        <row r="28">
          <cell r="A28">
            <v>18</v>
          </cell>
          <cell r="B28" t="str">
            <v>BELTRAN CASTRO RENE WILY</v>
          </cell>
          <cell r="C28" t="str">
            <v>PF</v>
          </cell>
          <cell r="D28">
            <v>0.12</v>
          </cell>
          <cell r="E28">
            <v>1.9800000000000002E-2</v>
          </cell>
          <cell r="F28">
            <v>8.9999999999999993E-3</v>
          </cell>
        </row>
        <row r="29">
          <cell r="A29">
            <v>19</v>
          </cell>
          <cell r="B29" t="str">
            <v>BENDEZU REZA SAUL JUAN</v>
          </cell>
          <cell r="C29" t="str">
            <v>HZ</v>
          </cell>
          <cell r="D29">
            <v>0.12</v>
          </cell>
          <cell r="E29">
            <v>1.95E-2</v>
          </cell>
          <cell r="F29">
            <v>8.8000000000000005E-3</v>
          </cell>
        </row>
        <row r="30">
          <cell r="A30">
            <v>20</v>
          </cell>
          <cell r="B30" t="str">
            <v>BERNACHEA VENTOSILLA PABLO JUBENAL</v>
          </cell>
          <cell r="C30" t="str">
            <v>ONP</v>
          </cell>
        </row>
        <row r="31">
          <cell r="A31">
            <v>21</v>
          </cell>
          <cell r="B31" t="str">
            <v>BERROSPI MONTALVO ULISES</v>
          </cell>
          <cell r="C31" t="str">
            <v>HZ</v>
          </cell>
          <cell r="D31">
            <v>0.12</v>
          </cell>
          <cell r="E31">
            <v>1.95E-2</v>
          </cell>
          <cell r="F31">
            <v>8.8000000000000005E-3</v>
          </cell>
        </row>
        <row r="32">
          <cell r="A32">
            <v>22</v>
          </cell>
          <cell r="B32" t="str">
            <v>BLANCO VALERIO ELIO CESAR</v>
          </cell>
          <cell r="C32" t="str">
            <v>HZ</v>
          </cell>
          <cell r="D32">
            <v>0.12</v>
          </cell>
          <cell r="E32">
            <v>1.95E-2</v>
          </cell>
          <cell r="F32">
            <v>8.8000000000000005E-3</v>
          </cell>
        </row>
        <row r="33">
          <cell r="A33">
            <v>23</v>
          </cell>
          <cell r="B33" t="str">
            <v>BORJA VALLE HENRRY SEGUNDINO</v>
          </cell>
          <cell r="C33" t="str">
            <v>HZ</v>
          </cell>
          <cell r="D33">
            <v>0.12</v>
          </cell>
          <cell r="E33">
            <v>1.95E-2</v>
          </cell>
          <cell r="F33">
            <v>8.8000000000000005E-3</v>
          </cell>
        </row>
        <row r="34">
          <cell r="A34">
            <v>24</v>
          </cell>
          <cell r="B34" t="str">
            <v>BRUNO ROJAS ELMER RAUL</v>
          </cell>
          <cell r="C34" t="str">
            <v>ONP</v>
          </cell>
        </row>
        <row r="35">
          <cell r="A35">
            <v>25</v>
          </cell>
          <cell r="B35" t="str">
            <v>CABELLO FERNANDEZ JAIME MAYER</v>
          </cell>
          <cell r="C35" t="str">
            <v>PR</v>
          </cell>
          <cell r="D35">
            <v>0.12</v>
          </cell>
          <cell r="E35">
            <v>1.4999999999999999E-2</v>
          </cell>
          <cell r="F35">
            <v>8.6999999999999994E-3</v>
          </cell>
        </row>
        <row r="36">
          <cell r="A36">
            <v>26</v>
          </cell>
          <cell r="B36" t="str">
            <v>CABELLO PALPA,JOSE LUIS</v>
          </cell>
          <cell r="C36" t="str">
            <v>ONP</v>
          </cell>
        </row>
        <row r="37">
          <cell r="A37">
            <v>27</v>
          </cell>
          <cell r="B37" t="str">
            <v>CAIRO  HURTADO RODRIGO VICTOR</v>
          </cell>
          <cell r="C37" t="str">
            <v>PF</v>
          </cell>
          <cell r="D37">
            <v>0.12</v>
          </cell>
          <cell r="E37">
            <v>1.9800000000000002E-2</v>
          </cell>
          <cell r="F37">
            <v>8.9999999999999993E-3</v>
          </cell>
        </row>
        <row r="38">
          <cell r="A38">
            <v>28</v>
          </cell>
          <cell r="B38" t="str">
            <v>CALDERON MINA ROGER</v>
          </cell>
          <cell r="C38" t="str">
            <v>ONP</v>
          </cell>
        </row>
        <row r="39">
          <cell r="A39">
            <v>29</v>
          </cell>
          <cell r="B39" t="str">
            <v>CALZADA REYNOSO HUGO WILMER</v>
          </cell>
          <cell r="C39" t="str">
            <v>ONP</v>
          </cell>
        </row>
        <row r="40">
          <cell r="A40">
            <v>30</v>
          </cell>
          <cell r="B40" t="str">
            <v>CAMPOS ILDELFONSO CLEVER EDGAR</v>
          </cell>
          <cell r="C40" t="str">
            <v>PF</v>
          </cell>
          <cell r="D40">
            <v>0.12</v>
          </cell>
          <cell r="E40">
            <v>1.9800000000000002E-2</v>
          </cell>
          <cell r="F40">
            <v>8.9999999999999993E-3</v>
          </cell>
        </row>
        <row r="41">
          <cell r="A41">
            <v>31</v>
          </cell>
          <cell r="B41" t="str">
            <v>CAPCHA MALPARTIDA ROBERT JHONY</v>
          </cell>
          <cell r="C41" t="str">
            <v>PF</v>
          </cell>
          <cell r="D41">
            <v>0.12</v>
          </cell>
          <cell r="E41">
            <v>1.9800000000000002E-2</v>
          </cell>
          <cell r="F41">
            <v>8.9999999999999993E-3</v>
          </cell>
        </row>
        <row r="42">
          <cell r="A42">
            <v>32</v>
          </cell>
          <cell r="B42" t="str">
            <v>CARBAJAL JORGE VICENTE</v>
          </cell>
          <cell r="C42" t="str">
            <v>PF</v>
          </cell>
          <cell r="D42">
            <v>0.12</v>
          </cell>
          <cell r="E42">
            <v>1.9800000000000002E-2</v>
          </cell>
          <cell r="F42">
            <v>8.9999999999999993E-3</v>
          </cell>
        </row>
        <row r="43">
          <cell r="A43">
            <v>33</v>
          </cell>
          <cell r="B43" t="str">
            <v>CARHUAPOMA TRUJILLO EPIFANIO JUAN</v>
          </cell>
          <cell r="C43" t="str">
            <v>PR</v>
          </cell>
          <cell r="D43">
            <v>0.12</v>
          </cell>
          <cell r="E43">
            <v>1.4999999999999999E-2</v>
          </cell>
          <cell r="F43">
            <v>8.6999999999999994E-3</v>
          </cell>
        </row>
        <row r="44">
          <cell r="A44">
            <v>34</v>
          </cell>
          <cell r="B44" t="str">
            <v>CCANA  ROJO  PAUL</v>
          </cell>
          <cell r="C44" t="str">
            <v>IN</v>
          </cell>
          <cell r="D44">
            <v>0.12</v>
          </cell>
          <cell r="E44">
            <v>1.7999999999999999E-2</v>
          </cell>
          <cell r="F44">
            <v>8.8000000000000005E-3</v>
          </cell>
        </row>
        <row r="45">
          <cell r="A45">
            <v>35</v>
          </cell>
          <cell r="B45" t="str">
            <v>CHANCAS TORRES FILEMON</v>
          </cell>
          <cell r="C45" t="str">
            <v>ONP</v>
          </cell>
        </row>
        <row r="46">
          <cell r="A46">
            <v>36</v>
          </cell>
          <cell r="B46" t="str">
            <v>CHAUPIN CALLUPE DANIEL FRANCISCO</v>
          </cell>
          <cell r="C46" t="str">
            <v>IN</v>
          </cell>
          <cell r="D46">
            <v>0.12</v>
          </cell>
          <cell r="E46">
            <v>1.7999999999999999E-2</v>
          </cell>
          <cell r="F46">
            <v>8.8000000000000005E-3</v>
          </cell>
        </row>
        <row r="47">
          <cell r="A47">
            <v>37</v>
          </cell>
          <cell r="B47" t="str">
            <v>CHAVEZ PORRAS ALVINO</v>
          </cell>
          <cell r="C47" t="str">
            <v>HZ</v>
          </cell>
          <cell r="D47">
            <v>0.12</v>
          </cell>
          <cell r="E47">
            <v>1.95E-2</v>
          </cell>
          <cell r="F47">
            <v>8.8000000000000005E-3</v>
          </cell>
        </row>
        <row r="48">
          <cell r="A48">
            <v>38</v>
          </cell>
          <cell r="B48" t="str">
            <v>CHUPOS TINOCO JOSE ANTONIO</v>
          </cell>
          <cell r="C48" t="str">
            <v>HZ</v>
          </cell>
          <cell r="D48">
            <v>0.12</v>
          </cell>
          <cell r="E48">
            <v>1.95E-2</v>
          </cell>
          <cell r="F48">
            <v>8.8000000000000005E-3</v>
          </cell>
        </row>
        <row r="49">
          <cell r="A49">
            <v>39</v>
          </cell>
          <cell r="B49" t="str">
            <v>COLQUI GUILLERMO WALTER</v>
          </cell>
          <cell r="C49" t="str">
            <v>HZ</v>
          </cell>
          <cell r="D49">
            <v>0.12</v>
          </cell>
          <cell r="E49">
            <v>1.95E-2</v>
          </cell>
          <cell r="F49">
            <v>8.8000000000000005E-3</v>
          </cell>
        </row>
        <row r="50">
          <cell r="A50">
            <v>40</v>
          </cell>
          <cell r="B50" t="str">
            <v>COLLACHAGUA UGARTE ,WILFREDO PERCY</v>
          </cell>
          <cell r="C50" t="str">
            <v>ONP</v>
          </cell>
        </row>
        <row r="51">
          <cell r="A51">
            <v>41</v>
          </cell>
          <cell r="B51" t="str">
            <v>CUBA ESTRELLA JUAN CARLOS</v>
          </cell>
          <cell r="C51" t="str">
            <v>ONP</v>
          </cell>
        </row>
        <row r="52">
          <cell r="A52">
            <v>42</v>
          </cell>
          <cell r="B52" t="str">
            <v>CUEVA SALGADO WILLIAM JORGE</v>
          </cell>
          <cell r="C52" t="str">
            <v>PF</v>
          </cell>
          <cell r="D52">
            <v>0.12</v>
          </cell>
          <cell r="E52">
            <v>1.9800000000000002E-2</v>
          </cell>
          <cell r="F52">
            <v>8.9999999999999993E-3</v>
          </cell>
        </row>
        <row r="53">
          <cell r="A53">
            <v>43</v>
          </cell>
          <cell r="B53" t="str">
            <v>CRISTOBAL MUCHA ABEL ABELARDO</v>
          </cell>
          <cell r="C53" t="str">
            <v>PR</v>
          </cell>
          <cell r="D53">
            <v>0.12</v>
          </cell>
          <cell r="E53">
            <v>1.4999999999999999E-2</v>
          </cell>
          <cell r="F53">
            <v>8.6999999999999994E-3</v>
          </cell>
        </row>
        <row r="54">
          <cell r="A54">
            <v>44</v>
          </cell>
          <cell r="B54" t="str">
            <v>DAMIAN CARHUARICRA, OSCAR RAYNER</v>
          </cell>
          <cell r="C54" t="str">
            <v>IN</v>
          </cell>
          <cell r="D54">
            <v>0.12</v>
          </cell>
          <cell r="E54">
            <v>1.7999999999999999E-2</v>
          </cell>
          <cell r="F54">
            <v>8.8000000000000005E-3</v>
          </cell>
        </row>
        <row r="55">
          <cell r="A55">
            <v>45</v>
          </cell>
          <cell r="B55" t="str">
            <v>DE LA CRUZ LLANQUI WALTER</v>
          </cell>
          <cell r="C55" t="str">
            <v>IN</v>
          </cell>
          <cell r="D55">
            <v>0.12</v>
          </cell>
          <cell r="E55">
            <v>1.7999999999999999E-2</v>
          </cell>
          <cell r="F55">
            <v>8.8000000000000005E-3</v>
          </cell>
          <cell r="G55">
            <v>36988</v>
          </cell>
        </row>
        <row r="56">
          <cell r="A56">
            <v>46</v>
          </cell>
          <cell r="B56" t="str">
            <v>DELGADO ROJAS SERGIO WALTER</v>
          </cell>
          <cell r="C56" t="str">
            <v>HZ</v>
          </cell>
          <cell r="D56">
            <v>0.12</v>
          </cell>
          <cell r="E56">
            <v>1.95E-2</v>
          </cell>
          <cell r="F56">
            <v>8.8000000000000005E-3</v>
          </cell>
        </row>
        <row r="57">
          <cell r="A57">
            <v>47</v>
          </cell>
          <cell r="B57" t="str">
            <v>DOROTEO GASPAR EDWIN</v>
          </cell>
          <cell r="C57" t="str">
            <v>ONP</v>
          </cell>
        </row>
        <row r="58">
          <cell r="A58">
            <v>48</v>
          </cell>
          <cell r="B58" t="str">
            <v>DUEÑAS CUELLAR ANGEL</v>
          </cell>
          <cell r="C58" t="str">
            <v>PF</v>
          </cell>
          <cell r="D58">
            <v>0.12</v>
          </cell>
          <cell r="E58">
            <v>1.9800000000000002E-2</v>
          </cell>
          <cell r="F58">
            <v>8.9999999999999993E-3</v>
          </cell>
        </row>
        <row r="59">
          <cell r="A59">
            <v>49</v>
          </cell>
          <cell r="B59" t="str">
            <v>ESPINOZA AMBROSIO CLAUDELINO</v>
          </cell>
          <cell r="C59" t="str">
            <v>HZ</v>
          </cell>
          <cell r="D59">
            <v>0.12</v>
          </cell>
          <cell r="E59">
            <v>1.95E-2</v>
          </cell>
          <cell r="F59">
            <v>8.8000000000000005E-3</v>
          </cell>
        </row>
        <row r="60">
          <cell r="A60">
            <v>50</v>
          </cell>
          <cell r="B60" t="str">
            <v>FARFAN ROJAS ROBERT</v>
          </cell>
          <cell r="C60" t="str">
            <v>HZ</v>
          </cell>
          <cell r="D60">
            <v>0.12</v>
          </cell>
          <cell r="E60">
            <v>1.95E-2</v>
          </cell>
          <cell r="F60">
            <v>8.8000000000000005E-3</v>
          </cell>
        </row>
        <row r="61">
          <cell r="A61">
            <v>51</v>
          </cell>
          <cell r="B61" t="str">
            <v>FLORES HUAMAN, JUAN PROCOPIO</v>
          </cell>
          <cell r="C61" t="str">
            <v>HZ</v>
          </cell>
          <cell r="D61">
            <v>0.12</v>
          </cell>
          <cell r="E61">
            <v>1.95E-2</v>
          </cell>
          <cell r="F61">
            <v>8.8000000000000005E-3</v>
          </cell>
        </row>
        <row r="62">
          <cell r="A62">
            <v>52</v>
          </cell>
          <cell r="B62" t="str">
            <v>GARCIA VICENTE CELESTINO</v>
          </cell>
          <cell r="C62" t="str">
            <v>HZ</v>
          </cell>
          <cell r="D62">
            <v>0.12</v>
          </cell>
          <cell r="E62">
            <v>1.95E-2</v>
          </cell>
          <cell r="F62">
            <v>8.8000000000000005E-3</v>
          </cell>
        </row>
        <row r="63">
          <cell r="A63">
            <v>53</v>
          </cell>
          <cell r="B63" t="str">
            <v>GOMEZ JANAMPA FERNANDO RAFAEL</v>
          </cell>
          <cell r="C63" t="str">
            <v>HZ</v>
          </cell>
          <cell r="D63">
            <v>0.12</v>
          </cell>
          <cell r="E63">
            <v>1.95E-2</v>
          </cell>
          <cell r="F63">
            <v>8.8000000000000005E-3</v>
          </cell>
        </row>
        <row r="64">
          <cell r="A64">
            <v>54</v>
          </cell>
          <cell r="B64" t="str">
            <v>GONZALES GALLARDO, PEDRO SACARIAS</v>
          </cell>
          <cell r="C64" t="str">
            <v>HZ</v>
          </cell>
          <cell r="D64">
            <v>0.12</v>
          </cell>
          <cell r="E64">
            <v>1.95E-2</v>
          </cell>
          <cell r="F64">
            <v>8.8000000000000005E-3</v>
          </cell>
        </row>
        <row r="65">
          <cell r="A65">
            <v>55</v>
          </cell>
          <cell r="B65" t="str">
            <v>GUERRA LEON YOSMEL ANTONIO</v>
          </cell>
          <cell r="C65" t="str">
            <v>PF</v>
          </cell>
          <cell r="D65">
            <v>0.12</v>
          </cell>
          <cell r="E65">
            <v>1.9800000000000002E-2</v>
          </cell>
          <cell r="F65">
            <v>8.9999999999999993E-3</v>
          </cell>
        </row>
        <row r="66">
          <cell r="A66">
            <v>56</v>
          </cell>
          <cell r="B66" t="str">
            <v>GUERREROS SEBASTIAN NOE ANTONIO</v>
          </cell>
          <cell r="C66" t="str">
            <v>HZ</v>
          </cell>
          <cell r="D66">
            <v>0.12</v>
          </cell>
          <cell r="E66">
            <v>1.95E-2</v>
          </cell>
          <cell r="F66">
            <v>8.8000000000000005E-3</v>
          </cell>
        </row>
        <row r="67">
          <cell r="A67">
            <v>57</v>
          </cell>
          <cell r="B67" t="str">
            <v>HERMITAÑO BENITO JOSE JESUS</v>
          </cell>
          <cell r="C67" t="str">
            <v>PR</v>
          </cell>
          <cell r="D67">
            <v>0.12</v>
          </cell>
          <cell r="E67">
            <v>1.4999999999999999E-2</v>
          </cell>
          <cell r="F67">
            <v>8.6999999999999994E-3</v>
          </cell>
        </row>
        <row r="68">
          <cell r="A68">
            <v>58</v>
          </cell>
          <cell r="B68" t="str">
            <v>HINOSTROZA VALLADARESJUAN MANUEL</v>
          </cell>
          <cell r="C68" t="str">
            <v>ONP</v>
          </cell>
        </row>
        <row r="69">
          <cell r="A69">
            <v>59</v>
          </cell>
          <cell r="B69" t="str">
            <v>HUAMAN HURTADO PEDRO</v>
          </cell>
          <cell r="C69" t="str">
            <v>ONP</v>
          </cell>
        </row>
        <row r="70">
          <cell r="A70">
            <v>60</v>
          </cell>
          <cell r="B70" t="str">
            <v>HUAYTA ALARCON DAVID FRANCISCO</v>
          </cell>
          <cell r="C70" t="str">
            <v>PR</v>
          </cell>
          <cell r="D70">
            <v>0.12</v>
          </cell>
          <cell r="E70">
            <v>1.4999999999999999E-2</v>
          </cell>
          <cell r="F70">
            <v>8.6999999999999994E-3</v>
          </cell>
        </row>
        <row r="71">
          <cell r="A71">
            <v>61</v>
          </cell>
          <cell r="B71" t="str">
            <v>HUAYTA QUIZA FILOMENO RUFINO</v>
          </cell>
          <cell r="C71" t="str">
            <v>ONP</v>
          </cell>
        </row>
        <row r="72">
          <cell r="A72">
            <v>62</v>
          </cell>
          <cell r="B72" t="str">
            <v>INOCENTE LIMA ENRIQUE</v>
          </cell>
          <cell r="C72" t="str">
            <v>ONP</v>
          </cell>
        </row>
        <row r="73">
          <cell r="A73">
            <v>63</v>
          </cell>
          <cell r="B73" t="str">
            <v>LARICO BAUTISTA BELTRAN</v>
          </cell>
          <cell r="C73" t="str">
            <v>ONP</v>
          </cell>
        </row>
        <row r="74">
          <cell r="A74">
            <v>64</v>
          </cell>
          <cell r="B74" t="str">
            <v>LEANDRO MARAVI MOISES</v>
          </cell>
          <cell r="C74" t="str">
            <v>PR</v>
          </cell>
          <cell r="D74">
            <v>0.12</v>
          </cell>
          <cell r="E74">
            <v>1.4999999999999999E-2</v>
          </cell>
          <cell r="F74">
            <v>8.6999999999999994E-3</v>
          </cell>
        </row>
        <row r="75">
          <cell r="A75">
            <v>65</v>
          </cell>
          <cell r="B75" t="str">
            <v>LEIVA GOMEZ RAUL</v>
          </cell>
          <cell r="C75" t="str">
            <v>ONP</v>
          </cell>
        </row>
        <row r="76">
          <cell r="A76">
            <v>66</v>
          </cell>
          <cell r="B76" t="str">
            <v>LEON ARIAS, EDWIN BRUCE</v>
          </cell>
          <cell r="C76" t="str">
            <v>HZ</v>
          </cell>
          <cell r="D76">
            <v>0.12</v>
          </cell>
          <cell r="E76">
            <v>1.95E-2</v>
          </cell>
          <cell r="F76">
            <v>8.8000000000000005E-3</v>
          </cell>
        </row>
        <row r="77">
          <cell r="A77">
            <v>67</v>
          </cell>
          <cell r="B77" t="str">
            <v>LLAMOCA CJURO, FELIPE</v>
          </cell>
          <cell r="C77" t="str">
            <v>HZ</v>
          </cell>
          <cell r="D77">
            <v>0.12</v>
          </cell>
          <cell r="E77">
            <v>1.95E-2</v>
          </cell>
          <cell r="F77">
            <v>8.8000000000000005E-3</v>
          </cell>
        </row>
        <row r="78">
          <cell r="A78">
            <v>68</v>
          </cell>
          <cell r="B78" t="str">
            <v>LOPEZ JARA, JULIO JULIAN</v>
          </cell>
          <cell r="C78" t="str">
            <v>PR</v>
          </cell>
          <cell r="D78">
            <v>0.12</v>
          </cell>
          <cell r="E78">
            <v>1.4999999999999999E-2</v>
          </cell>
          <cell r="F78">
            <v>8.6999999999999994E-3</v>
          </cell>
        </row>
        <row r="79">
          <cell r="A79">
            <v>69</v>
          </cell>
          <cell r="B79" t="str">
            <v>LOPEZ SHICSHE BISCOP ABEL</v>
          </cell>
          <cell r="C79" t="str">
            <v>PF</v>
          </cell>
          <cell r="D79">
            <v>0.12</v>
          </cell>
          <cell r="E79">
            <v>1.9800000000000002E-2</v>
          </cell>
          <cell r="F79">
            <v>8.9999999999999993E-3</v>
          </cell>
        </row>
        <row r="80">
          <cell r="A80">
            <v>70</v>
          </cell>
          <cell r="B80" t="str">
            <v>LOYOLA SANTIAGO MISAEL BERNARDINO</v>
          </cell>
          <cell r="C80" t="str">
            <v>IN</v>
          </cell>
          <cell r="D80">
            <v>0.12</v>
          </cell>
          <cell r="E80">
            <v>1.7999999999999999E-2</v>
          </cell>
          <cell r="F80">
            <v>8.8000000000000005E-3</v>
          </cell>
        </row>
        <row r="81">
          <cell r="A81">
            <v>71</v>
          </cell>
          <cell r="B81" t="str">
            <v>LOZANO LOZANO GODOFREDO SIXTOJABER</v>
          </cell>
          <cell r="C81" t="str">
            <v>PR</v>
          </cell>
          <cell r="D81">
            <v>0.12</v>
          </cell>
          <cell r="E81">
            <v>1.4999999999999999E-2</v>
          </cell>
          <cell r="F81">
            <v>8.6999999999999994E-3</v>
          </cell>
        </row>
        <row r="82">
          <cell r="A82">
            <v>72</v>
          </cell>
          <cell r="B82" t="str">
            <v>LUIS RAPRI KLIVER HIPOLITO</v>
          </cell>
          <cell r="C82" t="str">
            <v>PR</v>
          </cell>
          <cell r="D82">
            <v>0.12</v>
          </cell>
          <cell r="E82">
            <v>1.4999999999999999E-2</v>
          </cell>
          <cell r="F82">
            <v>8.6999999999999994E-3</v>
          </cell>
        </row>
        <row r="83">
          <cell r="A83">
            <v>73</v>
          </cell>
          <cell r="B83" t="str">
            <v>MALPICA PECHO, CELSO</v>
          </cell>
          <cell r="C83" t="str">
            <v>PR</v>
          </cell>
          <cell r="D83">
            <v>0.12</v>
          </cell>
          <cell r="E83">
            <v>1.4999999999999999E-2</v>
          </cell>
          <cell r="F83">
            <v>8.6999999999999994E-3</v>
          </cell>
        </row>
        <row r="84">
          <cell r="A84">
            <v>74</v>
          </cell>
          <cell r="B84" t="str">
            <v>MAMANI HANCCO ALFREDO GUZMAN</v>
          </cell>
          <cell r="C84" t="str">
            <v>ONP</v>
          </cell>
        </row>
        <row r="85">
          <cell r="A85">
            <v>75</v>
          </cell>
          <cell r="B85" t="str">
            <v>MAMANI TORRES MARCO ANTONIO</v>
          </cell>
          <cell r="C85" t="str">
            <v>ONP</v>
          </cell>
        </row>
        <row r="86">
          <cell r="A86">
            <v>76</v>
          </cell>
          <cell r="B86" t="str">
            <v>MATOS PIO DAVID LIZARDO</v>
          </cell>
          <cell r="C86" t="str">
            <v>IN</v>
          </cell>
          <cell r="D86">
            <v>0.12</v>
          </cell>
          <cell r="E86">
            <v>1.7999999999999999E-2</v>
          </cell>
          <cell r="F86">
            <v>8.8000000000000005E-3</v>
          </cell>
        </row>
        <row r="87">
          <cell r="A87">
            <v>77</v>
          </cell>
          <cell r="B87" t="str">
            <v>MAYTA ANDRADE NILO CESAR</v>
          </cell>
          <cell r="C87" t="str">
            <v>ONP</v>
          </cell>
        </row>
        <row r="88">
          <cell r="A88">
            <v>78</v>
          </cell>
          <cell r="B88" t="str">
            <v>MENDOZA CUEVA REQUELVE</v>
          </cell>
          <cell r="C88" t="str">
            <v>ONP</v>
          </cell>
        </row>
        <row r="89">
          <cell r="A89">
            <v>79</v>
          </cell>
          <cell r="B89" t="str">
            <v>MEZA HUAYANAY CARLOS</v>
          </cell>
          <cell r="C89" t="str">
            <v>ONP</v>
          </cell>
        </row>
        <row r="90">
          <cell r="A90">
            <v>80</v>
          </cell>
          <cell r="B90" t="str">
            <v>MIRANDA ROBLES DIOSDADO</v>
          </cell>
          <cell r="C90" t="str">
            <v>ONP</v>
          </cell>
        </row>
        <row r="91">
          <cell r="A91">
            <v>81</v>
          </cell>
          <cell r="B91" t="str">
            <v>MONAGO MEDINA EFRAIN MOISES</v>
          </cell>
          <cell r="C91" t="str">
            <v>IN</v>
          </cell>
          <cell r="D91">
            <v>0.12</v>
          </cell>
          <cell r="E91">
            <v>1.7999999999999999E-2</v>
          </cell>
          <cell r="F91">
            <v>8.8000000000000005E-3</v>
          </cell>
        </row>
        <row r="92">
          <cell r="A92">
            <v>82</v>
          </cell>
          <cell r="B92" t="str">
            <v>MORA JAVIER EDINSON JHON</v>
          </cell>
          <cell r="C92" t="str">
            <v>ONP</v>
          </cell>
        </row>
        <row r="93">
          <cell r="A93">
            <v>83</v>
          </cell>
          <cell r="B93" t="str">
            <v>NIETO ALCANTARA, FERNANDO</v>
          </cell>
          <cell r="C93" t="str">
            <v>HZ</v>
          </cell>
          <cell r="D93">
            <v>0.12</v>
          </cell>
          <cell r="E93">
            <v>1.95E-2</v>
          </cell>
          <cell r="F93">
            <v>8.8000000000000005E-3</v>
          </cell>
        </row>
        <row r="94">
          <cell r="A94">
            <v>84</v>
          </cell>
          <cell r="B94" t="str">
            <v>NIÑO VENTURA, ALEJANDRO VICTOR</v>
          </cell>
          <cell r="C94" t="str">
            <v>PF</v>
          </cell>
          <cell r="D94">
            <v>0.12</v>
          </cell>
          <cell r="E94">
            <v>1.9800000000000002E-2</v>
          </cell>
          <cell r="F94">
            <v>8.9999999999999993E-3</v>
          </cell>
        </row>
        <row r="95">
          <cell r="A95">
            <v>85</v>
          </cell>
          <cell r="B95" t="str">
            <v>OSORIO APARCO ANTONIO</v>
          </cell>
          <cell r="C95" t="str">
            <v>HZ</v>
          </cell>
          <cell r="D95">
            <v>0.12</v>
          </cell>
          <cell r="E95">
            <v>1.95E-2</v>
          </cell>
          <cell r="F95">
            <v>8.8000000000000005E-3</v>
          </cell>
        </row>
        <row r="96">
          <cell r="A96">
            <v>86</v>
          </cell>
          <cell r="B96" t="str">
            <v>PACHECO FALCON WILDER JULIO</v>
          </cell>
          <cell r="C96" t="str">
            <v>ONP</v>
          </cell>
        </row>
        <row r="97">
          <cell r="A97">
            <v>87</v>
          </cell>
          <cell r="B97" t="str">
            <v>PALACIOS CHAHUA ANTERO HENRY</v>
          </cell>
          <cell r="C97" t="str">
            <v>ONP</v>
          </cell>
        </row>
        <row r="98">
          <cell r="A98">
            <v>88</v>
          </cell>
          <cell r="B98" t="str">
            <v>PALMARES CARBAJAL EDWIN</v>
          </cell>
          <cell r="C98" t="str">
            <v>PF</v>
          </cell>
          <cell r="D98">
            <v>0.12</v>
          </cell>
          <cell r="E98">
            <v>1.9800000000000002E-2</v>
          </cell>
          <cell r="F98">
            <v>8.9999999999999993E-3</v>
          </cell>
        </row>
        <row r="99">
          <cell r="A99">
            <v>89</v>
          </cell>
          <cell r="B99" t="str">
            <v>PICOY RIVERA MIGUEL ANGEL</v>
          </cell>
          <cell r="C99" t="str">
            <v>PR</v>
          </cell>
          <cell r="D99">
            <v>0.12</v>
          </cell>
          <cell r="E99">
            <v>1.4999999999999999E-2</v>
          </cell>
          <cell r="F99">
            <v>8.6999999999999994E-3</v>
          </cell>
        </row>
        <row r="100">
          <cell r="A100">
            <v>90</v>
          </cell>
          <cell r="B100" t="str">
            <v>POMA GUEVARA WALTER MICHAEL</v>
          </cell>
          <cell r="C100" t="str">
            <v>ONP</v>
          </cell>
        </row>
        <row r="101">
          <cell r="A101">
            <v>91</v>
          </cell>
          <cell r="B101" t="str">
            <v>PONCE COLQUI, VICTOR</v>
          </cell>
          <cell r="C101" t="str">
            <v>ONP</v>
          </cell>
        </row>
        <row r="102">
          <cell r="A102">
            <v>92</v>
          </cell>
          <cell r="B102" t="str">
            <v>PORTILLO LEIVA JOSE</v>
          </cell>
          <cell r="C102" t="str">
            <v>ONP</v>
          </cell>
        </row>
        <row r="103">
          <cell r="A103">
            <v>93</v>
          </cell>
          <cell r="B103" t="str">
            <v>PORTILLO LEYVA, WHUILKHERSON</v>
          </cell>
          <cell r="C103" t="str">
            <v>PF</v>
          </cell>
          <cell r="D103">
            <v>0.12</v>
          </cell>
          <cell r="E103">
            <v>1.9800000000000002E-2</v>
          </cell>
          <cell r="F103">
            <v>8.9999999999999993E-3</v>
          </cell>
        </row>
        <row r="104">
          <cell r="A104">
            <v>94</v>
          </cell>
          <cell r="B104" t="str">
            <v>QUISPE TRINIDAD CARLI ROGER</v>
          </cell>
          <cell r="C104" t="str">
            <v>PF</v>
          </cell>
          <cell r="D104">
            <v>0.12</v>
          </cell>
          <cell r="E104">
            <v>1.9800000000000002E-2</v>
          </cell>
          <cell r="F104">
            <v>8.9999999999999993E-3</v>
          </cell>
        </row>
        <row r="105">
          <cell r="A105">
            <v>95</v>
          </cell>
          <cell r="B105" t="str">
            <v>QUISPE ZEVALLOS JOSE ANTONIO</v>
          </cell>
          <cell r="C105" t="str">
            <v>ONP</v>
          </cell>
        </row>
        <row r="106">
          <cell r="A106">
            <v>96</v>
          </cell>
          <cell r="B106" t="str">
            <v>RAMOS FELICIANO RAUL WALTER</v>
          </cell>
          <cell r="C106" t="str">
            <v>PF</v>
          </cell>
          <cell r="D106">
            <v>0.12</v>
          </cell>
          <cell r="E106">
            <v>1.9800000000000002E-2</v>
          </cell>
          <cell r="F106">
            <v>8.9999999999999993E-3</v>
          </cell>
        </row>
        <row r="107">
          <cell r="A107">
            <v>97</v>
          </cell>
          <cell r="B107" t="str">
            <v>RANILLA PACO, WILLY WILDER</v>
          </cell>
          <cell r="C107" t="str">
            <v>PF</v>
          </cell>
          <cell r="D107">
            <v>0.12</v>
          </cell>
          <cell r="E107">
            <v>1.9800000000000002E-2</v>
          </cell>
          <cell r="F107">
            <v>8.9999999999999993E-3</v>
          </cell>
        </row>
        <row r="108">
          <cell r="A108">
            <v>98</v>
          </cell>
          <cell r="B108" t="str">
            <v>REYNOSO MAYTA JORGE LUIS</v>
          </cell>
          <cell r="C108" t="str">
            <v>HZ</v>
          </cell>
          <cell r="D108">
            <v>0.12</v>
          </cell>
          <cell r="E108">
            <v>1.95E-2</v>
          </cell>
          <cell r="F108">
            <v>8.8000000000000005E-3</v>
          </cell>
        </row>
        <row r="109">
          <cell r="A109">
            <v>99</v>
          </cell>
          <cell r="B109" t="str">
            <v>RIVERA ESPINOZA ABEL ELIAS</v>
          </cell>
          <cell r="C109" t="str">
            <v>HZ</v>
          </cell>
          <cell r="D109">
            <v>0.12</v>
          </cell>
          <cell r="E109">
            <v>1.95E-2</v>
          </cell>
          <cell r="F109">
            <v>8.8000000000000005E-3</v>
          </cell>
        </row>
        <row r="110">
          <cell r="A110">
            <v>100</v>
          </cell>
          <cell r="B110" t="str">
            <v>RIVERA ESPINOZA DARWIN JUAN</v>
          </cell>
          <cell r="C110" t="str">
            <v>HZ</v>
          </cell>
          <cell r="D110">
            <v>0.12</v>
          </cell>
          <cell r="E110">
            <v>1.95E-2</v>
          </cell>
          <cell r="F110">
            <v>8.8000000000000005E-3</v>
          </cell>
          <cell r="G110">
            <v>36504</v>
          </cell>
        </row>
        <row r="111">
          <cell r="A111">
            <v>101</v>
          </cell>
          <cell r="B111" t="str">
            <v>RIVERA ESPINOZA JAVIER ISAAC</v>
          </cell>
          <cell r="C111" t="str">
            <v>HZ</v>
          </cell>
          <cell r="D111">
            <v>0.12</v>
          </cell>
          <cell r="E111">
            <v>1.95E-2</v>
          </cell>
          <cell r="F111">
            <v>8.8000000000000005E-3</v>
          </cell>
        </row>
        <row r="112">
          <cell r="A112">
            <v>102</v>
          </cell>
          <cell r="B112" t="str">
            <v>ROJAS ANTONIO HULANDIO</v>
          </cell>
          <cell r="C112" t="str">
            <v>HZ</v>
          </cell>
          <cell r="D112">
            <v>0.12</v>
          </cell>
          <cell r="E112">
            <v>1.95E-2</v>
          </cell>
          <cell r="F112">
            <v>8.8000000000000005E-3</v>
          </cell>
        </row>
        <row r="113">
          <cell r="A113">
            <v>103</v>
          </cell>
          <cell r="B113" t="str">
            <v>ROJAS VALLE PERCY</v>
          </cell>
          <cell r="C113" t="str">
            <v>HZ</v>
          </cell>
          <cell r="D113">
            <v>0.12</v>
          </cell>
          <cell r="E113">
            <v>1.95E-2</v>
          </cell>
          <cell r="F113">
            <v>8.8000000000000005E-3</v>
          </cell>
        </row>
        <row r="114">
          <cell r="A114">
            <v>104</v>
          </cell>
          <cell r="B114" t="str">
            <v>ROMERO ORNA EDWIN WILLIAM</v>
          </cell>
          <cell r="C114" t="str">
            <v>PF</v>
          </cell>
          <cell r="D114">
            <v>0.12</v>
          </cell>
          <cell r="E114">
            <v>1.9800000000000002E-2</v>
          </cell>
          <cell r="F114">
            <v>8.9999999999999993E-3</v>
          </cell>
        </row>
        <row r="115">
          <cell r="A115">
            <v>105</v>
          </cell>
          <cell r="B115" t="str">
            <v>ROSAS SALAZAR HEGIDIO CARLOS</v>
          </cell>
          <cell r="C115" t="str">
            <v>PR</v>
          </cell>
          <cell r="D115">
            <v>0.12</v>
          </cell>
          <cell r="E115">
            <v>1.4999999999999999E-2</v>
          </cell>
          <cell r="F115">
            <v>8.6999999999999994E-3</v>
          </cell>
        </row>
        <row r="116">
          <cell r="A116">
            <v>106</v>
          </cell>
          <cell r="B116" t="str">
            <v>RUIZ MUCHA JORGE FELICIANO</v>
          </cell>
          <cell r="C116" t="str">
            <v>PF</v>
          </cell>
          <cell r="D116">
            <v>0.12</v>
          </cell>
          <cell r="E116">
            <v>1.9800000000000002E-2</v>
          </cell>
          <cell r="F116">
            <v>8.9999999999999993E-3</v>
          </cell>
        </row>
        <row r="117">
          <cell r="A117">
            <v>107</v>
          </cell>
          <cell r="B117" t="str">
            <v>SALCEDO RAMIREZ ABEL DARIO</v>
          </cell>
          <cell r="C117" t="str">
            <v>IN</v>
          </cell>
          <cell r="D117">
            <v>0.12</v>
          </cell>
          <cell r="E117">
            <v>1.7999999999999999E-2</v>
          </cell>
          <cell r="F117">
            <v>8.8000000000000005E-3</v>
          </cell>
        </row>
        <row r="118">
          <cell r="A118">
            <v>108</v>
          </cell>
          <cell r="B118" t="str">
            <v>SALVADOR ROJAS ALFREDO EDBER</v>
          </cell>
          <cell r="C118" t="str">
            <v>ONP</v>
          </cell>
        </row>
        <row r="119">
          <cell r="A119">
            <v>109</v>
          </cell>
          <cell r="B119" t="str">
            <v>SALVIO POMA FERNANDO ESCOBAR</v>
          </cell>
          <cell r="C119" t="str">
            <v>ONP</v>
          </cell>
        </row>
        <row r="120">
          <cell r="A120">
            <v>110</v>
          </cell>
          <cell r="B120" t="str">
            <v>SANCHEZ CAMAYO LUIS ALBERTO</v>
          </cell>
          <cell r="C120" t="str">
            <v>HZ</v>
          </cell>
          <cell r="D120">
            <v>0.12</v>
          </cell>
          <cell r="E120">
            <v>1.95E-2</v>
          </cell>
          <cell r="F120">
            <v>8.8000000000000005E-3</v>
          </cell>
        </row>
        <row r="121">
          <cell r="A121">
            <v>111</v>
          </cell>
          <cell r="B121" t="str">
            <v>SANTIVAÑEZ LOPEZ JAVIER ANTONIO</v>
          </cell>
          <cell r="C121" t="str">
            <v>IN</v>
          </cell>
          <cell r="D121">
            <v>0.12</v>
          </cell>
          <cell r="E121">
            <v>1.7999999999999999E-2</v>
          </cell>
          <cell r="F121">
            <v>8.8000000000000005E-3</v>
          </cell>
        </row>
        <row r="122">
          <cell r="A122">
            <v>112</v>
          </cell>
          <cell r="B122" t="str">
            <v>SINCHE AQUINO, LUIS GABRIEL</v>
          </cell>
          <cell r="C122" t="str">
            <v>ONP</v>
          </cell>
        </row>
        <row r="123">
          <cell r="A123">
            <v>113</v>
          </cell>
          <cell r="B123" t="str">
            <v>SOTO PECHO LEOPOLDO MARINO</v>
          </cell>
          <cell r="C123" t="str">
            <v>ONP</v>
          </cell>
        </row>
        <row r="124">
          <cell r="A124">
            <v>114</v>
          </cell>
          <cell r="B124" t="str">
            <v>TAIPE CENCIA FAUSTO</v>
          </cell>
          <cell r="C124" t="str">
            <v>ONP</v>
          </cell>
        </row>
        <row r="125">
          <cell r="A125">
            <v>115</v>
          </cell>
          <cell r="B125" t="str">
            <v>TOCTO CHAVEZ ZENEN</v>
          </cell>
          <cell r="C125" t="str">
            <v>ONP</v>
          </cell>
        </row>
        <row r="126">
          <cell r="A126">
            <v>116</v>
          </cell>
          <cell r="B126" t="str">
            <v>TORRES ALVITES MIGUEL ANGEL</v>
          </cell>
          <cell r="C126" t="str">
            <v>ONP</v>
          </cell>
        </row>
        <row r="127">
          <cell r="A127">
            <v>117</v>
          </cell>
          <cell r="B127" t="str">
            <v>TORRES QUISPE ERASMO</v>
          </cell>
          <cell r="C127" t="str">
            <v>HZ</v>
          </cell>
          <cell r="D127">
            <v>0.12</v>
          </cell>
          <cell r="E127">
            <v>1.95E-2</v>
          </cell>
          <cell r="F127">
            <v>8.8000000000000005E-3</v>
          </cell>
        </row>
        <row r="128">
          <cell r="A128">
            <v>118</v>
          </cell>
          <cell r="B128" t="str">
            <v>TORRES QUISPE SAMUEL</v>
          </cell>
          <cell r="C128" t="str">
            <v>PF</v>
          </cell>
          <cell r="D128">
            <v>0.12</v>
          </cell>
          <cell r="E128">
            <v>1.9800000000000002E-2</v>
          </cell>
          <cell r="F128">
            <v>8.9999999999999993E-3</v>
          </cell>
        </row>
        <row r="129">
          <cell r="A129">
            <v>119</v>
          </cell>
          <cell r="B129" t="str">
            <v>TORRESAGA GUERREROS DANY RAFAEL</v>
          </cell>
          <cell r="C129" t="str">
            <v>IN</v>
          </cell>
          <cell r="D129">
            <v>0.12</v>
          </cell>
          <cell r="E129">
            <v>1.7999999999999999E-2</v>
          </cell>
          <cell r="F129">
            <v>8.8000000000000005E-3</v>
          </cell>
        </row>
        <row r="130">
          <cell r="A130">
            <v>120</v>
          </cell>
          <cell r="B130" t="str">
            <v>TRUJILLO VALDIVIEZO MAURICIO</v>
          </cell>
          <cell r="C130" t="str">
            <v>ONP</v>
          </cell>
        </row>
        <row r="131">
          <cell r="A131">
            <v>121</v>
          </cell>
          <cell r="B131" t="str">
            <v>UZURIAGA ORIHUELA EPIFANIO</v>
          </cell>
          <cell r="C131" t="str">
            <v>PF</v>
          </cell>
          <cell r="D131">
            <v>0.12</v>
          </cell>
          <cell r="E131">
            <v>1.9800000000000002E-2</v>
          </cell>
          <cell r="F131">
            <v>8.9999999999999993E-3</v>
          </cell>
        </row>
        <row r="132">
          <cell r="A132">
            <v>122</v>
          </cell>
          <cell r="B132" t="str">
            <v>VALERIO TINEO HUGO PERCY</v>
          </cell>
          <cell r="C132" t="str">
            <v>ONP</v>
          </cell>
        </row>
        <row r="133">
          <cell r="A133">
            <v>123</v>
          </cell>
          <cell r="B133" t="str">
            <v>VARGAS VILLCAS EDGAR</v>
          </cell>
          <cell r="C133" t="str">
            <v>PF</v>
          </cell>
          <cell r="D133">
            <v>0.12</v>
          </cell>
          <cell r="E133">
            <v>1.9800000000000002E-2</v>
          </cell>
          <cell r="F133">
            <v>8.9999999999999993E-3</v>
          </cell>
        </row>
        <row r="134">
          <cell r="A134">
            <v>124</v>
          </cell>
          <cell r="B134" t="str">
            <v>VARGAS VILCAS WALTER</v>
          </cell>
          <cell r="C134" t="str">
            <v>PF</v>
          </cell>
          <cell r="D134">
            <v>0.12</v>
          </cell>
          <cell r="E134">
            <v>1.9800000000000002E-2</v>
          </cell>
          <cell r="F134">
            <v>8.9999999999999993E-3</v>
          </cell>
        </row>
        <row r="135">
          <cell r="A135">
            <v>125</v>
          </cell>
          <cell r="B135" t="str">
            <v>VELASQUEZ QUISPE OSCAR</v>
          </cell>
          <cell r="C135" t="str">
            <v>ONP</v>
          </cell>
        </row>
        <row r="136">
          <cell r="A136">
            <v>126</v>
          </cell>
          <cell r="B136" t="str">
            <v>VENTURA GALVEZ NAZARIO ONOFRE</v>
          </cell>
          <cell r="C136" t="str">
            <v>IN</v>
          </cell>
          <cell r="D136">
            <v>0.12</v>
          </cell>
          <cell r="E136">
            <v>1.7999999999999999E-2</v>
          </cell>
          <cell r="F136">
            <v>8.8000000000000005E-3</v>
          </cell>
        </row>
        <row r="137">
          <cell r="A137">
            <v>127</v>
          </cell>
          <cell r="B137" t="str">
            <v>VENTURA MEZA JOLMAN PRUDENCIO</v>
          </cell>
          <cell r="C137" t="str">
            <v>ONP</v>
          </cell>
        </row>
        <row r="138">
          <cell r="A138">
            <v>128</v>
          </cell>
          <cell r="B138" t="str">
            <v>VENTURA TEMPLADERA JAVIER JESUS</v>
          </cell>
          <cell r="C138" t="str">
            <v>ONP</v>
          </cell>
        </row>
        <row r="139">
          <cell r="A139">
            <v>129</v>
          </cell>
          <cell r="B139" t="str">
            <v>VERASTEGUI ZAVALA JILMER</v>
          </cell>
          <cell r="C139" t="str">
            <v>HZ</v>
          </cell>
          <cell r="D139">
            <v>0.12</v>
          </cell>
          <cell r="E139">
            <v>1.95E-2</v>
          </cell>
          <cell r="F139">
            <v>8.8000000000000005E-3</v>
          </cell>
        </row>
        <row r="140">
          <cell r="A140">
            <v>130</v>
          </cell>
          <cell r="B140" t="str">
            <v>VILLANUEVA ESCANDON TEODORO</v>
          </cell>
          <cell r="C140" t="str">
            <v>PF</v>
          </cell>
          <cell r="D140">
            <v>0.12</v>
          </cell>
          <cell r="E140">
            <v>1.9800000000000002E-2</v>
          </cell>
          <cell r="F140">
            <v>8.9999999999999993E-3</v>
          </cell>
        </row>
        <row r="141">
          <cell r="A141">
            <v>131</v>
          </cell>
          <cell r="B141" t="str">
            <v>VILLANUEVA RIVERA JHON ANDRES</v>
          </cell>
          <cell r="C141" t="str">
            <v>ONP</v>
          </cell>
        </row>
        <row r="142">
          <cell r="A142">
            <v>132</v>
          </cell>
          <cell r="B142" t="str">
            <v>VILLAVICENCIO RAMIREZ EDGAR SATURNINO</v>
          </cell>
          <cell r="C142" t="str">
            <v>ONP</v>
          </cell>
        </row>
        <row r="143">
          <cell r="A143">
            <v>133</v>
          </cell>
          <cell r="B143" t="str">
            <v>YALI ARIAS HENRY  TEODORO</v>
          </cell>
          <cell r="C143" t="str">
            <v>HZ</v>
          </cell>
          <cell r="D143">
            <v>0.12</v>
          </cell>
          <cell r="E143">
            <v>1.95E-2</v>
          </cell>
          <cell r="F143">
            <v>8.8000000000000005E-3</v>
          </cell>
        </row>
        <row r="144">
          <cell r="A144">
            <v>134</v>
          </cell>
          <cell r="B144" t="str">
            <v>YARANGA CESAR MELENTRIZ</v>
          </cell>
          <cell r="C144" t="str">
            <v>ONP</v>
          </cell>
        </row>
        <row r="145">
          <cell r="A145">
            <v>135</v>
          </cell>
          <cell r="B145" t="str">
            <v>YAULILAHUA HUACHO MOISES</v>
          </cell>
          <cell r="C145" t="str">
            <v>ONP</v>
          </cell>
        </row>
        <row r="150">
          <cell r="A150">
            <v>1</v>
          </cell>
          <cell r="B150" t="str">
            <v>CUEVA BENAVENTE MARIO ALEJANDRO</v>
          </cell>
          <cell r="C150" t="str">
            <v>ONP</v>
          </cell>
        </row>
        <row r="151">
          <cell r="A151">
            <v>2</v>
          </cell>
          <cell r="B151" t="str">
            <v>MAYTA CORDOVA GINO RUDYAR</v>
          </cell>
          <cell r="C151" t="str">
            <v>IN</v>
          </cell>
          <cell r="D151">
            <v>0.12</v>
          </cell>
          <cell r="E151">
            <v>1.7999999999999999E-2</v>
          </cell>
          <cell r="F151">
            <v>8.8000000000000005E-3</v>
          </cell>
        </row>
        <row r="152">
          <cell r="A152">
            <v>3</v>
          </cell>
          <cell r="B152" t="str">
            <v>CORDOVA RIVERA HELDER MIGUEL</v>
          </cell>
          <cell r="C152" t="str">
            <v>ONP</v>
          </cell>
        </row>
        <row r="153">
          <cell r="A153">
            <v>4</v>
          </cell>
          <cell r="B153" t="str">
            <v>MAMANI CHOQUE SALOMON MARCELINO</v>
          </cell>
          <cell r="C153" t="str">
            <v>ONP</v>
          </cell>
        </row>
        <row r="154">
          <cell r="A154">
            <v>5</v>
          </cell>
          <cell r="B154" t="str">
            <v>YACHACHIN APOLINARIO MARUJA PAULINA</v>
          </cell>
          <cell r="C154" t="str">
            <v>PF</v>
          </cell>
          <cell r="D154">
            <v>0.12</v>
          </cell>
          <cell r="E154">
            <v>1.9800000000000002E-2</v>
          </cell>
          <cell r="F154">
            <v>8.9999999999999993E-3</v>
          </cell>
        </row>
        <row r="155">
          <cell r="A155">
            <v>6</v>
          </cell>
          <cell r="B155" t="str">
            <v>ARANGO PRADO OSWALDO</v>
          </cell>
          <cell r="C155" t="str">
            <v>HZ</v>
          </cell>
          <cell r="D155">
            <v>0.12</v>
          </cell>
          <cell r="E155">
            <v>1.95E-2</v>
          </cell>
          <cell r="F155">
            <v>8.8000000000000005E-3</v>
          </cell>
        </row>
        <row r="156">
          <cell r="A156">
            <v>7</v>
          </cell>
          <cell r="B156" t="str">
            <v>ROJAS ZAMORA EDWIN</v>
          </cell>
          <cell r="C156" t="str">
            <v>IN</v>
          </cell>
          <cell r="D156">
            <v>0.12</v>
          </cell>
          <cell r="E156">
            <v>1.7999999999999999E-2</v>
          </cell>
          <cell r="F156">
            <v>8.8000000000000005E-3</v>
          </cell>
        </row>
        <row r="157">
          <cell r="A157">
            <v>8</v>
          </cell>
          <cell r="B157" t="str">
            <v xml:space="preserve">CAIRO HURTADO GILMER ERNESTO </v>
          </cell>
          <cell r="C157" t="str">
            <v>ONP</v>
          </cell>
        </row>
        <row r="158">
          <cell r="A158">
            <v>9</v>
          </cell>
          <cell r="B158" t="str">
            <v>ZAMBRANO FLORES ELIZABETH</v>
          </cell>
          <cell r="C158" t="str">
            <v>IN</v>
          </cell>
          <cell r="D158">
            <v>0.12</v>
          </cell>
          <cell r="E158">
            <v>1.7999999999999999E-2</v>
          </cell>
          <cell r="F158">
            <v>8.8000000000000005E-3</v>
          </cell>
        </row>
        <row r="159">
          <cell r="A159">
            <v>10</v>
          </cell>
          <cell r="B159" t="str">
            <v>ORIUNDO YARANGA NELL</v>
          </cell>
          <cell r="C159" t="str">
            <v>HZ</v>
          </cell>
          <cell r="D159">
            <v>0.12</v>
          </cell>
          <cell r="E159">
            <v>1.95E-2</v>
          </cell>
          <cell r="F159">
            <v>8.8000000000000005E-3</v>
          </cell>
          <cell r="G159">
            <v>39270</v>
          </cell>
        </row>
        <row r="160">
          <cell r="A160">
            <v>11</v>
          </cell>
          <cell r="B160" t="str">
            <v>TICONA ACUÑA  JORGE EDWIN</v>
          </cell>
          <cell r="C160" t="str">
            <v>HZ</v>
          </cell>
          <cell r="D160">
            <v>0.12</v>
          </cell>
          <cell r="E160">
            <v>1.95E-2</v>
          </cell>
          <cell r="F160">
            <v>8.8000000000000005E-3</v>
          </cell>
          <cell r="G160">
            <v>35542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"/>
      <sheetName val="TAREO"/>
      <sheetName val="DESCUENTOS"/>
      <sheetName val="PLANILLA"/>
      <sheetName val="DESC"/>
      <sheetName val="BOL. EMPLE"/>
      <sheetName val="BOL. OBREROS"/>
      <sheetName val="RESUMEN PAGOS"/>
      <sheetName val="RESUMEN DE PLANILLA"/>
      <sheetName val="PLLA.VAC.EMP."/>
      <sheetName val="Hoja1"/>
    </sheetNames>
    <sheetDataSet>
      <sheetData sheetId="0" refreshError="1">
        <row r="10">
          <cell r="A10">
            <v>1</v>
          </cell>
          <cell r="B10" t="str">
            <v>CABANILLAS ESPINO, Mayra Jayeli</v>
          </cell>
          <cell r="C10" t="str">
            <v>4216CEM</v>
          </cell>
          <cell r="E10" t="str">
            <v>EMPLEADO</v>
          </cell>
          <cell r="F10" t="str">
            <v>ASISTENTA SOCIAL</v>
          </cell>
          <cell r="G10">
            <v>41020</v>
          </cell>
          <cell r="H10">
            <v>2000</v>
          </cell>
          <cell r="I10" t="str">
            <v>HORIZONTE</v>
          </cell>
          <cell r="K10">
            <v>0</v>
          </cell>
          <cell r="N10">
            <v>30688</v>
          </cell>
          <cell r="O10">
            <v>42168527</v>
          </cell>
          <cell r="P10" t="str">
            <v>570-23267481-0-59</v>
          </cell>
        </row>
        <row r="11">
          <cell r="A11">
            <v>2</v>
          </cell>
          <cell r="B11" t="str">
            <v>CUPE FLORES, Jaime</v>
          </cell>
          <cell r="C11" t="str">
            <v>4157CFJ</v>
          </cell>
          <cell r="E11" t="str">
            <v>EMPLEADO</v>
          </cell>
          <cell r="F11" t="str">
            <v>JEFE DE GUARDIA</v>
          </cell>
          <cell r="G11">
            <v>41034</v>
          </cell>
          <cell r="H11">
            <v>4500</v>
          </cell>
          <cell r="I11" t="str">
            <v>SNP</v>
          </cell>
          <cell r="K11">
            <v>0</v>
          </cell>
          <cell r="N11">
            <v>30240</v>
          </cell>
          <cell r="O11">
            <v>41572924</v>
          </cell>
        </row>
        <row r="12">
          <cell r="A12">
            <v>3</v>
          </cell>
          <cell r="B12" t="str">
            <v>GARCIA ALVARADO, Dennis Ivan</v>
          </cell>
          <cell r="C12" t="str">
            <v>4097GADI</v>
          </cell>
          <cell r="E12" t="str">
            <v>EMPLEADO</v>
          </cell>
          <cell r="F12" t="str">
            <v>INGENIERO DE SEGURIDAD</v>
          </cell>
          <cell r="G12">
            <v>41058</v>
          </cell>
          <cell r="H12">
            <v>5000</v>
          </cell>
          <cell r="I12" t="str">
            <v>SNP</v>
          </cell>
          <cell r="K12">
            <v>0</v>
          </cell>
          <cell r="N12">
            <v>28985</v>
          </cell>
          <cell r="O12">
            <v>40979137</v>
          </cell>
        </row>
        <row r="13">
          <cell r="A13">
            <v>4</v>
          </cell>
          <cell r="B13" t="str">
            <v>HUAMANI YANQUE, Gregorio Ramiro</v>
          </cell>
          <cell r="C13" t="str">
            <v>4017HYG</v>
          </cell>
          <cell r="E13" t="str">
            <v>EMPLEADO</v>
          </cell>
          <cell r="F13" t="str">
            <v>JEFE DE GUARDIA</v>
          </cell>
          <cell r="G13">
            <v>40896</v>
          </cell>
          <cell r="H13">
            <v>4500</v>
          </cell>
          <cell r="I13" t="str">
            <v>SNP</v>
          </cell>
          <cell r="J13">
            <v>5</v>
          </cell>
          <cell r="K13">
            <v>0</v>
          </cell>
          <cell r="N13">
            <v>28941</v>
          </cell>
          <cell r="O13">
            <v>40174947</v>
          </cell>
          <cell r="P13" t="str">
            <v>570-22533445-0-09</v>
          </cell>
        </row>
        <row r="14">
          <cell r="A14">
            <v>5</v>
          </cell>
          <cell r="B14" t="str">
            <v>MENDOZA AGUIRRE, Pedro Pablo</v>
          </cell>
          <cell r="C14" t="str">
            <v>4098MAP</v>
          </cell>
          <cell r="E14" t="str">
            <v>EMPLEADO</v>
          </cell>
          <cell r="F14" t="str">
            <v>ASIST.PRODUCT.</v>
          </cell>
          <cell r="G14">
            <v>40768</v>
          </cell>
          <cell r="H14">
            <v>1200</v>
          </cell>
          <cell r="I14" t="str">
            <v>PROFUTURO</v>
          </cell>
          <cell r="J14">
            <v>5</v>
          </cell>
          <cell r="K14">
            <v>0</v>
          </cell>
          <cell r="N14">
            <v>29800</v>
          </cell>
          <cell r="O14">
            <v>40983981</v>
          </cell>
          <cell r="P14" t="str">
            <v>570-21830172-0-32</v>
          </cell>
        </row>
        <row r="15">
          <cell r="A15">
            <v>6</v>
          </cell>
          <cell r="B15" t="str">
            <v>MOLLEDA SAYRITUPA, Lucio</v>
          </cell>
          <cell r="C15" t="str">
            <v>2397MSL</v>
          </cell>
          <cell r="D15" t="str">
            <v>573741LMSLR5</v>
          </cell>
          <cell r="E15" t="str">
            <v>EMPLEADO</v>
          </cell>
          <cell r="F15" t="str">
            <v>JEFE DE GUARDIA</v>
          </cell>
          <cell r="G15">
            <v>41006</v>
          </cell>
          <cell r="H15">
            <v>4500</v>
          </cell>
          <cell r="I15" t="str">
            <v>PRIMA</v>
          </cell>
          <cell r="K15">
            <v>0</v>
          </cell>
          <cell r="N15">
            <v>27376</v>
          </cell>
          <cell r="O15">
            <v>23978254</v>
          </cell>
          <cell r="P15" t="str">
            <v>285-23244933-0-96</v>
          </cell>
        </row>
        <row r="16">
          <cell r="A16">
            <v>7</v>
          </cell>
          <cell r="B16" t="str">
            <v>VARGAS CORDOVA, Heydgard Miguel</v>
          </cell>
          <cell r="C16" t="str">
            <v>4071VCH</v>
          </cell>
          <cell r="E16" t="str">
            <v>EMPLEADO</v>
          </cell>
          <cell r="F16" t="str">
            <v>ADMINISTRADOR</v>
          </cell>
          <cell r="G16">
            <v>40938</v>
          </cell>
          <cell r="H16">
            <v>1500</v>
          </cell>
          <cell r="I16" t="str">
            <v>PROFUTURO</v>
          </cell>
          <cell r="J16">
            <v>5</v>
          </cell>
          <cell r="K16">
            <v>67.5</v>
          </cell>
          <cell r="N16">
            <v>29195</v>
          </cell>
          <cell r="O16">
            <v>40716259</v>
          </cell>
          <cell r="P16" t="str">
            <v>365-16318469-0-48</v>
          </cell>
        </row>
        <row r="17">
          <cell r="A17">
            <v>8</v>
          </cell>
          <cell r="B17" t="str">
            <v>YANGALI PARIONA, Fidencio</v>
          </cell>
          <cell r="C17" t="str">
            <v>1988YPF</v>
          </cell>
          <cell r="E17" t="str">
            <v>EMPLEADO</v>
          </cell>
          <cell r="F17" t="str">
            <v>JEFE DE GUARDIA</v>
          </cell>
          <cell r="G17">
            <v>40889</v>
          </cell>
          <cell r="H17">
            <v>6500</v>
          </cell>
          <cell r="I17" t="str">
            <v>INTEGRA</v>
          </cell>
          <cell r="J17">
            <v>5</v>
          </cell>
          <cell r="K17">
            <v>0</v>
          </cell>
          <cell r="N17">
            <v>22236</v>
          </cell>
          <cell r="O17" t="str">
            <v>19886602</v>
          </cell>
          <cell r="P17" t="str">
            <v>193-15797157-0-22</v>
          </cell>
        </row>
        <row r="22">
          <cell r="A22">
            <v>1</v>
          </cell>
          <cell r="B22" t="str">
            <v>ACOSTA SALVATIERRA, Jaime</v>
          </cell>
          <cell r="C22" t="str">
            <v>4435ASJ</v>
          </cell>
          <cell r="D22" t="str">
            <v>594731JASSV9</v>
          </cell>
          <cell r="E22" t="str">
            <v>OBRERO</v>
          </cell>
          <cell r="F22" t="str">
            <v>PERFORISTA A</v>
          </cell>
          <cell r="G22">
            <v>41034</v>
          </cell>
          <cell r="H22">
            <v>50</v>
          </cell>
          <cell r="I22" t="str">
            <v>HORIZONTE</v>
          </cell>
          <cell r="N22">
            <v>29475</v>
          </cell>
          <cell r="O22" t="str">
            <v>44356844</v>
          </cell>
        </row>
        <row r="23">
          <cell r="A23">
            <v>2</v>
          </cell>
          <cell r="B23" t="str">
            <v>ARANDA LAGUNA, Aristides Roger</v>
          </cell>
          <cell r="C23" t="str">
            <v>1953ALA</v>
          </cell>
          <cell r="E23" t="str">
            <v>OBRERO</v>
          </cell>
          <cell r="F23" t="str">
            <v>PERFORISTA A</v>
          </cell>
          <cell r="G23">
            <v>40666</v>
          </cell>
          <cell r="H23">
            <v>50</v>
          </cell>
          <cell r="I23" t="str">
            <v>PRIMA</v>
          </cell>
          <cell r="J23">
            <v>5</v>
          </cell>
          <cell r="K23">
            <v>67.5</v>
          </cell>
          <cell r="N23">
            <v>25446</v>
          </cell>
          <cell r="O23" t="str">
            <v>19539891</v>
          </cell>
          <cell r="P23" t="str">
            <v>570-21508708-0-21</v>
          </cell>
        </row>
        <row r="24">
          <cell r="A24">
            <v>3</v>
          </cell>
          <cell r="B24" t="str">
            <v>ARANDA VASQUEZ, Juan Gilmer</v>
          </cell>
          <cell r="C24" t="str">
            <v>4254AVJ</v>
          </cell>
          <cell r="E24" t="str">
            <v>OBRERO</v>
          </cell>
          <cell r="F24" t="str">
            <v>AYUDANTE PERFORISTA</v>
          </cell>
          <cell r="G24">
            <v>40923</v>
          </cell>
          <cell r="H24">
            <v>44.74</v>
          </cell>
          <cell r="I24" t="str">
            <v>PROFUTURO</v>
          </cell>
          <cell r="J24">
            <v>5</v>
          </cell>
          <cell r="K24">
            <v>0</v>
          </cell>
          <cell r="N24">
            <v>30075</v>
          </cell>
          <cell r="O24" t="str">
            <v>42548445</v>
          </cell>
          <cell r="P24" t="str">
            <v>570-22705081-0-78</v>
          </cell>
        </row>
        <row r="25">
          <cell r="A25">
            <v>4</v>
          </cell>
          <cell r="B25" t="str">
            <v>ARREDONDO VICUÑA, Cesar Martin</v>
          </cell>
          <cell r="C25" t="str">
            <v>1087AVC</v>
          </cell>
          <cell r="E25" t="str">
            <v>OBRERO</v>
          </cell>
          <cell r="F25" t="str">
            <v>MECANICO PERFORADORAS</v>
          </cell>
          <cell r="G25">
            <v>40998</v>
          </cell>
          <cell r="H25">
            <v>55</v>
          </cell>
          <cell r="I25" t="str">
            <v>PRIMA</v>
          </cell>
          <cell r="K25">
            <v>67.5</v>
          </cell>
          <cell r="N25">
            <v>27709</v>
          </cell>
          <cell r="O25" t="str">
            <v>10875218</v>
          </cell>
          <cell r="P25" t="str">
            <v>191-19295054-0-52</v>
          </cell>
        </row>
        <row r="26">
          <cell r="A26">
            <v>5</v>
          </cell>
          <cell r="B26" t="str">
            <v>ASTO CHACON, Benito</v>
          </cell>
          <cell r="C26" t="str">
            <v>4146ACB</v>
          </cell>
          <cell r="D26" t="str">
            <v>596841BACOC0</v>
          </cell>
          <cell r="E26" t="str">
            <v>OBRERO</v>
          </cell>
          <cell r="F26" t="str">
            <v>AYUDANTE PERFORISTA</v>
          </cell>
          <cell r="G26">
            <v>40951</v>
          </cell>
          <cell r="H26">
            <v>44.74</v>
          </cell>
          <cell r="I26" t="str">
            <v>HORIZONTE</v>
          </cell>
          <cell r="K26">
            <v>67.5</v>
          </cell>
          <cell r="N26">
            <v>29686</v>
          </cell>
          <cell r="O26" t="str">
            <v>41460009</v>
          </cell>
          <cell r="P26" t="str">
            <v>570-22871885-0-67</v>
          </cell>
        </row>
        <row r="27">
          <cell r="A27">
            <v>6</v>
          </cell>
          <cell r="B27" t="str">
            <v>BALLENA GARCIA, Juan</v>
          </cell>
          <cell r="C27" t="str">
            <v>1954BGJ</v>
          </cell>
          <cell r="D27" t="str">
            <v>527920MPCDT9</v>
          </cell>
          <cell r="E27" t="str">
            <v>OBRERO</v>
          </cell>
          <cell r="F27" t="str">
            <v>PERFORISTA A</v>
          </cell>
          <cell r="G27">
            <v>41032</v>
          </cell>
          <cell r="H27">
            <v>50</v>
          </cell>
          <cell r="I27" t="str">
            <v>INTEGRA</v>
          </cell>
          <cell r="N27">
            <v>22839</v>
          </cell>
          <cell r="O27" t="str">
            <v>19540755</v>
          </cell>
        </row>
        <row r="28">
          <cell r="A28">
            <v>7</v>
          </cell>
          <cell r="B28" t="str">
            <v>CAIPO CAMPOS, Agustin</v>
          </cell>
          <cell r="C28" t="str">
            <v>1812CCA</v>
          </cell>
          <cell r="E28" t="str">
            <v>OBRERO</v>
          </cell>
          <cell r="F28" t="str">
            <v>AYUDANTE PERFORISTA</v>
          </cell>
          <cell r="G28">
            <v>40631</v>
          </cell>
          <cell r="H28">
            <v>44.74</v>
          </cell>
          <cell r="I28" t="str">
            <v>INTEGRA</v>
          </cell>
          <cell r="J28">
            <v>5</v>
          </cell>
          <cell r="K28">
            <v>67.5</v>
          </cell>
          <cell r="O28" t="str">
            <v>18129734</v>
          </cell>
          <cell r="P28" t="str">
            <v>570-21001047-0-33</v>
          </cell>
        </row>
        <row r="29">
          <cell r="A29">
            <v>8</v>
          </cell>
          <cell r="B29" t="str">
            <v>CARBAJAL ACOSTA, Yansen Carlos</v>
          </cell>
          <cell r="C29" t="str">
            <v>4193CAY</v>
          </cell>
          <cell r="E29" t="str">
            <v>OBRERO</v>
          </cell>
          <cell r="F29" t="str">
            <v>PERFORISTA A</v>
          </cell>
          <cell r="G29">
            <v>40565</v>
          </cell>
          <cell r="H29">
            <v>50</v>
          </cell>
          <cell r="I29" t="str">
            <v>PRIMA</v>
          </cell>
          <cell r="J29">
            <v>5</v>
          </cell>
          <cell r="K29">
            <v>67.5</v>
          </cell>
          <cell r="N29">
            <v>30546</v>
          </cell>
          <cell r="O29" t="str">
            <v>41943907</v>
          </cell>
          <cell r="P29" t="str">
            <v>570-20673493-0-69</v>
          </cell>
        </row>
        <row r="30">
          <cell r="A30">
            <v>9</v>
          </cell>
          <cell r="B30" t="str">
            <v>CASTILLO AGREDA, Enrique Leonidas</v>
          </cell>
          <cell r="C30" t="str">
            <v>1956CAE</v>
          </cell>
          <cell r="E30" t="str">
            <v>OBRERO</v>
          </cell>
          <cell r="F30" t="str">
            <v>CAPATAZ</v>
          </cell>
          <cell r="G30">
            <v>40565</v>
          </cell>
          <cell r="H30">
            <v>65</v>
          </cell>
          <cell r="I30" t="str">
            <v>HORIZONTE</v>
          </cell>
          <cell r="J30">
            <v>5</v>
          </cell>
          <cell r="K30">
            <v>67.5</v>
          </cell>
          <cell r="N30">
            <v>26481</v>
          </cell>
          <cell r="O30" t="str">
            <v>19562069</v>
          </cell>
          <cell r="P30" t="str">
            <v>570-20673553-0-30</v>
          </cell>
        </row>
        <row r="31">
          <cell r="A31">
            <v>10</v>
          </cell>
          <cell r="B31" t="str">
            <v>CESPEDES CHAVEZ, Lenin Carol</v>
          </cell>
          <cell r="C31" t="str">
            <v>4289CCL</v>
          </cell>
          <cell r="E31" t="str">
            <v>OBRERO</v>
          </cell>
          <cell r="F31" t="str">
            <v>PERFORISTA B</v>
          </cell>
          <cell r="G31">
            <v>40768</v>
          </cell>
          <cell r="H31">
            <v>48.3</v>
          </cell>
          <cell r="I31" t="str">
            <v>HORIZONTE</v>
          </cell>
          <cell r="J31">
            <v>5</v>
          </cell>
          <cell r="K31">
            <v>67.5</v>
          </cell>
          <cell r="O31" t="str">
            <v>42898695</v>
          </cell>
          <cell r="P31" t="str">
            <v>570-21830164-0-24</v>
          </cell>
        </row>
        <row r="32">
          <cell r="A32">
            <v>11</v>
          </cell>
          <cell r="B32" t="str">
            <v>CRUZ PALMA, Leoncio Martín</v>
          </cell>
          <cell r="C32" t="str">
            <v>2695CPL</v>
          </cell>
          <cell r="E32" t="str">
            <v>OBRERO</v>
          </cell>
          <cell r="F32" t="str">
            <v>PERFORISTA A</v>
          </cell>
          <cell r="G32">
            <v>40621</v>
          </cell>
          <cell r="H32">
            <v>50</v>
          </cell>
          <cell r="I32" t="str">
            <v>SNP</v>
          </cell>
          <cell r="J32">
            <v>5</v>
          </cell>
          <cell r="K32">
            <v>67.5</v>
          </cell>
          <cell r="O32" t="str">
            <v>26950075</v>
          </cell>
          <cell r="P32" t="str">
            <v>570-21000967-0-52</v>
          </cell>
        </row>
        <row r="33">
          <cell r="A33">
            <v>12</v>
          </cell>
          <cell r="B33" t="str">
            <v>DE LA CRUZ CERNA, Rony</v>
          </cell>
          <cell r="C33" t="str">
            <v>4490DCR</v>
          </cell>
          <cell r="E33" t="str">
            <v>OBRERO</v>
          </cell>
          <cell r="F33" t="str">
            <v>AYUDANTE PERFORISTA</v>
          </cell>
          <cell r="G33">
            <v>40587</v>
          </cell>
          <cell r="H33">
            <v>44.74</v>
          </cell>
          <cell r="I33" t="str">
            <v>SNP</v>
          </cell>
          <cell r="J33">
            <v>5</v>
          </cell>
          <cell r="K33">
            <v>67.5</v>
          </cell>
          <cell r="N33">
            <v>32201</v>
          </cell>
          <cell r="O33" t="str">
            <v>44905172</v>
          </cell>
          <cell r="P33" t="str">
            <v>570-20836816-0-42</v>
          </cell>
        </row>
        <row r="34">
          <cell r="A34">
            <v>13</v>
          </cell>
          <cell r="B34" t="str">
            <v>ESCOBEDO ROBLES, David Josue</v>
          </cell>
          <cell r="C34" t="str">
            <v>4587ERD</v>
          </cell>
          <cell r="E34" t="str">
            <v>OBRERO</v>
          </cell>
          <cell r="F34" t="str">
            <v>AYUDANTE PERFORISTA</v>
          </cell>
          <cell r="G34">
            <v>40831</v>
          </cell>
          <cell r="H34">
            <v>44.74</v>
          </cell>
          <cell r="I34" t="str">
            <v>SNP</v>
          </cell>
          <cell r="J34">
            <v>5</v>
          </cell>
          <cell r="K34">
            <v>0</v>
          </cell>
          <cell r="O34" t="str">
            <v>45875194</v>
          </cell>
          <cell r="P34" t="str">
            <v>570-22189683-0-74</v>
          </cell>
        </row>
        <row r="35">
          <cell r="A35">
            <v>14</v>
          </cell>
          <cell r="B35" t="str">
            <v>FARFAN SANDOVAL, Agustin</v>
          </cell>
          <cell r="C35" t="str">
            <v>4022FSA</v>
          </cell>
          <cell r="E35" t="str">
            <v>OBRERO</v>
          </cell>
          <cell r="F35" t="str">
            <v>AYUDANTE PERFORISTA</v>
          </cell>
          <cell r="G35">
            <v>40824</v>
          </cell>
          <cell r="H35">
            <v>44.74</v>
          </cell>
          <cell r="I35" t="str">
            <v>PROFUTURO</v>
          </cell>
          <cell r="J35">
            <v>5</v>
          </cell>
          <cell r="K35">
            <v>67.5</v>
          </cell>
          <cell r="O35">
            <v>40226248</v>
          </cell>
          <cell r="P35" t="str">
            <v>570-22013630-0-44</v>
          </cell>
        </row>
        <row r="36">
          <cell r="A36">
            <v>15</v>
          </cell>
          <cell r="B36" t="str">
            <v>GONZALES MEZA, Ismael Jesus</v>
          </cell>
          <cell r="C36" t="str">
            <v>4193GMI</v>
          </cell>
          <cell r="D36" t="str">
            <v>601181IGMA5</v>
          </cell>
          <cell r="E36" t="str">
            <v>OBRERO</v>
          </cell>
          <cell r="F36" t="str">
            <v>PEON</v>
          </cell>
          <cell r="G36">
            <v>41058</v>
          </cell>
          <cell r="H36">
            <v>42</v>
          </cell>
          <cell r="I36" t="str">
            <v>INTEGRA</v>
          </cell>
          <cell r="N36">
            <v>30120</v>
          </cell>
          <cell r="O36">
            <v>41935261</v>
          </cell>
        </row>
        <row r="37">
          <cell r="A37">
            <v>16</v>
          </cell>
          <cell r="B37" t="str">
            <v>HONORES NARRO, Roger Edgardo</v>
          </cell>
          <cell r="C37" t="str">
            <v>1814HNR</v>
          </cell>
          <cell r="E37" t="str">
            <v>OBRERO</v>
          </cell>
          <cell r="F37" t="str">
            <v>CHOFER</v>
          </cell>
          <cell r="G37">
            <v>40660</v>
          </cell>
          <cell r="H37">
            <v>50</v>
          </cell>
          <cell r="I37" t="str">
            <v>PRIMA</v>
          </cell>
          <cell r="J37">
            <v>5</v>
          </cell>
          <cell r="K37">
            <v>67.5</v>
          </cell>
          <cell r="N37">
            <v>27153</v>
          </cell>
          <cell r="O37" t="str">
            <v>18145679</v>
          </cell>
          <cell r="P37" t="str">
            <v>570-21191376-0-84</v>
          </cell>
        </row>
        <row r="38">
          <cell r="A38">
            <v>17</v>
          </cell>
          <cell r="B38" t="str">
            <v>JARA YUPANQUI, Edwin Waldi</v>
          </cell>
          <cell r="C38" t="str">
            <v>4137JYE</v>
          </cell>
          <cell r="D38" t="str">
            <v>599221EYAA5</v>
          </cell>
          <cell r="E38" t="str">
            <v>OBRERO</v>
          </cell>
          <cell r="F38" t="str">
            <v>PERFORISTA B</v>
          </cell>
          <cell r="G38">
            <v>41058</v>
          </cell>
          <cell r="H38">
            <v>48.3</v>
          </cell>
          <cell r="I38" t="str">
            <v>PROFUTURO</v>
          </cell>
          <cell r="N38">
            <v>29924</v>
          </cell>
          <cell r="O38" t="str">
            <v>41376673</v>
          </cell>
        </row>
        <row r="39">
          <cell r="A39">
            <v>18</v>
          </cell>
          <cell r="B39" t="str">
            <v>LAGUNA CARHUALLAY, Wilfredo</v>
          </cell>
          <cell r="C39" t="str">
            <v>4103LCW</v>
          </cell>
          <cell r="E39" t="str">
            <v>OBRERO</v>
          </cell>
          <cell r="F39" t="str">
            <v>PERFORISTA B</v>
          </cell>
          <cell r="G39">
            <v>40878</v>
          </cell>
          <cell r="H39">
            <v>48.3</v>
          </cell>
          <cell r="I39" t="str">
            <v>PRIMA</v>
          </cell>
          <cell r="J39">
            <v>5</v>
          </cell>
          <cell r="K39">
            <v>67.5</v>
          </cell>
          <cell r="N39">
            <v>28926</v>
          </cell>
          <cell r="O39">
            <v>41037704</v>
          </cell>
          <cell r="P39" t="str">
            <v>570-22525944-0-32</v>
          </cell>
        </row>
        <row r="40">
          <cell r="A40">
            <v>19</v>
          </cell>
          <cell r="B40" t="str">
            <v>LINARES FERNANDEZ, Lino</v>
          </cell>
          <cell r="C40" t="str">
            <v>0082LFL</v>
          </cell>
          <cell r="E40" t="str">
            <v>OBRERO</v>
          </cell>
          <cell r="F40" t="str">
            <v>PERFORISTA B</v>
          </cell>
          <cell r="G40">
            <v>40586</v>
          </cell>
          <cell r="H40">
            <v>48.3</v>
          </cell>
          <cell r="I40" t="str">
            <v>HORIZONTE</v>
          </cell>
          <cell r="J40">
            <v>5</v>
          </cell>
          <cell r="K40">
            <v>67.5</v>
          </cell>
          <cell r="N40">
            <v>26930</v>
          </cell>
          <cell r="O40" t="str">
            <v>00827976</v>
          </cell>
          <cell r="P40" t="str">
            <v>570-20836830-0-56</v>
          </cell>
        </row>
        <row r="41">
          <cell r="A41">
            <v>20</v>
          </cell>
          <cell r="B41" t="str">
            <v>MALQUI ROLDAN, Elmer</v>
          </cell>
          <cell r="C41" t="str">
            <v>1898MRE</v>
          </cell>
          <cell r="E41" t="str">
            <v>OBRERO</v>
          </cell>
          <cell r="F41" t="str">
            <v>MOTORISTA</v>
          </cell>
          <cell r="G41">
            <v>40652</v>
          </cell>
          <cell r="H41">
            <v>48.3</v>
          </cell>
          <cell r="I41" t="str">
            <v>HORIZONTE</v>
          </cell>
          <cell r="J41">
            <v>5</v>
          </cell>
          <cell r="K41">
            <v>67.5</v>
          </cell>
          <cell r="O41" t="str">
            <v>18985082</v>
          </cell>
          <cell r="P41" t="str">
            <v>570-21191373-0-81</v>
          </cell>
        </row>
        <row r="42">
          <cell r="A42">
            <v>21</v>
          </cell>
          <cell r="B42" t="str">
            <v>MAURICIO ROJALES, Carlos Deyser</v>
          </cell>
          <cell r="C42" t="str">
            <v>4622MRC</v>
          </cell>
          <cell r="E42" t="str">
            <v>OBRERO</v>
          </cell>
          <cell r="F42" t="str">
            <v>AYUDANTE PERFORISTA</v>
          </cell>
          <cell r="G42">
            <v>40831</v>
          </cell>
          <cell r="H42">
            <v>44.74</v>
          </cell>
          <cell r="I42" t="str">
            <v>SNP</v>
          </cell>
          <cell r="J42">
            <v>5</v>
          </cell>
          <cell r="K42">
            <v>0</v>
          </cell>
          <cell r="N42">
            <v>32121</v>
          </cell>
          <cell r="O42" t="str">
            <v>46220081</v>
          </cell>
          <cell r="P42" t="str">
            <v>570-22180563-0-63</v>
          </cell>
        </row>
        <row r="43">
          <cell r="A43">
            <v>22</v>
          </cell>
          <cell r="B43" t="str">
            <v>MELENDEZ ENCO, Pedro Gilberto</v>
          </cell>
          <cell r="C43" t="str">
            <v>2695MEP</v>
          </cell>
          <cell r="E43" t="str">
            <v>OBRERO</v>
          </cell>
          <cell r="F43" t="str">
            <v>MOTORISTA</v>
          </cell>
          <cell r="G43">
            <v>40565</v>
          </cell>
          <cell r="H43">
            <v>48.3</v>
          </cell>
          <cell r="I43" t="str">
            <v>HORIZONTE</v>
          </cell>
          <cell r="J43">
            <v>5</v>
          </cell>
          <cell r="K43">
            <v>67.5</v>
          </cell>
          <cell r="N43">
            <v>25884</v>
          </cell>
          <cell r="O43" t="str">
            <v>26950755</v>
          </cell>
          <cell r="P43" t="str">
            <v>191-20673577-0-99</v>
          </cell>
        </row>
        <row r="44">
          <cell r="A44">
            <v>23</v>
          </cell>
          <cell r="B44" t="str">
            <v>NINAHUANCA QUISPE, Elvis Robert</v>
          </cell>
          <cell r="C44" t="str">
            <v>4623NQE</v>
          </cell>
          <cell r="E44" t="str">
            <v>OBRERO</v>
          </cell>
          <cell r="F44" t="str">
            <v>AYUDANTE PERFORISTA</v>
          </cell>
          <cell r="G44">
            <v>40933</v>
          </cell>
          <cell r="H44">
            <v>44.74</v>
          </cell>
          <cell r="I44" t="str">
            <v>SNP</v>
          </cell>
          <cell r="J44">
            <v>5</v>
          </cell>
          <cell r="K44">
            <v>0</v>
          </cell>
          <cell r="O44">
            <v>46237991</v>
          </cell>
          <cell r="P44" t="str">
            <v>570-22705435-0-36</v>
          </cell>
        </row>
        <row r="45">
          <cell r="A45">
            <v>24</v>
          </cell>
          <cell r="B45" t="str">
            <v>PAREDES SIFUENTES, Hipolito</v>
          </cell>
          <cell r="C45" t="str">
            <v>4544PSH</v>
          </cell>
          <cell r="E45" t="str">
            <v>OBRERO</v>
          </cell>
          <cell r="F45" t="str">
            <v>AYUDANTE PERFORISTA</v>
          </cell>
          <cell r="G45">
            <v>40572</v>
          </cell>
          <cell r="H45">
            <v>44.74</v>
          </cell>
          <cell r="I45" t="str">
            <v>HORIZONTE</v>
          </cell>
          <cell r="J45">
            <v>5</v>
          </cell>
          <cell r="K45">
            <v>0</v>
          </cell>
          <cell r="N45">
            <v>32196</v>
          </cell>
          <cell r="O45">
            <v>45446024</v>
          </cell>
          <cell r="P45" t="str">
            <v>570-20687979-0-01</v>
          </cell>
        </row>
        <row r="46">
          <cell r="A46">
            <v>25</v>
          </cell>
          <cell r="B46" t="str">
            <v>PAREDES YUPANQUI, Teofilo Confesor</v>
          </cell>
          <cell r="C46" t="str">
            <v>4388PYT</v>
          </cell>
          <cell r="E46" t="str">
            <v>OBRERO</v>
          </cell>
          <cell r="F46" t="str">
            <v>PERFORISTA B</v>
          </cell>
          <cell r="G46">
            <v>41006</v>
          </cell>
          <cell r="H46">
            <v>48.3</v>
          </cell>
          <cell r="I46" t="str">
            <v>SNP</v>
          </cell>
          <cell r="K46">
            <v>0</v>
          </cell>
          <cell r="N46">
            <v>31476</v>
          </cell>
          <cell r="O46">
            <v>43811455</v>
          </cell>
          <cell r="P46" t="str">
            <v>570-23244902-0-53</v>
          </cell>
        </row>
        <row r="47">
          <cell r="A47">
            <v>26</v>
          </cell>
          <cell r="B47" t="str">
            <v>PINEDO POLO, Ramiro</v>
          </cell>
          <cell r="C47" t="str">
            <v>1956PPR</v>
          </cell>
          <cell r="E47" t="str">
            <v>OBRERO</v>
          </cell>
          <cell r="F47" t="str">
            <v>AYUDANTE PERFORISTA</v>
          </cell>
          <cell r="G47">
            <v>40626</v>
          </cell>
          <cell r="H47">
            <v>44.74</v>
          </cell>
          <cell r="I47" t="str">
            <v>SNP</v>
          </cell>
          <cell r="J47">
            <v>5</v>
          </cell>
          <cell r="K47">
            <v>67.5</v>
          </cell>
          <cell r="O47">
            <v>19563893</v>
          </cell>
          <cell r="P47" t="str">
            <v>570-21001014-0-00</v>
          </cell>
        </row>
        <row r="48">
          <cell r="A48">
            <v>27</v>
          </cell>
          <cell r="B48" t="str">
            <v>POLO ROBLES, Gonzalo</v>
          </cell>
          <cell r="C48" t="str">
            <v>1957PRG</v>
          </cell>
          <cell r="E48" t="str">
            <v>OBRERO</v>
          </cell>
          <cell r="F48" t="str">
            <v>CAPATAZ</v>
          </cell>
          <cell r="G48">
            <v>40706</v>
          </cell>
          <cell r="H48">
            <v>65</v>
          </cell>
          <cell r="I48" t="str">
            <v>HORIZONTE</v>
          </cell>
          <cell r="J48">
            <v>5</v>
          </cell>
          <cell r="K48">
            <v>67.5</v>
          </cell>
          <cell r="O48">
            <v>19571148</v>
          </cell>
          <cell r="P48" t="str">
            <v>570-21491227-0-64</v>
          </cell>
        </row>
        <row r="49">
          <cell r="A49">
            <v>28</v>
          </cell>
          <cell r="B49" t="str">
            <v>PRADO CASTILLO, Robert Armando</v>
          </cell>
          <cell r="C49" t="str">
            <v>4366PCR</v>
          </cell>
          <cell r="E49" t="str">
            <v>OBRERO</v>
          </cell>
          <cell r="F49" t="str">
            <v>MOTORISTA</v>
          </cell>
          <cell r="G49">
            <v>40649</v>
          </cell>
          <cell r="H49">
            <v>48.3</v>
          </cell>
          <cell r="I49" t="str">
            <v>SNP</v>
          </cell>
          <cell r="J49">
            <v>5</v>
          </cell>
          <cell r="K49">
            <v>67.5</v>
          </cell>
          <cell r="O49">
            <v>43663692</v>
          </cell>
          <cell r="P49" t="str">
            <v>570-21191368-0-76</v>
          </cell>
        </row>
        <row r="50">
          <cell r="A50">
            <v>29</v>
          </cell>
          <cell r="B50" t="str">
            <v>QUESQUEN SALDAÑA, Henrry Arnaldo</v>
          </cell>
          <cell r="C50" t="str">
            <v>4070QSH</v>
          </cell>
          <cell r="E50" t="str">
            <v>OBRERO</v>
          </cell>
          <cell r="F50" t="str">
            <v>CHOFER</v>
          </cell>
          <cell r="G50">
            <v>41006</v>
          </cell>
          <cell r="H50">
            <v>50</v>
          </cell>
          <cell r="I50" t="str">
            <v>PRIMA</v>
          </cell>
          <cell r="K50">
            <v>67.5</v>
          </cell>
          <cell r="N50">
            <v>28950</v>
          </cell>
          <cell r="O50">
            <v>40730102</v>
          </cell>
          <cell r="P50" t="str">
            <v>300-23244929-0-08</v>
          </cell>
        </row>
        <row r="51">
          <cell r="A51">
            <v>30</v>
          </cell>
          <cell r="B51" t="str">
            <v>RAMOS RIVERA, Juan Carlos</v>
          </cell>
          <cell r="E51" t="str">
            <v>OBRERO</v>
          </cell>
          <cell r="F51" t="str">
            <v>AYUDANTE PERFORISTA</v>
          </cell>
          <cell r="G51">
            <v>41058</v>
          </cell>
          <cell r="H51">
            <v>44.74</v>
          </cell>
          <cell r="I51" t="str">
            <v>SNP</v>
          </cell>
          <cell r="N51">
            <v>30086</v>
          </cell>
          <cell r="O51">
            <v>42805511</v>
          </cell>
        </row>
        <row r="52">
          <cell r="A52">
            <v>31</v>
          </cell>
          <cell r="B52" t="str">
            <v>REQUENA ARTEAGA, Antonio Zacarias</v>
          </cell>
          <cell r="C52" t="str">
            <v>4078RAA</v>
          </cell>
          <cell r="E52" t="str">
            <v>OBRERO</v>
          </cell>
          <cell r="F52" t="str">
            <v>PERFORISTA A</v>
          </cell>
          <cell r="G52">
            <v>40586</v>
          </cell>
          <cell r="H52">
            <v>50</v>
          </cell>
          <cell r="I52" t="str">
            <v>HORIZONTE</v>
          </cell>
          <cell r="J52">
            <v>5</v>
          </cell>
          <cell r="K52">
            <v>67.5</v>
          </cell>
          <cell r="N52">
            <v>29408</v>
          </cell>
          <cell r="O52">
            <v>40780876</v>
          </cell>
          <cell r="P52" t="str">
            <v>570-20836854-0-80</v>
          </cell>
        </row>
        <row r="53">
          <cell r="A53">
            <v>32</v>
          </cell>
          <cell r="B53" t="str">
            <v>REYES RAMOS, Eucebio Wilmer</v>
          </cell>
          <cell r="C53" t="str">
            <v>4205RRE</v>
          </cell>
          <cell r="E53" t="str">
            <v>OBRERO</v>
          </cell>
          <cell r="F53" t="str">
            <v>PERFORISTA B</v>
          </cell>
          <cell r="G53">
            <v>40586</v>
          </cell>
          <cell r="H53">
            <v>48.3</v>
          </cell>
          <cell r="I53" t="str">
            <v>SNP</v>
          </cell>
          <cell r="J53">
            <v>5</v>
          </cell>
          <cell r="K53">
            <v>0</v>
          </cell>
          <cell r="N53">
            <v>30618</v>
          </cell>
          <cell r="O53">
            <v>42056012</v>
          </cell>
          <cell r="P53" t="str">
            <v>570-20836871-0-97</v>
          </cell>
        </row>
        <row r="54">
          <cell r="A54">
            <v>33</v>
          </cell>
          <cell r="B54" t="str">
            <v>REYES GUTIERRES, Edgar Yonatan</v>
          </cell>
          <cell r="C54" t="str">
            <v>7028RGE</v>
          </cell>
          <cell r="E54" t="str">
            <v>OBRERO</v>
          </cell>
          <cell r="F54" t="str">
            <v>AYUDANTE PERFORISTA</v>
          </cell>
          <cell r="G54">
            <v>41027</v>
          </cell>
          <cell r="H54">
            <v>44.74</v>
          </cell>
          <cell r="I54" t="str">
            <v>PRIMA</v>
          </cell>
          <cell r="J54">
            <v>5</v>
          </cell>
          <cell r="K54">
            <v>67.5</v>
          </cell>
          <cell r="N54">
            <v>32616</v>
          </cell>
          <cell r="O54">
            <v>70284655</v>
          </cell>
          <cell r="P54" t="str">
            <v>570-23267488-0-66</v>
          </cell>
        </row>
        <row r="55">
          <cell r="A55">
            <v>34</v>
          </cell>
          <cell r="B55" t="str">
            <v>RIOS TOCAS, Wilmer David</v>
          </cell>
          <cell r="C55" t="str">
            <v>4399RTW</v>
          </cell>
          <cell r="E55" t="str">
            <v>OBRERO</v>
          </cell>
          <cell r="F55" t="str">
            <v>AYUDANTE PERFORISTA</v>
          </cell>
          <cell r="G55">
            <v>40621</v>
          </cell>
          <cell r="H55">
            <v>44.74</v>
          </cell>
          <cell r="I55" t="str">
            <v>PRIMA</v>
          </cell>
          <cell r="J55">
            <v>5</v>
          </cell>
          <cell r="K55">
            <v>67.5</v>
          </cell>
          <cell r="N55">
            <v>30796</v>
          </cell>
          <cell r="O55" t="str">
            <v>43998923</v>
          </cell>
          <cell r="P55" t="str">
            <v>570-21000995-0-80</v>
          </cell>
        </row>
        <row r="56">
          <cell r="A56">
            <v>35</v>
          </cell>
          <cell r="B56" t="str">
            <v>RONDO BAYLON, Rafael Confesor</v>
          </cell>
          <cell r="C56" t="str">
            <v>4621RBR</v>
          </cell>
          <cell r="E56" t="str">
            <v>OBRERO</v>
          </cell>
          <cell r="F56" t="str">
            <v>PERFORISTA B</v>
          </cell>
          <cell r="G56">
            <v>40572</v>
          </cell>
          <cell r="H56">
            <v>48.3</v>
          </cell>
          <cell r="I56" t="str">
            <v>SNP</v>
          </cell>
          <cell r="J56">
            <v>5</v>
          </cell>
          <cell r="K56">
            <v>67.5</v>
          </cell>
          <cell r="N56">
            <v>32791</v>
          </cell>
          <cell r="O56">
            <v>46213379</v>
          </cell>
          <cell r="P56" t="str">
            <v>570-20687975-0-97</v>
          </cell>
        </row>
        <row r="57">
          <cell r="A57">
            <v>36</v>
          </cell>
          <cell r="B57" t="str">
            <v>RODRIGUEZ BERMUDES, Jorge Luis</v>
          </cell>
          <cell r="C57" t="str">
            <v>4378RBJ</v>
          </cell>
          <cell r="E57" t="str">
            <v>OBRERO</v>
          </cell>
          <cell r="F57" t="str">
            <v>PERFORISTA B</v>
          </cell>
          <cell r="G57">
            <v>40565</v>
          </cell>
          <cell r="H57">
            <v>48.3</v>
          </cell>
          <cell r="I57" t="str">
            <v>PROFUTURO</v>
          </cell>
          <cell r="J57">
            <v>5</v>
          </cell>
          <cell r="K57">
            <v>67.5</v>
          </cell>
          <cell r="N57">
            <v>31687</v>
          </cell>
          <cell r="O57" t="str">
            <v>43788527</v>
          </cell>
          <cell r="P57" t="str">
            <v>570-20673468-0-44</v>
          </cell>
        </row>
        <row r="58">
          <cell r="A58">
            <v>37</v>
          </cell>
          <cell r="B58" t="str">
            <v>RODRIGUEZ TACANGA, José Nicolas</v>
          </cell>
          <cell r="C58" t="str">
            <v>1970RTJ</v>
          </cell>
          <cell r="E58" t="str">
            <v>OBRERO</v>
          </cell>
          <cell r="F58" t="str">
            <v>AYUDANTE PERFORISTA</v>
          </cell>
          <cell r="G58">
            <v>40621</v>
          </cell>
          <cell r="H58">
            <v>44.74</v>
          </cell>
          <cell r="I58" t="str">
            <v>PRIMA</v>
          </cell>
          <cell r="J58">
            <v>5</v>
          </cell>
          <cell r="K58">
            <v>67.5</v>
          </cell>
          <cell r="N58">
            <v>27736</v>
          </cell>
          <cell r="O58">
            <v>19703165</v>
          </cell>
          <cell r="P58" t="str">
            <v>570-21000986-0-71</v>
          </cell>
        </row>
        <row r="59">
          <cell r="A59">
            <v>38</v>
          </cell>
          <cell r="B59" t="str">
            <v>SANTILLÁN VALDERRAMA, Isidro</v>
          </cell>
          <cell r="C59" t="str">
            <v>2695SVI</v>
          </cell>
          <cell r="E59" t="str">
            <v>OBRERO</v>
          </cell>
          <cell r="F59" t="str">
            <v>AYUDANTE MOTORISTA</v>
          </cell>
          <cell r="G59">
            <v>40565</v>
          </cell>
          <cell r="H59">
            <v>48.3</v>
          </cell>
          <cell r="I59" t="str">
            <v>INTEGRA</v>
          </cell>
          <cell r="J59">
            <v>5</v>
          </cell>
          <cell r="K59">
            <v>67.5</v>
          </cell>
          <cell r="N59">
            <v>26679</v>
          </cell>
          <cell r="O59" t="str">
            <v>26957509</v>
          </cell>
          <cell r="P59" t="str">
            <v>245-19665680-0-48</v>
          </cell>
        </row>
        <row r="60">
          <cell r="A60">
            <v>39</v>
          </cell>
          <cell r="B60" t="str">
            <v>SOTO MARTINEZ, Percy</v>
          </cell>
          <cell r="C60" t="str">
            <v>2007SMP</v>
          </cell>
          <cell r="E60" t="str">
            <v>OBRERO</v>
          </cell>
          <cell r="F60" t="str">
            <v>AYUDANTE PERFORISTA</v>
          </cell>
          <cell r="G60">
            <v>40933</v>
          </cell>
          <cell r="H60">
            <v>44.74</v>
          </cell>
          <cell r="I60" t="str">
            <v>SNP</v>
          </cell>
          <cell r="J60">
            <v>5</v>
          </cell>
          <cell r="K60">
            <v>67.5</v>
          </cell>
          <cell r="O60" t="str">
            <v>20079645</v>
          </cell>
          <cell r="P60" t="str">
            <v>570-22705410-0-11</v>
          </cell>
        </row>
        <row r="61">
          <cell r="A61">
            <v>40</v>
          </cell>
          <cell r="B61" t="str">
            <v>TICLIA AVILA, Hipolito</v>
          </cell>
          <cell r="C61" t="str">
            <v>2695TAH</v>
          </cell>
          <cell r="E61" t="str">
            <v>OBRERO</v>
          </cell>
          <cell r="F61" t="str">
            <v>PERFORISTA B</v>
          </cell>
          <cell r="G61">
            <v>40625</v>
          </cell>
          <cell r="H61">
            <v>48.3</v>
          </cell>
          <cell r="I61" t="str">
            <v>HORIZONTE</v>
          </cell>
          <cell r="J61">
            <v>5</v>
          </cell>
          <cell r="K61">
            <v>67.5</v>
          </cell>
          <cell r="O61">
            <v>26956693</v>
          </cell>
          <cell r="P61" t="str">
            <v>570-21000979-0-64</v>
          </cell>
        </row>
        <row r="62">
          <cell r="A62">
            <v>41</v>
          </cell>
          <cell r="B62" t="str">
            <v>VALDERRAMA ACOSTA, Roberto</v>
          </cell>
          <cell r="C62" t="str">
            <v>1956VAR</v>
          </cell>
          <cell r="E62" t="str">
            <v>OBRERO</v>
          </cell>
          <cell r="F62" t="str">
            <v>PERFORISTA A</v>
          </cell>
          <cell r="G62">
            <v>40565</v>
          </cell>
          <cell r="H62">
            <v>50</v>
          </cell>
          <cell r="I62" t="str">
            <v>HORIZONTE</v>
          </cell>
          <cell r="J62">
            <v>5</v>
          </cell>
          <cell r="K62">
            <v>67.5</v>
          </cell>
          <cell r="N62">
            <v>26818</v>
          </cell>
          <cell r="O62">
            <v>19564533</v>
          </cell>
          <cell r="P62" t="str">
            <v>570-20673463-0-39</v>
          </cell>
        </row>
        <row r="63">
          <cell r="A63">
            <v>42</v>
          </cell>
          <cell r="B63" t="str">
            <v>VALDERRAMA ACOSTA, Dandy</v>
          </cell>
          <cell r="C63" t="str">
            <v>4296VAD</v>
          </cell>
          <cell r="E63" t="str">
            <v>OBRERO</v>
          </cell>
          <cell r="F63" t="str">
            <v>CAPATAZ</v>
          </cell>
          <cell r="G63">
            <v>40579</v>
          </cell>
          <cell r="H63">
            <v>65</v>
          </cell>
          <cell r="I63" t="str">
            <v>HORIZONTE</v>
          </cell>
          <cell r="J63">
            <v>5</v>
          </cell>
          <cell r="K63">
            <v>0</v>
          </cell>
          <cell r="N63">
            <v>31133</v>
          </cell>
          <cell r="O63">
            <v>42969183</v>
          </cell>
          <cell r="P63" t="str">
            <v>570-20836692-0-18</v>
          </cell>
        </row>
        <row r="64">
          <cell r="A64">
            <v>43</v>
          </cell>
          <cell r="B64" t="str">
            <v>VASQUEZ ARANDA, Luís</v>
          </cell>
          <cell r="C64" t="str">
            <v>4323VAY</v>
          </cell>
          <cell r="E64" t="str">
            <v>OBRERO</v>
          </cell>
          <cell r="F64" t="str">
            <v>AYUDANTE PERFORISTA</v>
          </cell>
          <cell r="G64">
            <v>41006</v>
          </cell>
          <cell r="H64">
            <v>44.74</v>
          </cell>
          <cell r="I64" t="str">
            <v>SNP</v>
          </cell>
          <cell r="K64">
            <v>0</v>
          </cell>
          <cell r="N64">
            <v>31331</v>
          </cell>
          <cell r="O64">
            <v>43236660</v>
          </cell>
          <cell r="P64" t="str">
            <v>570-23248658-0-46</v>
          </cell>
        </row>
        <row r="65">
          <cell r="A65">
            <v>44</v>
          </cell>
          <cell r="B65" t="str">
            <v>YUPANQUI BRICEÑO, Felix Paulino</v>
          </cell>
          <cell r="C65" t="str">
            <v>1956YBF</v>
          </cell>
          <cell r="E65" t="str">
            <v>OBRERO</v>
          </cell>
          <cell r="F65" t="str">
            <v>CAPATAZ</v>
          </cell>
          <cell r="G65">
            <v>41006</v>
          </cell>
          <cell r="H65">
            <v>65</v>
          </cell>
          <cell r="I65" t="str">
            <v>HORIZONTE</v>
          </cell>
          <cell r="K65">
            <v>67.5</v>
          </cell>
          <cell r="N65">
            <v>27017</v>
          </cell>
          <cell r="O65">
            <v>19564534</v>
          </cell>
          <cell r="P65" t="str">
            <v>570-23244894-0-44</v>
          </cell>
        </row>
      </sheetData>
      <sheetData sheetId="1" refreshError="1"/>
      <sheetData sheetId="2" refreshError="1"/>
      <sheetData sheetId="3" refreshError="1">
        <row r="15">
          <cell r="B15">
            <v>1</v>
          </cell>
          <cell r="C15" t="str">
            <v>ACOSTA SALVATIERRA, Jaime</v>
          </cell>
          <cell r="D15" t="str">
            <v>44356844</v>
          </cell>
          <cell r="E15">
            <v>29475</v>
          </cell>
          <cell r="F15" t="str">
            <v>PERFORISTA A</v>
          </cell>
          <cell r="G15">
            <v>41034</v>
          </cell>
          <cell r="H15">
            <v>50</v>
          </cell>
          <cell r="I15" t="str">
            <v>HORIZONTE</v>
          </cell>
          <cell r="J15">
            <v>21</v>
          </cell>
          <cell r="K15">
            <v>6</v>
          </cell>
          <cell r="L15">
            <v>0</v>
          </cell>
          <cell r="M15">
            <v>0</v>
          </cell>
          <cell r="N15">
            <v>189</v>
          </cell>
          <cell r="R15">
            <v>1050</v>
          </cell>
          <cell r="S15">
            <v>300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AE15">
            <v>0</v>
          </cell>
          <cell r="AF15">
            <v>0</v>
          </cell>
          <cell r="AJ15">
            <v>1350</v>
          </cell>
          <cell r="AK15">
            <v>1350</v>
          </cell>
          <cell r="AL15">
            <v>0</v>
          </cell>
          <cell r="AM15">
            <v>135</v>
          </cell>
          <cell r="AN15">
            <v>26.324999999999999</v>
          </cell>
          <cell r="AO15">
            <v>18.360000000000003</v>
          </cell>
          <cell r="AP15">
            <v>27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74</v>
          </cell>
          <cell r="AZ15">
            <v>280.685</v>
          </cell>
          <cell r="BA15">
            <v>1069.3150000000001</v>
          </cell>
          <cell r="BC15">
            <v>121.5</v>
          </cell>
          <cell r="BD15">
            <v>6.4799999999999995</v>
          </cell>
          <cell r="BE15">
            <v>27</v>
          </cell>
          <cell r="BF15">
            <v>13.5</v>
          </cell>
          <cell r="BG15">
            <v>101.25</v>
          </cell>
          <cell r="BH15">
            <v>269.73</v>
          </cell>
        </row>
        <row r="16">
          <cell r="B16">
            <v>2</v>
          </cell>
          <cell r="C16" t="str">
            <v>ARANDA LAGUNA, Aristides Roger</v>
          </cell>
          <cell r="D16" t="str">
            <v>19539891</v>
          </cell>
          <cell r="E16">
            <v>25446</v>
          </cell>
          <cell r="F16" t="str">
            <v>PERFORISTA A</v>
          </cell>
          <cell r="G16">
            <v>40666</v>
          </cell>
          <cell r="H16">
            <v>50</v>
          </cell>
          <cell r="I16" t="str">
            <v>PRIMA</v>
          </cell>
          <cell r="J16">
            <v>23</v>
          </cell>
          <cell r="K16">
            <v>5</v>
          </cell>
          <cell r="L16">
            <v>0</v>
          </cell>
          <cell r="M16">
            <v>0</v>
          </cell>
          <cell r="N16">
            <v>153</v>
          </cell>
          <cell r="R16">
            <v>1150</v>
          </cell>
          <cell r="S16">
            <v>250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67.5</v>
          </cell>
          <cell r="Y16">
            <v>150</v>
          </cell>
          <cell r="AJ16">
            <v>1617.5</v>
          </cell>
          <cell r="AK16">
            <v>1617.5</v>
          </cell>
          <cell r="AL16">
            <v>0</v>
          </cell>
          <cell r="AM16">
            <v>161.75</v>
          </cell>
          <cell r="AN16">
            <v>28.306250000000002</v>
          </cell>
          <cell r="AO16">
            <v>20.865749999999998</v>
          </cell>
          <cell r="AP16">
            <v>32.35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118.5</v>
          </cell>
          <cell r="AZ16">
            <v>361.77199999999999</v>
          </cell>
          <cell r="BA16">
            <v>1255.7280000000001</v>
          </cell>
          <cell r="BC16">
            <v>145.57499999999999</v>
          </cell>
          <cell r="BD16">
            <v>7.7639999999999993</v>
          </cell>
          <cell r="BE16">
            <v>32.35</v>
          </cell>
          <cell r="BF16">
            <v>16.175000000000001</v>
          </cell>
          <cell r="BG16">
            <v>121.3125</v>
          </cell>
          <cell r="BH16">
            <v>323.17650000000003</v>
          </cell>
        </row>
        <row r="17">
          <cell r="B17">
            <v>3</v>
          </cell>
          <cell r="C17" t="str">
            <v>ARANDA VASQUEZ, Juan Gilmer</v>
          </cell>
          <cell r="D17" t="str">
            <v>42548445</v>
          </cell>
          <cell r="E17">
            <v>30075</v>
          </cell>
          <cell r="F17" t="str">
            <v>AYUDANTE PERFORISTA</v>
          </cell>
          <cell r="G17">
            <v>40923</v>
          </cell>
          <cell r="H17">
            <v>44.74</v>
          </cell>
          <cell r="I17" t="str">
            <v>PROFUTURO</v>
          </cell>
          <cell r="J17">
            <v>23</v>
          </cell>
          <cell r="K17">
            <v>5</v>
          </cell>
          <cell r="L17">
            <v>0</v>
          </cell>
          <cell r="M17">
            <v>0</v>
          </cell>
          <cell r="N17">
            <v>180</v>
          </cell>
          <cell r="R17">
            <v>1029.02</v>
          </cell>
          <cell r="S17">
            <v>223.70000000000002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134.22</v>
          </cell>
          <cell r="AE17">
            <v>0</v>
          </cell>
          <cell r="AF17">
            <v>0</v>
          </cell>
          <cell r="AJ17">
            <v>1386.94</v>
          </cell>
          <cell r="AK17">
            <v>1386.94</v>
          </cell>
          <cell r="AL17">
            <v>0</v>
          </cell>
          <cell r="AM17">
            <v>138.69400000000002</v>
          </cell>
          <cell r="AN17">
            <v>29.680516000000004</v>
          </cell>
          <cell r="AO17">
            <v>19.694548000000001</v>
          </cell>
          <cell r="AP17">
            <v>27.738800000000001</v>
          </cell>
          <cell r="AQ17">
            <v>0</v>
          </cell>
          <cell r="AR17">
            <v>5</v>
          </cell>
          <cell r="AS17">
            <v>0</v>
          </cell>
          <cell r="AT17">
            <v>0</v>
          </cell>
          <cell r="AU17">
            <v>0</v>
          </cell>
          <cell r="AV17">
            <v>100</v>
          </cell>
          <cell r="AZ17">
            <v>320.807864</v>
          </cell>
          <cell r="BA17">
            <v>1066.1321360000002</v>
          </cell>
          <cell r="BC17">
            <v>124.8246</v>
          </cell>
          <cell r="BD17">
            <v>6.6573120000000001</v>
          </cell>
          <cell r="BE17">
            <v>27.738800000000001</v>
          </cell>
          <cell r="BF17">
            <v>13.869400000000001</v>
          </cell>
          <cell r="BG17">
            <v>104.0205</v>
          </cell>
          <cell r="BH17">
            <v>277.110612</v>
          </cell>
        </row>
        <row r="18">
          <cell r="B18">
            <v>4</v>
          </cell>
          <cell r="C18" t="str">
            <v>ARREDONDO VICUÑA, Cesar Martin</v>
          </cell>
          <cell r="D18" t="str">
            <v>10875218</v>
          </cell>
          <cell r="E18">
            <v>27709</v>
          </cell>
          <cell r="F18" t="str">
            <v>MECANICO PERFORADORAS</v>
          </cell>
          <cell r="G18">
            <v>40998</v>
          </cell>
          <cell r="H18">
            <v>55</v>
          </cell>
          <cell r="I18" t="str">
            <v>PRIMA</v>
          </cell>
          <cell r="J18">
            <v>19</v>
          </cell>
          <cell r="K18">
            <v>5</v>
          </cell>
          <cell r="L18">
            <v>0</v>
          </cell>
          <cell r="M18">
            <v>7</v>
          </cell>
          <cell r="N18">
            <v>144</v>
          </cell>
          <cell r="R18">
            <v>1045</v>
          </cell>
          <cell r="S18">
            <v>275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67.5</v>
          </cell>
          <cell r="Y18">
            <v>0</v>
          </cell>
          <cell r="AE18">
            <v>0</v>
          </cell>
          <cell r="AF18">
            <v>0</v>
          </cell>
          <cell r="AJ18">
            <v>1387.5</v>
          </cell>
          <cell r="AK18">
            <v>1387.5</v>
          </cell>
          <cell r="AL18">
            <v>0</v>
          </cell>
          <cell r="AM18">
            <v>138.75</v>
          </cell>
          <cell r="AN18">
            <v>24.281250000000004</v>
          </cell>
          <cell r="AO18">
            <v>17.89875</v>
          </cell>
          <cell r="AP18">
            <v>27.75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34</v>
          </cell>
          <cell r="AZ18">
            <v>242.68</v>
          </cell>
          <cell r="BA18">
            <v>1144.82</v>
          </cell>
          <cell r="BC18">
            <v>124.875</v>
          </cell>
          <cell r="BD18">
            <v>6.6599999999999993</v>
          </cell>
          <cell r="BE18">
            <v>27.75</v>
          </cell>
          <cell r="BF18">
            <v>13.875</v>
          </cell>
          <cell r="BG18">
            <v>104.0625</v>
          </cell>
          <cell r="BH18">
            <v>277.22249999999997</v>
          </cell>
        </row>
        <row r="19">
          <cell r="B19">
            <v>5</v>
          </cell>
          <cell r="C19" t="str">
            <v>ASTO CHACON, Benito</v>
          </cell>
          <cell r="D19" t="str">
            <v>41460009</v>
          </cell>
          <cell r="E19">
            <v>29686</v>
          </cell>
          <cell r="F19" t="str">
            <v>AYUDANTE PERFORISTA</v>
          </cell>
          <cell r="G19">
            <v>40951</v>
          </cell>
          <cell r="H19">
            <v>44.74</v>
          </cell>
          <cell r="I19" t="str">
            <v>HORIZONTE</v>
          </cell>
          <cell r="J19">
            <v>26</v>
          </cell>
          <cell r="K19">
            <v>5</v>
          </cell>
          <cell r="L19">
            <v>0</v>
          </cell>
          <cell r="M19">
            <v>0</v>
          </cell>
          <cell r="N19">
            <v>225</v>
          </cell>
          <cell r="R19">
            <v>1163.24</v>
          </cell>
          <cell r="S19">
            <v>223.70000000000002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67.5</v>
          </cell>
          <cell r="Y19">
            <v>0</v>
          </cell>
          <cell r="AJ19">
            <v>1454.44</v>
          </cell>
          <cell r="AK19">
            <v>1454.44</v>
          </cell>
          <cell r="AL19">
            <v>0</v>
          </cell>
          <cell r="AM19">
            <v>145.44400000000002</v>
          </cell>
          <cell r="AN19">
            <v>28.36158</v>
          </cell>
          <cell r="AO19">
            <v>19.780384000000002</v>
          </cell>
          <cell r="AP19">
            <v>29.088800000000003</v>
          </cell>
          <cell r="AQ19">
            <v>0</v>
          </cell>
          <cell r="AR19">
            <v>5</v>
          </cell>
          <cell r="AS19">
            <v>0</v>
          </cell>
          <cell r="AT19">
            <v>0</v>
          </cell>
          <cell r="AU19">
            <v>0</v>
          </cell>
          <cell r="AV19">
            <v>63.5</v>
          </cell>
          <cell r="AZ19">
            <v>291.17476399999998</v>
          </cell>
          <cell r="BA19">
            <v>1163.2652360000002</v>
          </cell>
          <cell r="BC19">
            <v>130.89959999999999</v>
          </cell>
          <cell r="BD19">
            <v>6.981312</v>
          </cell>
          <cell r="BE19">
            <v>29.088800000000003</v>
          </cell>
          <cell r="BF19">
            <v>14.544400000000001</v>
          </cell>
          <cell r="BG19">
            <v>109.083</v>
          </cell>
          <cell r="BH19">
            <v>290.59711199999998</v>
          </cell>
        </row>
        <row r="20">
          <cell r="B20">
            <v>6</v>
          </cell>
          <cell r="C20" t="str">
            <v>BALLENA GARCIA, Juan</v>
          </cell>
          <cell r="D20" t="str">
            <v>19540755</v>
          </cell>
          <cell r="E20">
            <v>22839</v>
          </cell>
          <cell r="F20" t="str">
            <v>PERFORISTA A</v>
          </cell>
          <cell r="G20">
            <v>41032</v>
          </cell>
          <cell r="H20">
            <v>50</v>
          </cell>
          <cell r="I20" t="str">
            <v>INTEGRA</v>
          </cell>
          <cell r="J20">
            <v>23</v>
          </cell>
          <cell r="K20">
            <v>3</v>
          </cell>
          <cell r="L20">
            <v>0</v>
          </cell>
          <cell r="M20">
            <v>0</v>
          </cell>
          <cell r="N20">
            <v>135</v>
          </cell>
          <cell r="R20">
            <v>1150</v>
          </cell>
          <cell r="S20">
            <v>150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150</v>
          </cell>
          <cell r="AE20">
            <v>0</v>
          </cell>
          <cell r="AF20">
            <v>0</v>
          </cell>
          <cell r="AJ20">
            <v>1450</v>
          </cell>
          <cell r="AK20">
            <v>1450</v>
          </cell>
          <cell r="AL20">
            <v>0</v>
          </cell>
          <cell r="AM20">
            <v>145</v>
          </cell>
          <cell r="AN20">
            <v>26.1</v>
          </cell>
          <cell r="AO20">
            <v>16.82</v>
          </cell>
          <cell r="AP20">
            <v>29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Z20">
            <v>216.92</v>
          </cell>
          <cell r="BA20">
            <v>1233.08</v>
          </cell>
          <cell r="BC20">
            <v>130.5</v>
          </cell>
          <cell r="BD20">
            <v>6.9599999999999991</v>
          </cell>
          <cell r="BE20">
            <v>29</v>
          </cell>
          <cell r="BF20">
            <v>14.5</v>
          </cell>
          <cell r="BG20">
            <v>108.75</v>
          </cell>
          <cell r="BH20">
            <v>289.71000000000004</v>
          </cell>
        </row>
        <row r="21">
          <cell r="B21">
            <v>7</v>
          </cell>
          <cell r="C21" t="str">
            <v>CAIPO CAMPOS, Agustin</v>
          </cell>
          <cell r="D21" t="str">
            <v>18129734</v>
          </cell>
          <cell r="E21">
            <v>0</v>
          </cell>
          <cell r="F21" t="str">
            <v>AYUDANTE PERFORISTA</v>
          </cell>
          <cell r="G21">
            <v>40631</v>
          </cell>
          <cell r="H21">
            <v>44.74</v>
          </cell>
          <cell r="I21" t="str">
            <v>INTEGRA</v>
          </cell>
          <cell r="J21">
            <v>23</v>
          </cell>
          <cell r="K21">
            <v>5</v>
          </cell>
          <cell r="L21">
            <v>0</v>
          </cell>
          <cell r="M21">
            <v>0</v>
          </cell>
          <cell r="N21">
            <v>180</v>
          </cell>
          <cell r="R21">
            <v>1029.02</v>
          </cell>
          <cell r="S21">
            <v>223.70000000000002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67.5</v>
          </cell>
          <cell r="Y21">
            <v>134.22</v>
          </cell>
          <cell r="AE21">
            <v>0</v>
          </cell>
          <cell r="AF21">
            <v>0</v>
          </cell>
          <cell r="AJ21">
            <v>1454.44</v>
          </cell>
          <cell r="AK21">
            <v>1454.44</v>
          </cell>
          <cell r="AL21">
            <v>0</v>
          </cell>
          <cell r="AM21">
            <v>145.44400000000002</v>
          </cell>
          <cell r="AN21">
            <v>26.179920000000003</v>
          </cell>
          <cell r="AO21">
            <v>16.871503999999998</v>
          </cell>
          <cell r="AP21">
            <v>29.088800000000003</v>
          </cell>
          <cell r="AQ21">
            <v>0</v>
          </cell>
          <cell r="AR21">
            <v>5</v>
          </cell>
          <cell r="AS21">
            <v>0</v>
          </cell>
          <cell r="AT21">
            <v>0</v>
          </cell>
          <cell r="AU21">
            <v>0</v>
          </cell>
          <cell r="AV21">
            <v>43</v>
          </cell>
          <cell r="AZ21">
            <v>265.58422400000001</v>
          </cell>
          <cell r="BA21">
            <v>1188.8557760000001</v>
          </cell>
          <cell r="BC21">
            <v>130.89959999999999</v>
          </cell>
          <cell r="BD21">
            <v>6.981312</v>
          </cell>
          <cell r="BE21">
            <v>29.088800000000003</v>
          </cell>
          <cell r="BF21">
            <v>14.544400000000001</v>
          </cell>
          <cell r="BG21">
            <v>109.083</v>
          </cell>
          <cell r="BH21">
            <v>290.59711199999998</v>
          </cell>
        </row>
        <row r="22">
          <cell r="B22">
            <v>8</v>
          </cell>
          <cell r="C22" t="str">
            <v>CARBAJAL ACOSTA, Yansen Carlos</v>
          </cell>
          <cell r="D22" t="str">
            <v>41943907</v>
          </cell>
          <cell r="E22">
            <v>30546</v>
          </cell>
          <cell r="F22" t="str">
            <v>PERFORISTA A</v>
          </cell>
          <cell r="G22">
            <v>40565</v>
          </cell>
          <cell r="H22">
            <v>50</v>
          </cell>
          <cell r="I22" t="str">
            <v>PRIMA</v>
          </cell>
          <cell r="J22">
            <v>26</v>
          </cell>
          <cell r="K22">
            <v>5</v>
          </cell>
          <cell r="L22">
            <v>0</v>
          </cell>
          <cell r="M22">
            <v>0</v>
          </cell>
          <cell r="N22">
            <v>225</v>
          </cell>
          <cell r="R22">
            <v>1300</v>
          </cell>
          <cell r="S22">
            <v>250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67.5</v>
          </cell>
          <cell r="Y22">
            <v>0</v>
          </cell>
          <cell r="AJ22">
            <v>1617.5</v>
          </cell>
          <cell r="AK22">
            <v>1617.5</v>
          </cell>
          <cell r="AL22">
            <v>0</v>
          </cell>
          <cell r="AM22">
            <v>161.75</v>
          </cell>
          <cell r="AN22">
            <v>28.306250000000002</v>
          </cell>
          <cell r="AO22">
            <v>20.865749999999998</v>
          </cell>
          <cell r="AP22">
            <v>32.35</v>
          </cell>
          <cell r="AQ22">
            <v>0</v>
          </cell>
          <cell r="AR22">
            <v>5</v>
          </cell>
          <cell r="AS22">
            <v>0</v>
          </cell>
          <cell r="AT22">
            <v>0</v>
          </cell>
          <cell r="AU22">
            <v>0</v>
          </cell>
          <cell r="AV22">
            <v>46</v>
          </cell>
          <cell r="AZ22">
            <v>294.27199999999999</v>
          </cell>
          <cell r="BA22">
            <v>1323.2280000000001</v>
          </cell>
          <cell r="BC22">
            <v>145.57499999999999</v>
          </cell>
          <cell r="BD22">
            <v>7.7639999999999993</v>
          </cell>
          <cell r="BE22">
            <v>32.35</v>
          </cell>
          <cell r="BF22">
            <v>16.175000000000001</v>
          </cell>
          <cell r="BG22">
            <v>121.3125</v>
          </cell>
          <cell r="BH22">
            <v>323.17650000000003</v>
          </cell>
        </row>
        <row r="23">
          <cell r="B23">
            <v>9</v>
          </cell>
          <cell r="C23" t="str">
            <v>CASTILLO AGREDA, Enrique Leonidas</v>
          </cell>
          <cell r="D23" t="str">
            <v>19562069</v>
          </cell>
          <cell r="E23">
            <v>26481</v>
          </cell>
          <cell r="F23" t="str">
            <v>CAPATAZ</v>
          </cell>
          <cell r="G23">
            <v>40565</v>
          </cell>
          <cell r="H23">
            <v>65</v>
          </cell>
          <cell r="I23" t="str">
            <v>HORIZONTE</v>
          </cell>
          <cell r="J23">
            <v>25</v>
          </cell>
          <cell r="K23">
            <v>5</v>
          </cell>
          <cell r="L23">
            <v>0</v>
          </cell>
          <cell r="M23">
            <v>1</v>
          </cell>
          <cell r="N23">
            <v>216</v>
          </cell>
          <cell r="R23">
            <v>1625</v>
          </cell>
          <cell r="S23">
            <v>325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67.5</v>
          </cell>
          <cell r="Y23">
            <v>0</v>
          </cell>
          <cell r="AE23">
            <v>0</v>
          </cell>
          <cell r="AF23">
            <v>0</v>
          </cell>
          <cell r="AJ23">
            <v>2017.5</v>
          </cell>
          <cell r="AK23">
            <v>2017.5</v>
          </cell>
          <cell r="AL23">
            <v>0</v>
          </cell>
          <cell r="AM23">
            <v>201.75</v>
          </cell>
          <cell r="AN23">
            <v>39.341250000000002</v>
          </cell>
          <cell r="AO23">
            <v>27.438000000000002</v>
          </cell>
          <cell r="AP23">
            <v>40.35</v>
          </cell>
          <cell r="AQ23">
            <v>48.23</v>
          </cell>
          <cell r="AR23">
            <v>5</v>
          </cell>
          <cell r="AS23">
            <v>0</v>
          </cell>
          <cell r="AT23">
            <v>0</v>
          </cell>
          <cell r="AU23">
            <v>0</v>
          </cell>
          <cell r="AV23">
            <v>43</v>
          </cell>
          <cell r="AZ23">
            <v>405.10925000000003</v>
          </cell>
          <cell r="BA23">
            <v>1612.39075</v>
          </cell>
          <cell r="BC23">
            <v>181.57499999999999</v>
          </cell>
          <cell r="BD23">
            <v>9.6839999999999993</v>
          </cell>
          <cell r="BE23">
            <v>40.35</v>
          </cell>
          <cell r="BF23">
            <v>20.175000000000001</v>
          </cell>
          <cell r="BG23">
            <v>151.3125</v>
          </cell>
          <cell r="BH23">
            <v>403.09649999999999</v>
          </cell>
        </row>
        <row r="24">
          <cell r="B24">
            <v>10</v>
          </cell>
          <cell r="C24" t="str">
            <v>CESPEDES CHAVEZ, Lenin Carol</v>
          </cell>
          <cell r="D24" t="str">
            <v>42898695</v>
          </cell>
          <cell r="E24">
            <v>0</v>
          </cell>
          <cell r="F24" t="str">
            <v>PERFORISTA B</v>
          </cell>
          <cell r="G24">
            <v>40768</v>
          </cell>
          <cell r="H24">
            <v>48.3</v>
          </cell>
          <cell r="I24" t="str">
            <v>HORIZONTE</v>
          </cell>
          <cell r="J24">
            <v>15</v>
          </cell>
          <cell r="K24">
            <v>5</v>
          </cell>
          <cell r="L24">
            <v>0</v>
          </cell>
          <cell r="M24">
            <v>8</v>
          </cell>
          <cell r="N24">
            <v>108</v>
          </cell>
          <cell r="R24">
            <v>724.5</v>
          </cell>
          <cell r="S24">
            <v>241.5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67.5</v>
          </cell>
          <cell r="Y24">
            <v>144.89999999999998</v>
          </cell>
          <cell r="AE24">
            <v>0</v>
          </cell>
          <cell r="AF24">
            <v>0</v>
          </cell>
          <cell r="AJ24">
            <v>1178.4000000000001</v>
          </cell>
          <cell r="AK24">
            <v>1178.4000000000001</v>
          </cell>
          <cell r="AL24">
            <v>0</v>
          </cell>
          <cell r="AM24">
            <v>117.84000000000002</v>
          </cell>
          <cell r="AN24">
            <v>22.978800000000003</v>
          </cell>
          <cell r="AO24">
            <v>16.026240000000001</v>
          </cell>
          <cell r="AP24">
            <v>23.568000000000001</v>
          </cell>
          <cell r="AQ24">
            <v>0</v>
          </cell>
          <cell r="AR24">
            <v>5</v>
          </cell>
          <cell r="AS24">
            <v>0</v>
          </cell>
          <cell r="AT24">
            <v>0</v>
          </cell>
          <cell r="AU24">
            <v>0</v>
          </cell>
          <cell r="AV24">
            <v>75</v>
          </cell>
          <cell r="AZ24">
            <v>260.41304000000002</v>
          </cell>
          <cell r="BA24">
            <v>917.98696000000007</v>
          </cell>
          <cell r="BC24">
            <v>106.056</v>
          </cell>
          <cell r="BD24">
            <v>5.65632</v>
          </cell>
          <cell r="BE24">
            <v>23.568000000000001</v>
          </cell>
          <cell r="BF24">
            <v>11.784000000000001</v>
          </cell>
          <cell r="BG24">
            <v>88.38000000000001</v>
          </cell>
          <cell r="BH24">
            <v>235.44432</v>
          </cell>
        </row>
        <row r="25">
          <cell r="B25">
            <v>11</v>
          </cell>
          <cell r="C25" t="str">
            <v>CRUZ PALMA, Leoncio Martín</v>
          </cell>
          <cell r="D25" t="str">
            <v>26950075</v>
          </cell>
          <cell r="E25">
            <v>0</v>
          </cell>
          <cell r="F25" t="str">
            <v>PERFORISTA A</v>
          </cell>
          <cell r="G25">
            <v>40621</v>
          </cell>
          <cell r="H25">
            <v>50</v>
          </cell>
          <cell r="I25" t="str">
            <v>SNP</v>
          </cell>
          <cell r="J25">
            <v>23</v>
          </cell>
          <cell r="K25">
            <v>5</v>
          </cell>
          <cell r="L25">
            <v>0</v>
          </cell>
          <cell r="M25">
            <v>0</v>
          </cell>
          <cell r="N25">
            <v>153</v>
          </cell>
          <cell r="R25">
            <v>1150</v>
          </cell>
          <cell r="S25">
            <v>250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67.5</v>
          </cell>
          <cell r="Y25">
            <v>150</v>
          </cell>
          <cell r="AJ25">
            <v>1617.5</v>
          </cell>
          <cell r="AK25">
            <v>1617.5</v>
          </cell>
          <cell r="AL25">
            <v>210.27500000000001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5</v>
          </cell>
          <cell r="AS25">
            <v>0</v>
          </cell>
          <cell r="AT25">
            <v>0</v>
          </cell>
          <cell r="AU25">
            <v>0</v>
          </cell>
          <cell r="AV25">
            <v>28</v>
          </cell>
          <cell r="AZ25">
            <v>243.27500000000001</v>
          </cell>
          <cell r="BA25">
            <v>1374.2249999999999</v>
          </cell>
          <cell r="BC25">
            <v>145.57499999999999</v>
          </cell>
          <cell r="BD25">
            <v>7.7639999999999993</v>
          </cell>
          <cell r="BE25">
            <v>0</v>
          </cell>
          <cell r="BF25">
            <v>16.175000000000001</v>
          </cell>
          <cell r="BG25">
            <v>121.3125</v>
          </cell>
          <cell r="BH25">
            <v>290.82650000000001</v>
          </cell>
        </row>
        <row r="26">
          <cell r="B26">
            <v>12</v>
          </cell>
          <cell r="C26" t="str">
            <v>DE LA CRUZ CERNA, Rony</v>
          </cell>
          <cell r="D26" t="str">
            <v>44905172</v>
          </cell>
          <cell r="E26">
            <v>32201</v>
          </cell>
          <cell r="F26" t="str">
            <v>AYUDANTE PERFORISTA</v>
          </cell>
          <cell r="G26">
            <v>40587</v>
          </cell>
          <cell r="H26">
            <v>44.74</v>
          </cell>
          <cell r="I26" t="str">
            <v>SNP</v>
          </cell>
          <cell r="J26">
            <v>23</v>
          </cell>
          <cell r="K26">
            <v>5</v>
          </cell>
          <cell r="L26">
            <v>0</v>
          </cell>
          <cell r="M26">
            <v>0</v>
          </cell>
          <cell r="N26">
            <v>153</v>
          </cell>
          <cell r="R26">
            <v>1029.02</v>
          </cell>
          <cell r="S26">
            <v>223.70000000000002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67.5</v>
          </cell>
          <cell r="Y26">
            <v>134.22</v>
          </cell>
          <cell r="AE26">
            <v>0</v>
          </cell>
          <cell r="AF26">
            <v>0</v>
          </cell>
          <cell r="AJ26">
            <v>1454.44</v>
          </cell>
          <cell r="AK26">
            <v>1454.44</v>
          </cell>
          <cell r="AL26">
            <v>189.0772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R26">
            <v>5</v>
          </cell>
          <cell r="AS26">
            <v>0</v>
          </cell>
          <cell r="AT26">
            <v>0</v>
          </cell>
          <cell r="AU26">
            <v>0</v>
          </cell>
          <cell r="AV26">
            <v>60.5</v>
          </cell>
          <cell r="AZ26">
            <v>254.5772</v>
          </cell>
          <cell r="BA26">
            <v>1199.8628000000001</v>
          </cell>
          <cell r="BC26">
            <v>130.89959999999999</v>
          </cell>
          <cell r="BD26">
            <v>6.981312</v>
          </cell>
          <cell r="BE26">
            <v>0</v>
          </cell>
          <cell r="BF26">
            <v>14.544400000000001</v>
          </cell>
          <cell r="BG26">
            <v>109.083</v>
          </cell>
          <cell r="BH26">
            <v>261.50831199999999</v>
          </cell>
        </row>
        <row r="27">
          <cell r="B27">
            <v>13</v>
          </cell>
          <cell r="C27" t="str">
            <v>ESCOBEDO ROBLES, David Josue</v>
          </cell>
          <cell r="D27" t="str">
            <v>45875194</v>
          </cell>
          <cell r="E27">
            <v>0</v>
          </cell>
          <cell r="F27" t="str">
            <v>AYUDANTE PERFORISTA</v>
          </cell>
          <cell r="G27">
            <v>40831</v>
          </cell>
          <cell r="H27">
            <v>44.74</v>
          </cell>
          <cell r="I27" t="str">
            <v>SNP</v>
          </cell>
          <cell r="J27">
            <v>26</v>
          </cell>
          <cell r="K27">
            <v>5</v>
          </cell>
          <cell r="L27">
            <v>0</v>
          </cell>
          <cell r="M27">
            <v>0</v>
          </cell>
          <cell r="N27">
            <v>225</v>
          </cell>
          <cell r="R27">
            <v>1163.24</v>
          </cell>
          <cell r="S27">
            <v>223.70000000000002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AE27">
            <v>0</v>
          </cell>
          <cell r="AF27">
            <v>0</v>
          </cell>
          <cell r="AJ27">
            <v>1386.94</v>
          </cell>
          <cell r="AK27">
            <v>1386.94</v>
          </cell>
          <cell r="AL27">
            <v>180.3022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5</v>
          </cell>
          <cell r="AS27">
            <v>0</v>
          </cell>
          <cell r="AT27">
            <v>0</v>
          </cell>
          <cell r="AU27">
            <v>0</v>
          </cell>
          <cell r="AV27">
            <v>140.5</v>
          </cell>
          <cell r="AZ27">
            <v>325.80219999999997</v>
          </cell>
          <cell r="BA27">
            <v>1061.1378</v>
          </cell>
          <cell r="BC27">
            <v>124.8246</v>
          </cell>
          <cell r="BD27">
            <v>6.6573120000000001</v>
          </cell>
          <cell r="BE27">
            <v>0</v>
          </cell>
          <cell r="BF27">
            <v>13.869400000000001</v>
          </cell>
          <cell r="BG27">
            <v>104.0205</v>
          </cell>
          <cell r="BH27">
            <v>249.37181200000001</v>
          </cell>
        </row>
        <row r="28">
          <cell r="B28">
            <v>14</v>
          </cell>
          <cell r="C28" t="str">
            <v>FARFAN SANDOVAL, Agustin</v>
          </cell>
          <cell r="D28">
            <v>40226248</v>
          </cell>
          <cell r="E28">
            <v>0</v>
          </cell>
          <cell r="F28" t="str">
            <v>AYUDANTE PERFORISTA</v>
          </cell>
          <cell r="G28">
            <v>40824</v>
          </cell>
          <cell r="H28">
            <v>44.74</v>
          </cell>
          <cell r="I28" t="str">
            <v>PROFUTURO</v>
          </cell>
          <cell r="J28">
            <v>23</v>
          </cell>
          <cell r="K28">
            <v>5</v>
          </cell>
          <cell r="L28">
            <v>0</v>
          </cell>
          <cell r="M28">
            <v>0</v>
          </cell>
          <cell r="N28">
            <v>180</v>
          </cell>
          <cell r="R28">
            <v>1029.02</v>
          </cell>
          <cell r="S28">
            <v>223.70000000000002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67.5</v>
          </cell>
          <cell r="Y28">
            <v>134.22</v>
          </cell>
          <cell r="AJ28">
            <v>1454.44</v>
          </cell>
          <cell r="AK28">
            <v>1454.44</v>
          </cell>
          <cell r="AL28">
            <v>0</v>
          </cell>
          <cell r="AM28">
            <v>145.44400000000002</v>
          </cell>
          <cell r="AN28">
            <v>31.125016000000006</v>
          </cell>
          <cell r="AO28">
            <v>20.653047999999998</v>
          </cell>
          <cell r="AP28">
            <v>29.088800000000003</v>
          </cell>
          <cell r="AQ28">
            <v>0</v>
          </cell>
          <cell r="AR28">
            <v>5</v>
          </cell>
          <cell r="AS28">
            <v>0</v>
          </cell>
          <cell r="AT28">
            <v>0</v>
          </cell>
          <cell r="AU28">
            <v>0</v>
          </cell>
          <cell r="AV28">
            <v>32.5</v>
          </cell>
          <cell r="AZ28">
            <v>263.81086400000004</v>
          </cell>
          <cell r="BA28">
            <v>1190.629136</v>
          </cell>
          <cell r="BC28">
            <v>130.89959999999999</v>
          </cell>
          <cell r="BD28">
            <v>6.981312</v>
          </cell>
          <cell r="BE28">
            <v>29.088800000000003</v>
          </cell>
          <cell r="BF28">
            <v>14.544400000000001</v>
          </cell>
          <cell r="BG28">
            <v>109.083</v>
          </cell>
          <cell r="BH28">
            <v>290.59711199999998</v>
          </cell>
        </row>
        <row r="29">
          <cell r="B29">
            <v>15</v>
          </cell>
          <cell r="C29" t="str">
            <v>GONZALES MEZA, Ismael Jesus</v>
          </cell>
          <cell r="D29">
            <v>41935261</v>
          </cell>
          <cell r="E29">
            <v>30120</v>
          </cell>
          <cell r="F29" t="str">
            <v>PEON</v>
          </cell>
          <cell r="G29">
            <v>41058</v>
          </cell>
          <cell r="H29">
            <v>42</v>
          </cell>
          <cell r="I29" t="str">
            <v>INTEGRA</v>
          </cell>
          <cell r="J29">
            <v>3</v>
          </cell>
          <cell r="K29">
            <v>0</v>
          </cell>
          <cell r="M29">
            <v>0</v>
          </cell>
          <cell r="N29">
            <v>27</v>
          </cell>
          <cell r="R29">
            <v>126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AJ29">
            <v>126</v>
          </cell>
          <cell r="AK29">
            <v>126</v>
          </cell>
          <cell r="AL29">
            <v>0</v>
          </cell>
          <cell r="AM29">
            <v>12.600000000000001</v>
          </cell>
          <cell r="AN29">
            <v>2.2680000000000002</v>
          </cell>
          <cell r="AO29">
            <v>1.4615999999999998</v>
          </cell>
          <cell r="AP29">
            <v>2.52</v>
          </cell>
          <cell r="AQ29">
            <v>0</v>
          </cell>
          <cell r="AR29">
            <v>0</v>
          </cell>
          <cell r="AV29">
            <v>0</v>
          </cell>
          <cell r="AZ29">
            <v>18.849600000000002</v>
          </cell>
          <cell r="BA29">
            <v>107.15039999999999</v>
          </cell>
          <cell r="BC29">
            <v>60.75</v>
          </cell>
          <cell r="BD29">
            <v>0.60479999999999989</v>
          </cell>
          <cell r="BE29">
            <v>2.52</v>
          </cell>
          <cell r="BF29">
            <v>1.26</v>
          </cell>
          <cell r="BG29">
            <v>9.4499999999999993</v>
          </cell>
          <cell r="BH29">
            <v>74.584800000000001</v>
          </cell>
        </row>
        <row r="30">
          <cell r="B30">
            <v>16</v>
          </cell>
          <cell r="C30" t="str">
            <v>HONORES NARRO, Roger Edgardo</v>
          </cell>
          <cell r="D30" t="str">
            <v>18145679</v>
          </cell>
          <cell r="E30">
            <v>27153</v>
          </cell>
          <cell r="F30" t="str">
            <v>CHOFER</v>
          </cell>
          <cell r="G30">
            <v>40660</v>
          </cell>
          <cell r="H30">
            <v>50</v>
          </cell>
          <cell r="I30" t="str">
            <v>PRIMA</v>
          </cell>
          <cell r="J30">
            <v>26</v>
          </cell>
          <cell r="K30">
            <v>5</v>
          </cell>
          <cell r="L30">
            <v>0</v>
          </cell>
          <cell r="M30">
            <v>0</v>
          </cell>
          <cell r="N30">
            <v>225</v>
          </cell>
          <cell r="R30">
            <v>1300</v>
          </cell>
          <cell r="S30">
            <v>250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67.5</v>
          </cell>
          <cell r="Y30">
            <v>0</v>
          </cell>
          <cell r="AE30">
            <v>0</v>
          </cell>
          <cell r="AF30">
            <v>0</v>
          </cell>
          <cell r="AJ30">
            <v>1617.5</v>
          </cell>
          <cell r="AK30">
            <v>1617.5</v>
          </cell>
          <cell r="AL30">
            <v>0</v>
          </cell>
          <cell r="AM30">
            <v>161.75</v>
          </cell>
          <cell r="AN30">
            <v>28.306250000000002</v>
          </cell>
          <cell r="AO30">
            <v>20.865749999999998</v>
          </cell>
          <cell r="AP30">
            <v>32.35</v>
          </cell>
          <cell r="AR30">
            <v>5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Z30">
            <v>248.27199999999999</v>
          </cell>
          <cell r="BA30">
            <v>1369.2280000000001</v>
          </cell>
          <cell r="BC30">
            <v>145.57499999999999</v>
          </cell>
          <cell r="BD30">
            <v>7.7639999999999993</v>
          </cell>
          <cell r="BE30">
            <v>32.35</v>
          </cell>
          <cell r="BF30">
            <v>16.175000000000001</v>
          </cell>
          <cell r="BG30">
            <v>121.3125</v>
          </cell>
          <cell r="BH30">
            <v>323.17650000000003</v>
          </cell>
        </row>
        <row r="31">
          <cell r="B31">
            <v>17</v>
          </cell>
          <cell r="C31" t="str">
            <v>JARA YUPANQUI, Edwin Waldi</v>
          </cell>
          <cell r="D31" t="str">
            <v>41376673</v>
          </cell>
          <cell r="E31">
            <v>29924</v>
          </cell>
          <cell r="F31" t="str">
            <v>PERFORISTA B</v>
          </cell>
          <cell r="G31">
            <v>41058</v>
          </cell>
          <cell r="H31">
            <v>48.3</v>
          </cell>
          <cell r="I31" t="str">
            <v>PROFUTURO</v>
          </cell>
          <cell r="J31">
            <v>3</v>
          </cell>
          <cell r="K31">
            <v>0</v>
          </cell>
          <cell r="M31">
            <v>0</v>
          </cell>
          <cell r="N31">
            <v>27</v>
          </cell>
          <cell r="R31">
            <v>144.89999999999998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AJ31">
            <v>144.89999999999998</v>
          </cell>
          <cell r="AK31">
            <v>144.89999999999998</v>
          </cell>
          <cell r="AL31">
            <v>0</v>
          </cell>
          <cell r="AM31">
            <v>14.489999999999998</v>
          </cell>
          <cell r="AN31">
            <v>3.1008599999999999</v>
          </cell>
          <cell r="AO31">
            <v>2.0575799999999997</v>
          </cell>
          <cell r="AP31">
            <v>2.8979999999999997</v>
          </cell>
          <cell r="AQ31">
            <v>0</v>
          </cell>
          <cell r="AR31">
            <v>0</v>
          </cell>
          <cell r="AV31">
            <v>0</v>
          </cell>
          <cell r="AZ31">
            <v>22.54644</v>
          </cell>
          <cell r="BA31">
            <v>122.35355999999997</v>
          </cell>
          <cell r="BC31">
            <v>60.75</v>
          </cell>
          <cell r="BD31">
            <v>0.69551999999999981</v>
          </cell>
          <cell r="BE31">
            <v>2.8979999999999997</v>
          </cell>
          <cell r="BF31">
            <v>1.4489999999999998</v>
          </cell>
          <cell r="BG31">
            <v>10.867499999999998</v>
          </cell>
          <cell r="BH31">
            <v>76.660019999999989</v>
          </cell>
        </row>
        <row r="32">
          <cell r="B32">
            <v>18</v>
          </cell>
          <cell r="C32" t="str">
            <v>LAGUNA CARHUALLAY, Wilfredo</v>
          </cell>
          <cell r="D32">
            <v>41037704</v>
          </cell>
          <cell r="E32">
            <v>28926</v>
          </cell>
          <cell r="F32" t="str">
            <v>PERFORISTA B</v>
          </cell>
          <cell r="G32">
            <v>40878</v>
          </cell>
          <cell r="H32">
            <v>48.3</v>
          </cell>
          <cell r="I32" t="str">
            <v>PRIMA</v>
          </cell>
          <cell r="J32">
            <v>23</v>
          </cell>
          <cell r="K32">
            <v>5</v>
          </cell>
          <cell r="L32">
            <v>0</v>
          </cell>
          <cell r="M32">
            <v>0</v>
          </cell>
          <cell r="N32">
            <v>153</v>
          </cell>
          <cell r="R32">
            <v>1110.8999999999999</v>
          </cell>
          <cell r="S32">
            <v>241.5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67.5</v>
          </cell>
          <cell r="Y32">
            <v>144.89999999999998</v>
          </cell>
          <cell r="AE32">
            <v>0</v>
          </cell>
          <cell r="AF32">
            <v>0</v>
          </cell>
          <cell r="AJ32">
            <v>1564.7999999999997</v>
          </cell>
          <cell r="AK32">
            <v>1564.7999999999997</v>
          </cell>
          <cell r="AL32">
            <v>0</v>
          </cell>
          <cell r="AM32">
            <v>156.47999999999999</v>
          </cell>
          <cell r="AN32">
            <v>27.383999999999997</v>
          </cell>
          <cell r="AO32">
            <v>20.185919999999996</v>
          </cell>
          <cell r="AP32">
            <v>31.295999999999996</v>
          </cell>
          <cell r="AQ32">
            <v>0</v>
          </cell>
          <cell r="AR32">
            <v>5</v>
          </cell>
          <cell r="AS32">
            <v>0</v>
          </cell>
          <cell r="AT32">
            <v>0</v>
          </cell>
          <cell r="AU32">
            <v>0</v>
          </cell>
          <cell r="AV32">
            <v>91</v>
          </cell>
          <cell r="AZ32">
            <v>331.34591999999998</v>
          </cell>
          <cell r="BA32">
            <v>1233.4540799999997</v>
          </cell>
          <cell r="BC32">
            <v>140.83199999999997</v>
          </cell>
          <cell r="BD32">
            <v>7.5110399999999977</v>
          </cell>
          <cell r="BE32">
            <v>31.295999999999996</v>
          </cell>
          <cell r="BF32">
            <v>15.647999999999998</v>
          </cell>
          <cell r="BG32">
            <v>117.35999999999997</v>
          </cell>
          <cell r="BH32">
            <v>312.64703999999995</v>
          </cell>
        </row>
        <row r="33">
          <cell r="B33">
            <v>19</v>
          </cell>
          <cell r="C33" t="str">
            <v>LINARES FERNANDEZ, Lino</v>
          </cell>
          <cell r="D33" t="str">
            <v>00827976</v>
          </cell>
          <cell r="E33">
            <v>26930</v>
          </cell>
          <cell r="F33" t="str">
            <v>PERFORISTA B</v>
          </cell>
          <cell r="G33">
            <v>40586</v>
          </cell>
          <cell r="H33">
            <v>48.3</v>
          </cell>
          <cell r="I33" t="str">
            <v>HORIZONTE</v>
          </cell>
          <cell r="J33">
            <v>23</v>
          </cell>
          <cell r="K33">
            <v>5</v>
          </cell>
          <cell r="L33">
            <v>0</v>
          </cell>
          <cell r="M33">
            <v>0</v>
          </cell>
          <cell r="N33">
            <v>180</v>
          </cell>
          <cell r="R33">
            <v>1110.8999999999999</v>
          </cell>
          <cell r="S33">
            <v>241.5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67.5</v>
          </cell>
          <cell r="Y33">
            <v>144.89999999999998</v>
          </cell>
          <cell r="AJ33">
            <v>1564.7999999999997</v>
          </cell>
          <cell r="AK33">
            <v>1564.7999999999997</v>
          </cell>
          <cell r="AL33">
            <v>0</v>
          </cell>
          <cell r="AM33">
            <v>156.47999999999999</v>
          </cell>
          <cell r="AN33">
            <v>30.513599999999993</v>
          </cell>
          <cell r="AO33">
            <v>21.281279999999999</v>
          </cell>
          <cell r="AP33">
            <v>31.295999999999996</v>
          </cell>
          <cell r="AQ33">
            <v>0</v>
          </cell>
          <cell r="AR33">
            <v>5</v>
          </cell>
          <cell r="AS33">
            <v>0</v>
          </cell>
          <cell r="AT33">
            <v>0</v>
          </cell>
          <cell r="AU33">
            <v>0</v>
          </cell>
          <cell r="AV33">
            <v>117</v>
          </cell>
          <cell r="AZ33">
            <v>361.57087999999999</v>
          </cell>
          <cell r="BA33">
            <v>1203.2291199999997</v>
          </cell>
          <cell r="BC33">
            <v>140.83199999999997</v>
          </cell>
          <cell r="BD33">
            <v>7.5110399999999977</v>
          </cell>
          <cell r="BE33">
            <v>31.295999999999996</v>
          </cell>
          <cell r="BF33">
            <v>15.647999999999998</v>
          </cell>
          <cell r="BG33">
            <v>117.35999999999997</v>
          </cell>
          <cell r="BH33">
            <v>312.64703999999995</v>
          </cell>
        </row>
        <row r="34">
          <cell r="B34">
            <v>20</v>
          </cell>
          <cell r="C34" t="str">
            <v>MALQUI ROLDAN, Elmer</v>
          </cell>
          <cell r="D34" t="str">
            <v>18985082</v>
          </cell>
          <cell r="E34">
            <v>0</v>
          </cell>
          <cell r="F34" t="str">
            <v>MOTORISTA</v>
          </cell>
          <cell r="G34">
            <v>40652</v>
          </cell>
          <cell r="H34">
            <v>48.3</v>
          </cell>
          <cell r="I34" t="str">
            <v>HORIZONTE</v>
          </cell>
          <cell r="J34">
            <v>23</v>
          </cell>
          <cell r="K34">
            <v>5</v>
          </cell>
          <cell r="L34">
            <v>0</v>
          </cell>
          <cell r="M34">
            <v>0</v>
          </cell>
          <cell r="N34">
            <v>180</v>
          </cell>
          <cell r="R34">
            <v>1110.8999999999999</v>
          </cell>
          <cell r="S34">
            <v>241.5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67.5</v>
          </cell>
          <cell r="Y34">
            <v>144.89999999999998</v>
          </cell>
          <cell r="AE34">
            <v>0</v>
          </cell>
          <cell r="AF34">
            <v>0</v>
          </cell>
          <cell r="AJ34">
            <v>1564.7999999999997</v>
          </cell>
          <cell r="AK34">
            <v>1564.7999999999997</v>
          </cell>
          <cell r="AL34">
            <v>0</v>
          </cell>
          <cell r="AM34">
            <v>156.47999999999999</v>
          </cell>
          <cell r="AN34">
            <v>30.513599999999993</v>
          </cell>
          <cell r="AO34">
            <v>21.281279999999999</v>
          </cell>
          <cell r="AP34">
            <v>31.295999999999996</v>
          </cell>
          <cell r="AR34">
            <v>5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Z34">
            <v>244.57087999999999</v>
          </cell>
          <cell r="BA34">
            <v>1320.2291199999997</v>
          </cell>
          <cell r="BC34">
            <v>140.83199999999997</v>
          </cell>
          <cell r="BD34">
            <v>7.5110399999999977</v>
          </cell>
          <cell r="BE34">
            <v>31.295999999999996</v>
          </cell>
          <cell r="BF34">
            <v>15.647999999999998</v>
          </cell>
          <cell r="BG34">
            <v>117.35999999999997</v>
          </cell>
          <cell r="BH34">
            <v>312.64703999999995</v>
          </cell>
        </row>
        <row r="35">
          <cell r="B35">
            <v>21</v>
          </cell>
          <cell r="C35" t="str">
            <v>MAURICIO ROJALES, Carlos Deyser</v>
          </cell>
          <cell r="D35" t="str">
            <v>46220081</v>
          </cell>
          <cell r="E35">
            <v>32121</v>
          </cell>
          <cell r="F35" t="str">
            <v>AYUDANTE PERFORISTA</v>
          </cell>
          <cell r="G35">
            <v>40831</v>
          </cell>
          <cell r="H35">
            <v>44.74</v>
          </cell>
          <cell r="I35" t="str">
            <v>SNP</v>
          </cell>
          <cell r="J35">
            <v>23</v>
          </cell>
          <cell r="K35">
            <v>5</v>
          </cell>
          <cell r="L35">
            <v>0</v>
          </cell>
          <cell r="M35">
            <v>0</v>
          </cell>
          <cell r="N35">
            <v>180</v>
          </cell>
          <cell r="R35">
            <v>1029.02</v>
          </cell>
          <cell r="S35">
            <v>223.70000000000002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134.22</v>
          </cell>
          <cell r="AJ35">
            <v>1386.94</v>
          </cell>
          <cell r="AK35">
            <v>1386.94</v>
          </cell>
          <cell r="AL35">
            <v>180.3022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5</v>
          </cell>
          <cell r="AS35">
            <v>0</v>
          </cell>
          <cell r="AT35">
            <v>0</v>
          </cell>
          <cell r="AU35">
            <v>0</v>
          </cell>
          <cell r="AV35">
            <v>49</v>
          </cell>
          <cell r="AZ35">
            <v>234.3022</v>
          </cell>
          <cell r="BA35">
            <v>1152.6378</v>
          </cell>
          <cell r="BC35">
            <v>124.8246</v>
          </cell>
          <cell r="BD35">
            <v>6.6573120000000001</v>
          </cell>
          <cell r="BE35">
            <v>0</v>
          </cell>
          <cell r="BF35">
            <v>13.869400000000001</v>
          </cell>
          <cell r="BG35">
            <v>104.0205</v>
          </cell>
          <cell r="BH35">
            <v>249.37181200000001</v>
          </cell>
        </row>
        <row r="36">
          <cell r="B36">
            <v>22</v>
          </cell>
          <cell r="C36" t="str">
            <v>MELENDEZ ENCO, Pedro Gilberto</v>
          </cell>
          <cell r="D36" t="str">
            <v>26950755</v>
          </cell>
          <cell r="E36">
            <v>25884</v>
          </cell>
          <cell r="F36" t="str">
            <v>MOTORISTA</v>
          </cell>
          <cell r="G36">
            <v>40565</v>
          </cell>
          <cell r="H36">
            <v>48.3</v>
          </cell>
          <cell r="I36" t="str">
            <v>HORIZONTE</v>
          </cell>
          <cell r="J36">
            <v>26</v>
          </cell>
          <cell r="K36">
            <v>5</v>
          </cell>
          <cell r="L36">
            <v>0</v>
          </cell>
          <cell r="M36">
            <v>0</v>
          </cell>
          <cell r="N36">
            <v>225</v>
          </cell>
          <cell r="R36">
            <v>1255.8</v>
          </cell>
          <cell r="S36">
            <v>241.5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67.5</v>
          </cell>
          <cell r="Y36">
            <v>0</v>
          </cell>
          <cell r="AE36">
            <v>0</v>
          </cell>
          <cell r="AF36">
            <v>0</v>
          </cell>
          <cell r="AJ36">
            <v>1564.8</v>
          </cell>
          <cell r="AK36">
            <v>1564.8</v>
          </cell>
          <cell r="AL36">
            <v>0</v>
          </cell>
          <cell r="AM36">
            <v>156.48000000000002</v>
          </cell>
          <cell r="AN36">
            <v>30.5136</v>
          </cell>
          <cell r="AO36">
            <v>21.281280000000002</v>
          </cell>
          <cell r="AP36">
            <v>31.295999999999999</v>
          </cell>
          <cell r="AQ36">
            <v>0</v>
          </cell>
          <cell r="AR36">
            <v>5</v>
          </cell>
          <cell r="AS36">
            <v>0</v>
          </cell>
          <cell r="AT36">
            <v>0</v>
          </cell>
          <cell r="AU36">
            <v>0</v>
          </cell>
          <cell r="AV36">
            <v>73</v>
          </cell>
          <cell r="AZ36">
            <v>317.57087999999999</v>
          </cell>
          <cell r="BA36">
            <v>1247.22912</v>
          </cell>
          <cell r="BC36">
            <v>140.83199999999999</v>
          </cell>
          <cell r="BD36">
            <v>7.5110399999999995</v>
          </cell>
          <cell r="BE36">
            <v>31.295999999999999</v>
          </cell>
          <cell r="BF36">
            <v>15.648</v>
          </cell>
          <cell r="BG36">
            <v>117.35999999999999</v>
          </cell>
          <cell r="BH36">
            <v>312.64703999999995</v>
          </cell>
        </row>
        <row r="37">
          <cell r="B37">
            <v>23</v>
          </cell>
          <cell r="C37" t="str">
            <v>NINAHUANCA QUISPE, Elvis Robert</v>
          </cell>
          <cell r="D37">
            <v>46237991</v>
          </cell>
          <cell r="E37">
            <v>0</v>
          </cell>
          <cell r="F37" t="str">
            <v>AYUDANTE PERFORISTA</v>
          </cell>
          <cell r="G37">
            <v>40933</v>
          </cell>
          <cell r="H37">
            <v>44.74</v>
          </cell>
          <cell r="I37" t="str">
            <v>SNP</v>
          </cell>
          <cell r="J37">
            <v>26</v>
          </cell>
          <cell r="K37">
            <v>5</v>
          </cell>
          <cell r="L37">
            <v>0</v>
          </cell>
          <cell r="M37">
            <v>0</v>
          </cell>
          <cell r="N37">
            <v>225</v>
          </cell>
          <cell r="R37">
            <v>1163.24</v>
          </cell>
          <cell r="S37">
            <v>223.70000000000002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AE37">
            <v>0</v>
          </cell>
          <cell r="AF37">
            <v>0</v>
          </cell>
          <cell r="AJ37">
            <v>1386.94</v>
          </cell>
          <cell r="AK37">
            <v>1386.94</v>
          </cell>
          <cell r="AL37">
            <v>180.3022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5</v>
          </cell>
          <cell r="AS37">
            <v>0</v>
          </cell>
          <cell r="AT37">
            <v>0</v>
          </cell>
          <cell r="AU37">
            <v>0</v>
          </cell>
          <cell r="AV37">
            <v>69</v>
          </cell>
          <cell r="AZ37">
            <v>254.3022</v>
          </cell>
          <cell r="BA37">
            <v>1132.6378</v>
          </cell>
          <cell r="BC37">
            <v>124.8246</v>
          </cell>
          <cell r="BD37">
            <v>6.6573120000000001</v>
          </cell>
          <cell r="BE37">
            <v>0</v>
          </cell>
          <cell r="BF37">
            <v>13.869400000000001</v>
          </cell>
          <cell r="BG37">
            <v>104.0205</v>
          </cell>
          <cell r="BH37">
            <v>249.37181200000001</v>
          </cell>
        </row>
        <row r="38">
          <cell r="B38">
            <v>24</v>
          </cell>
          <cell r="C38" t="str">
            <v>PAREDES SIFUENTES, Hipolito</v>
          </cell>
          <cell r="D38">
            <v>45446024</v>
          </cell>
          <cell r="E38">
            <v>32196</v>
          </cell>
          <cell r="F38" t="str">
            <v>AYUDANTE PERFORISTA</v>
          </cell>
          <cell r="G38">
            <v>40572</v>
          </cell>
          <cell r="H38">
            <v>44.74</v>
          </cell>
          <cell r="I38" t="str">
            <v>HORIZONTE</v>
          </cell>
          <cell r="J38">
            <v>24</v>
          </cell>
          <cell r="K38">
            <v>5</v>
          </cell>
          <cell r="L38">
            <v>0</v>
          </cell>
          <cell r="M38">
            <v>2</v>
          </cell>
          <cell r="N38">
            <v>207</v>
          </cell>
          <cell r="R38">
            <v>1073.76</v>
          </cell>
          <cell r="S38">
            <v>223.70000000000002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AJ38">
            <v>1297.46</v>
          </cell>
          <cell r="AK38">
            <v>1297.46</v>
          </cell>
          <cell r="AL38">
            <v>0</v>
          </cell>
          <cell r="AM38">
            <v>129.74600000000001</v>
          </cell>
          <cell r="AN38">
            <v>25.300470000000001</v>
          </cell>
          <cell r="AO38">
            <v>17.645456000000003</v>
          </cell>
          <cell r="AP38">
            <v>25.949200000000001</v>
          </cell>
          <cell r="AR38">
            <v>5</v>
          </cell>
          <cell r="AS38">
            <v>0</v>
          </cell>
          <cell r="AT38">
            <v>0</v>
          </cell>
          <cell r="AU38">
            <v>0</v>
          </cell>
          <cell r="AV38">
            <v>38</v>
          </cell>
          <cell r="AZ38">
            <v>241.64112599999999</v>
          </cell>
          <cell r="BA38">
            <v>1055.8188740000001</v>
          </cell>
          <cell r="BC38">
            <v>116.7714</v>
          </cell>
          <cell r="BD38">
            <v>6.2278079999999996</v>
          </cell>
          <cell r="BE38">
            <v>25.949200000000001</v>
          </cell>
          <cell r="BF38">
            <v>12.974600000000001</v>
          </cell>
          <cell r="BG38">
            <v>97.3095</v>
          </cell>
          <cell r="BH38">
            <v>259.232508</v>
          </cell>
        </row>
        <row r="39">
          <cell r="B39">
            <v>25</v>
          </cell>
          <cell r="C39" t="str">
            <v>PAREDES YUPANQUI, Teofilo Confesor</v>
          </cell>
          <cell r="D39">
            <v>43811455</v>
          </cell>
          <cell r="E39">
            <v>31476</v>
          </cell>
          <cell r="F39" t="str">
            <v>PERFORISTA B</v>
          </cell>
          <cell r="G39">
            <v>41006</v>
          </cell>
          <cell r="H39">
            <v>48.3</v>
          </cell>
          <cell r="I39" t="str">
            <v>SNP</v>
          </cell>
          <cell r="J39">
            <v>23</v>
          </cell>
          <cell r="K39">
            <v>5</v>
          </cell>
          <cell r="L39">
            <v>0</v>
          </cell>
          <cell r="M39">
            <v>0</v>
          </cell>
          <cell r="N39">
            <v>180</v>
          </cell>
          <cell r="R39">
            <v>1110.8999999999999</v>
          </cell>
          <cell r="S39">
            <v>241.5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144.89999999999998</v>
          </cell>
          <cell r="AE39">
            <v>0</v>
          </cell>
          <cell r="AF39">
            <v>0</v>
          </cell>
          <cell r="AJ39">
            <v>1497.2999999999997</v>
          </cell>
          <cell r="AK39">
            <v>1497.2999999999997</v>
          </cell>
          <cell r="AL39">
            <v>194.64899999999997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127</v>
          </cell>
          <cell r="AZ39">
            <v>321.649</v>
          </cell>
          <cell r="BA39">
            <v>1175.6509999999998</v>
          </cell>
          <cell r="BC39">
            <v>134.75699999999998</v>
          </cell>
          <cell r="BD39">
            <v>7.1870399999999979</v>
          </cell>
          <cell r="BE39">
            <v>0</v>
          </cell>
          <cell r="BF39">
            <v>14.972999999999997</v>
          </cell>
          <cell r="BG39">
            <v>112.29749999999997</v>
          </cell>
          <cell r="BH39">
            <v>269.21453999999994</v>
          </cell>
        </row>
        <row r="40">
          <cell r="B40">
            <v>26</v>
          </cell>
          <cell r="C40" t="str">
            <v>PINEDO POLO, Ramiro</v>
          </cell>
          <cell r="D40">
            <v>19563893</v>
          </cell>
          <cell r="E40">
            <v>0</v>
          </cell>
          <cell r="F40" t="str">
            <v>AYUDANTE PERFORISTA</v>
          </cell>
          <cell r="G40">
            <v>40626</v>
          </cell>
          <cell r="H40">
            <v>44.74</v>
          </cell>
          <cell r="I40" t="str">
            <v>SNP</v>
          </cell>
          <cell r="J40">
            <v>26</v>
          </cell>
          <cell r="K40">
            <v>5</v>
          </cell>
          <cell r="L40">
            <v>0</v>
          </cell>
          <cell r="M40">
            <v>0</v>
          </cell>
          <cell r="N40">
            <v>225</v>
          </cell>
          <cell r="R40">
            <v>1163.24</v>
          </cell>
          <cell r="S40">
            <v>223.70000000000002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67.5</v>
          </cell>
          <cell r="Y40">
            <v>0</v>
          </cell>
          <cell r="AE40">
            <v>0</v>
          </cell>
          <cell r="AF40">
            <v>0</v>
          </cell>
          <cell r="AJ40">
            <v>1454.44</v>
          </cell>
          <cell r="AK40">
            <v>1454.44</v>
          </cell>
          <cell r="AL40">
            <v>189.0772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5</v>
          </cell>
          <cell r="AS40">
            <v>0</v>
          </cell>
          <cell r="AT40">
            <v>0</v>
          </cell>
          <cell r="AU40">
            <v>0</v>
          </cell>
          <cell r="AV40">
            <v>94</v>
          </cell>
          <cell r="AZ40">
            <v>288.0772</v>
          </cell>
          <cell r="BA40">
            <v>1166.3628000000001</v>
          </cell>
          <cell r="BC40">
            <v>130.89959999999999</v>
          </cell>
          <cell r="BD40">
            <v>6.981312</v>
          </cell>
          <cell r="BE40">
            <v>0</v>
          </cell>
          <cell r="BF40">
            <v>14.544400000000001</v>
          </cell>
          <cell r="BG40">
            <v>109.083</v>
          </cell>
          <cell r="BH40">
            <v>261.50831199999999</v>
          </cell>
        </row>
        <row r="41">
          <cell r="B41">
            <v>27</v>
          </cell>
          <cell r="C41" t="str">
            <v>POLO ROBLES, Gonzalo</v>
          </cell>
          <cell r="D41">
            <v>19571148</v>
          </cell>
          <cell r="E41">
            <v>0</v>
          </cell>
          <cell r="F41" t="str">
            <v>CAPATAZ</v>
          </cell>
          <cell r="G41">
            <v>40706</v>
          </cell>
          <cell r="H41">
            <v>65</v>
          </cell>
          <cell r="I41" t="str">
            <v>HORIZONTE</v>
          </cell>
          <cell r="J41">
            <v>23</v>
          </cell>
          <cell r="K41">
            <v>5</v>
          </cell>
          <cell r="L41">
            <v>0</v>
          </cell>
          <cell r="M41">
            <v>0</v>
          </cell>
          <cell r="N41">
            <v>180</v>
          </cell>
          <cell r="R41">
            <v>1495</v>
          </cell>
          <cell r="S41">
            <v>325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67.5</v>
          </cell>
          <cell r="Y41">
            <v>195</v>
          </cell>
          <cell r="AJ41">
            <v>2082.5</v>
          </cell>
          <cell r="AK41">
            <v>2082.5</v>
          </cell>
          <cell r="AL41">
            <v>0</v>
          </cell>
          <cell r="AM41">
            <v>208.25</v>
          </cell>
          <cell r="AN41">
            <v>40.608750000000001</v>
          </cell>
          <cell r="AO41">
            <v>28.322000000000003</v>
          </cell>
          <cell r="AP41">
            <v>41.65</v>
          </cell>
          <cell r="AQ41">
            <v>54.3</v>
          </cell>
          <cell r="AR41">
            <v>5</v>
          </cell>
          <cell r="AS41">
            <v>0</v>
          </cell>
          <cell r="AT41">
            <v>0</v>
          </cell>
          <cell r="AU41">
            <v>0</v>
          </cell>
          <cell r="AV41">
            <v>60</v>
          </cell>
          <cell r="AZ41">
            <v>438.13074999999998</v>
          </cell>
          <cell r="BA41">
            <v>1644.36925</v>
          </cell>
          <cell r="BC41">
            <v>187.42499999999998</v>
          </cell>
          <cell r="BD41">
            <v>9.9959999999999987</v>
          </cell>
          <cell r="BE41">
            <v>41.65</v>
          </cell>
          <cell r="BF41">
            <v>20.824999999999999</v>
          </cell>
          <cell r="BG41">
            <v>156.1875</v>
          </cell>
          <cell r="BH41">
            <v>416.08350000000002</v>
          </cell>
        </row>
        <row r="42">
          <cell r="B42">
            <v>28</v>
          </cell>
          <cell r="C42" t="str">
            <v>PRADO CASTILLO, Robert Armando</v>
          </cell>
          <cell r="D42">
            <v>43663692</v>
          </cell>
          <cell r="E42">
            <v>0</v>
          </cell>
          <cell r="F42" t="str">
            <v>MOTORISTA</v>
          </cell>
          <cell r="G42">
            <v>40649</v>
          </cell>
          <cell r="H42">
            <v>48.3</v>
          </cell>
          <cell r="I42" t="str">
            <v>SNP</v>
          </cell>
          <cell r="J42">
            <v>23</v>
          </cell>
          <cell r="K42">
            <v>5</v>
          </cell>
          <cell r="L42">
            <v>0</v>
          </cell>
          <cell r="M42">
            <v>0</v>
          </cell>
          <cell r="N42">
            <v>153</v>
          </cell>
          <cell r="R42">
            <v>1110.8999999999999</v>
          </cell>
          <cell r="S42">
            <v>241.5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67.5</v>
          </cell>
          <cell r="Y42">
            <v>144.89999999999998</v>
          </cell>
          <cell r="AE42">
            <v>0</v>
          </cell>
          <cell r="AF42">
            <v>0</v>
          </cell>
          <cell r="AJ42">
            <v>1564.7999999999997</v>
          </cell>
          <cell r="AK42">
            <v>1564.7999999999997</v>
          </cell>
          <cell r="AL42">
            <v>203.42399999999998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5</v>
          </cell>
          <cell r="AS42">
            <v>0</v>
          </cell>
          <cell r="AT42">
            <v>0</v>
          </cell>
          <cell r="AU42">
            <v>0</v>
          </cell>
          <cell r="AV42">
            <v>61.5</v>
          </cell>
          <cell r="AZ42">
            <v>269.92399999999998</v>
          </cell>
          <cell r="BA42">
            <v>1294.8759999999997</v>
          </cell>
          <cell r="BC42">
            <v>140.83199999999997</v>
          </cell>
          <cell r="BD42">
            <v>7.5110399999999977</v>
          </cell>
          <cell r="BE42">
            <v>0</v>
          </cell>
          <cell r="BF42">
            <v>15.647999999999998</v>
          </cell>
          <cell r="BG42">
            <v>117.35999999999997</v>
          </cell>
          <cell r="BH42">
            <v>281.35103999999995</v>
          </cell>
        </row>
        <row r="43">
          <cell r="B43">
            <v>29</v>
          </cell>
          <cell r="C43" t="str">
            <v>QUESQUEN SALDAÑA, Henrry Arnaldo</v>
          </cell>
          <cell r="D43">
            <v>40730102</v>
          </cell>
          <cell r="E43">
            <v>28950</v>
          </cell>
          <cell r="F43" t="str">
            <v>CHOFER</v>
          </cell>
          <cell r="G43">
            <v>41006</v>
          </cell>
          <cell r="H43">
            <v>50</v>
          </cell>
          <cell r="I43" t="str">
            <v>PRIMA</v>
          </cell>
          <cell r="J43">
            <v>23</v>
          </cell>
          <cell r="K43">
            <v>5</v>
          </cell>
          <cell r="L43">
            <v>0</v>
          </cell>
          <cell r="M43">
            <v>0</v>
          </cell>
          <cell r="N43">
            <v>180</v>
          </cell>
          <cell r="R43">
            <v>1150</v>
          </cell>
          <cell r="S43">
            <v>250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67.5</v>
          </cell>
          <cell r="Y43">
            <v>150</v>
          </cell>
          <cell r="AE43">
            <v>0</v>
          </cell>
          <cell r="AF43">
            <v>0</v>
          </cell>
          <cell r="AJ43">
            <v>1617.5</v>
          </cell>
          <cell r="AK43">
            <v>1617.5</v>
          </cell>
          <cell r="AL43">
            <v>0</v>
          </cell>
          <cell r="AM43">
            <v>161.75</v>
          </cell>
          <cell r="AN43">
            <v>28.306250000000002</v>
          </cell>
          <cell r="AO43">
            <v>20.865749999999998</v>
          </cell>
          <cell r="AP43">
            <v>32.35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Z43">
            <v>243.27199999999999</v>
          </cell>
          <cell r="BA43">
            <v>1374.2280000000001</v>
          </cell>
          <cell r="BC43">
            <v>145.57499999999999</v>
          </cell>
          <cell r="BD43">
            <v>7.7639999999999993</v>
          </cell>
          <cell r="BE43">
            <v>32.35</v>
          </cell>
          <cell r="BF43">
            <v>16.175000000000001</v>
          </cell>
          <cell r="BG43">
            <v>121.3125</v>
          </cell>
          <cell r="BH43">
            <v>323.17650000000003</v>
          </cell>
        </row>
        <row r="44">
          <cell r="B44">
            <v>30</v>
          </cell>
          <cell r="C44" t="str">
            <v>RAMOS RIVERA, Juan Carlos</v>
          </cell>
          <cell r="D44">
            <v>42805511</v>
          </cell>
          <cell r="E44">
            <v>30086</v>
          </cell>
          <cell r="F44" t="str">
            <v>AYUDANTE PERFORISTA</v>
          </cell>
          <cell r="G44">
            <v>41058</v>
          </cell>
          <cell r="H44">
            <v>44.74</v>
          </cell>
          <cell r="I44" t="str">
            <v>SNP</v>
          </cell>
          <cell r="J44">
            <v>3</v>
          </cell>
          <cell r="K44">
            <v>0</v>
          </cell>
          <cell r="M44">
            <v>0</v>
          </cell>
          <cell r="N44">
            <v>27</v>
          </cell>
          <cell r="R44">
            <v>134.22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AJ44">
            <v>134.22</v>
          </cell>
          <cell r="AK44">
            <v>134.22</v>
          </cell>
          <cell r="AL44">
            <v>17.448599999999999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R44">
            <v>0</v>
          </cell>
          <cell r="AV44">
            <v>0</v>
          </cell>
          <cell r="AZ44">
            <v>17.448599999999999</v>
          </cell>
          <cell r="BA44">
            <v>116.7714</v>
          </cell>
          <cell r="BC44">
            <v>60.75</v>
          </cell>
          <cell r="BD44">
            <v>0.64425599999999994</v>
          </cell>
          <cell r="BE44">
            <v>0</v>
          </cell>
          <cell r="BF44">
            <v>1.3422000000000001</v>
          </cell>
          <cell r="BG44">
            <v>10.0665</v>
          </cell>
          <cell r="BH44">
            <v>72.802955999999995</v>
          </cell>
        </row>
        <row r="45">
          <cell r="B45">
            <v>31</v>
          </cell>
          <cell r="C45" t="str">
            <v>REQUENA ARTEAGA, Antonio Zacarias</v>
          </cell>
          <cell r="D45">
            <v>40780876</v>
          </cell>
          <cell r="E45">
            <v>29408</v>
          </cell>
          <cell r="F45" t="str">
            <v>PERFORISTA A</v>
          </cell>
          <cell r="G45">
            <v>40586</v>
          </cell>
          <cell r="H45">
            <v>50</v>
          </cell>
          <cell r="I45" t="str">
            <v>HORIZONTE</v>
          </cell>
          <cell r="J45">
            <v>23</v>
          </cell>
          <cell r="K45">
            <v>5</v>
          </cell>
          <cell r="L45">
            <v>0</v>
          </cell>
          <cell r="M45">
            <v>0</v>
          </cell>
          <cell r="N45">
            <v>180</v>
          </cell>
          <cell r="R45">
            <v>1150</v>
          </cell>
          <cell r="S45">
            <v>250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67.5</v>
          </cell>
          <cell r="Y45">
            <v>150</v>
          </cell>
          <cell r="AJ45">
            <v>1617.5</v>
          </cell>
          <cell r="AK45">
            <v>1617.5</v>
          </cell>
          <cell r="AL45">
            <v>0</v>
          </cell>
          <cell r="AM45">
            <v>161.75</v>
          </cell>
          <cell r="AN45">
            <v>31.541250000000002</v>
          </cell>
          <cell r="AO45">
            <v>21.998000000000001</v>
          </cell>
          <cell r="AP45">
            <v>32.35</v>
          </cell>
          <cell r="AQ45">
            <v>0</v>
          </cell>
          <cell r="AR45">
            <v>5</v>
          </cell>
          <cell r="AS45">
            <v>0</v>
          </cell>
          <cell r="AT45">
            <v>0</v>
          </cell>
          <cell r="AU45">
            <v>0</v>
          </cell>
          <cell r="AV45">
            <v>47.5</v>
          </cell>
          <cell r="AZ45">
            <v>300.13924999999995</v>
          </cell>
          <cell r="BA45">
            <v>1317.3607500000001</v>
          </cell>
          <cell r="BC45">
            <v>145.57499999999999</v>
          </cell>
          <cell r="BD45">
            <v>7.7639999999999993</v>
          </cell>
          <cell r="BE45">
            <v>32.35</v>
          </cell>
          <cell r="BF45">
            <v>16.175000000000001</v>
          </cell>
          <cell r="BG45">
            <v>121.3125</v>
          </cell>
          <cell r="BH45">
            <v>323.17650000000003</v>
          </cell>
        </row>
        <row r="46">
          <cell r="B46">
            <v>32</v>
          </cell>
          <cell r="C46" t="str">
            <v>REYES RAMOS, Eucebio Wilmer</v>
          </cell>
          <cell r="D46">
            <v>42056012</v>
          </cell>
          <cell r="E46">
            <v>30618</v>
          </cell>
          <cell r="F46" t="str">
            <v>PERFORISTA B</v>
          </cell>
          <cell r="G46">
            <v>40586</v>
          </cell>
          <cell r="H46">
            <v>48.3</v>
          </cell>
          <cell r="I46" t="str">
            <v>SNP</v>
          </cell>
          <cell r="J46">
            <v>23</v>
          </cell>
          <cell r="K46">
            <v>5</v>
          </cell>
          <cell r="L46">
            <v>0</v>
          </cell>
          <cell r="M46">
            <v>0</v>
          </cell>
          <cell r="N46">
            <v>180</v>
          </cell>
          <cell r="R46">
            <v>1110.8999999999999</v>
          </cell>
          <cell r="S46">
            <v>241.5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144.89999999999998</v>
          </cell>
          <cell r="AE46">
            <v>0</v>
          </cell>
          <cell r="AF46">
            <v>0</v>
          </cell>
          <cell r="AJ46">
            <v>1497.2999999999997</v>
          </cell>
          <cell r="AK46">
            <v>1497.2999999999997</v>
          </cell>
          <cell r="AL46">
            <v>194.64899999999997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5</v>
          </cell>
          <cell r="AS46">
            <v>0</v>
          </cell>
          <cell r="AT46">
            <v>0</v>
          </cell>
          <cell r="AU46">
            <v>0</v>
          </cell>
          <cell r="AV46">
            <v>84.5</v>
          </cell>
          <cell r="AZ46">
            <v>284.149</v>
          </cell>
          <cell r="BA46">
            <v>1213.1509999999998</v>
          </cell>
          <cell r="BC46">
            <v>134.75699999999998</v>
          </cell>
          <cell r="BD46">
            <v>7.1870399999999979</v>
          </cell>
          <cell r="BE46">
            <v>0</v>
          </cell>
          <cell r="BF46">
            <v>14.972999999999997</v>
          </cell>
          <cell r="BG46">
            <v>112.29749999999997</v>
          </cell>
          <cell r="BH46">
            <v>269.21453999999994</v>
          </cell>
        </row>
        <row r="47">
          <cell r="B47">
            <v>33</v>
          </cell>
          <cell r="C47" t="str">
            <v>REYES GUTIERRES, Edgar Yonatan</v>
          </cell>
          <cell r="D47">
            <v>70284655</v>
          </cell>
          <cell r="E47">
            <v>32616</v>
          </cell>
          <cell r="F47" t="str">
            <v>AYUDANTE PERFORISTA</v>
          </cell>
          <cell r="G47">
            <v>41027</v>
          </cell>
          <cell r="H47">
            <v>44.74</v>
          </cell>
          <cell r="I47" t="str">
            <v>PRIMA</v>
          </cell>
          <cell r="J47">
            <v>23</v>
          </cell>
          <cell r="K47">
            <v>1</v>
          </cell>
          <cell r="L47">
            <v>0</v>
          </cell>
          <cell r="M47">
            <v>0</v>
          </cell>
          <cell r="N47">
            <v>153</v>
          </cell>
          <cell r="R47">
            <v>1029.02</v>
          </cell>
          <cell r="S47">
            <v>44.74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67.5</v>
          </cell>
          <cell r="Y47">
            <v>134.22</v>
          </cell>
          <cell r="AE47">
            <v>0</v>
          </cell>
          <cell r="AF47">
            <v>0</v>
          </cell>
          <cell r="AJ47">
            <v>1275.48</v>
          </cell>
          <cell r="AK47">
            <v>1275.48</v>
          </cell>
          <cell r="AL47">
            <v>0</v>
          </cell>
          <cell r="AM47">
            <v>127.548</v>
          </cell>
          <cell r="AN47">
            <v>22.320900000000002</v>
          </cell>
          <cell r="AO47">
            <v>16.453692</v>
          </cell>
          <cell r="AP47">
            <v>25.509600000000002</v>
          </cell>
          <cell r="AQ47">
            <v>0</v>
          </cell>
          <cell r="AR47">
            <v>5</v>
          </cell>
          <cell r="AS47">
            <v>0</v>
          </cell>
          <cell r="AT47">
            <v>0</v>
          </cell>
          <cell r="AU47">
            <v>0</v>
          </cell>
          <cell r="AV47">
            <v>154</v>
          </cell>
          <cell r="AZ47">
            <v>350.83219199999996</v>
          </cell>
          <cell r="BA47">
            <v>924.64780800000005</v>
          </cell>
          <cell r="BC47">
            <v>114.7932</v>
          </cell>
          <cell r="BD47">
            <v>6.1223039999999997</v>
          </cell>
          <cell r="BE47">
            <v>25.509600000000002</v>
          </cell>
          <cell r="BF47">
            <v>12.754800000000001</v>
          </cell>
          <cell r="BG47">
            <v>95.661000000000001</v>
          </cell>
          <cell r="BH47">
            <v>254.84090399999999</v>
          </cell>
        </row>
        <row r="48">
          <cell r="B48">
            <v>34</v>
          </cell>
          <cell r="C48" t="str">
            <v>RIOS TOCAS, Wilmer David</v>
          </cell>
          <cell r="D48" t="str">
            <v>43998923</v>
          </cell>
          <cell r="E48">
            <v>30796</v>
          </cell>
          <cell r="F48" t="str">
            <v>AYUDANTE PERFORISTA</v>
          </cell>
          <cell r="G48">
            <v>40621</v>
          </cell>
          <cell r="H48">
            <v>44.74</v>
          </cell>
          <cell r="I48" t="str">
            <v>PRIMA</v>
          </cell>
          <cell r="J48">
            <v>23</v>
          </cell>
          <cell r="K48">
            <v>5</v>
          </cell>
          <cell r="L48">
            <v>0</v>
          </cell>
          <cell r="M48">
            <v>0</v>
          </cell>
          <cell r="N48">
            <v>153</v>
          </cell>
          <cell r="R48">
            <v>1029.02</v>
          </cell>
          <cell r="S48">
            <v>223.70000000000002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67.5</v>
          </cell>
          <cell r="Y48">
            <v>134.22</v>
          </cell>
          <cell r="AJ48">
            <v>1454.44</v>
          </cell>
          <cell r="AK48">
            <v>1454.44</v>
          </cell>
          <cell r="AL48">
            <v>0</v>
          </cell>
          <cell r="AM48">
            <v>145.44400000000002</v>
          </cell>
          <cell r="AN48">
            <v>25.452700000000004</v>
          </cell>
          <cell r="AO48">
            <v>18.762276</v>
          </cell>
          <cell r="AP48">
            <v>29.088800000000003</v>
          </cell>
          <cell r="AQ48">
            <v>0</v>
          </cell>
          <cell r="AR48">
            <v>5</v>
          </cell>
          <cell r="AS48">
            <v>0</v>
          </cell>
          <cell r="AT48">
            <v>0</v>
          </cell>
          <cell r="AU48">
            <v>0</v>
          </cell>
          <cell r="AV48">
            <v>84.5</v>
          </cell>
          <cell r="AZ48">
            <v>308.24777599999999</v>
          </cell>
          <cell r="BA48">
            <v>1146.1922240000001</v>
          </cell>
          <cell r="BC48">
            <v>130.89959999999999</v>
          </cell>
          <cell r="BD48">
            <v>6.981312</v>
          </cell>
          <cell r="BE48">
            <v>29.088800000000003</v>
          </cell>
          <cell r="BF48">
            <v>14.544400000000001</v>
          </cell>
          <cell r="BG48">
            <v>109.083</v>
          </cell>
          <cell r="BH48">
            <v>290.59711199999998</v>
          </cell>
        </row>
        <row r="49">
          <cell r="B49">
            <v>35</v>
          </cell>
          <cell r="C49" t="str">
            <v>RONDO BAYLON, Rafael Confesor</v>
          </cell>
          <cell r="D49">
            <v>46213379</v>
          </cell>
          <cell r="E49">
            <v>32791</v>
          </cell>
          <cell r="F49" t="str">
            <v>PERFORISTA B</v>
          </cell>
          <cell r="G49">
            <v>40572</v>
          </cell>
          <cell r="H49">
            <v>48.3</v>
          </cell>
          <cell r="I49" t="str">
            <v>SNP</v>
          </cell>
          <cell r="J49">
            <v>23</v>
          </cell>
          <cell r="K49">
            <v>5</v>
          </cell>
          <cell r="L49">
            <v>0</v>
          </cell>
          <cell r="M49">
            <v>0</v>
          </cell>
          <cell r="N49">
            <v>153</v>
          </cell>
          <cell r="R49">
            <v>1110.8999999999999</v>
          </cell>
          <cell r="S49">
            <v>241.5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67.5</v>
          </cell>
          <cell r="Y49">
            <v>144.89999999999998</v>
          </cell>
          <cell r="AE49">
            <v>0</v>
          </cell>
          <cell r="AF49">
            <v>0</v>
          </cell>
          <cell r="AJ49">
            <v>1564.7999999999997</v>
          </cell>
          <cell r="AK49">
            <v>1564.7999999999997</v>
          </cell>
          <cell r="AL49">
            <v>203.42399999999998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5</v>
          </cell>
          <cell r="AS49">
            <v>0</v>
          </cell>
          <cell r="AT49">
            <v>0</v>
          </cell>
          <cell r="AU49">
            <v>0</v>
          </cell>
          <cell r="AV49">
            <v>98</v>
          </cell>
          <cell r="AZ49">
            <v>306.42399999999998</v>
          </cell>
          <cell r="BA49">
            <v>1258.3759999999997</v>
          </cell>
          <cell r="BC49">
            <v>140.83199999999997</v>
          </cell>
          <cell r="BD49">
            <v>7.5110399999999977</v>
          </cell>
          <cell r="BE49">
            <v>0</v>
          </cell>
          <cell r="BF49">
            <v>15.647999999999998</v>
          </cell>
          <cell r="BG49">
            <v>117.35999999999997</v>
          </cell>
          <cell r="BH49">
            <v>281.35103999999995</v>
          </cell>
        </row>
        <row r="50">
          <cell r="B50">
            <v>36</v>
          </cell>
          <cell r="C50" t="str">
            <v>RODRIGUEZ BERMUDES, Jorge Luis</v>
          </cell>
          <cell r="D50" t="str">
            <v>43788527</v>
          </cell>
          <cell r="E50">
            <v>31687</v>
          </cell>
          <cell r="F50" t="str">
            <v>PERFORISTA B</v>
          </cell>
          <cell r="G50">
            <v>40565</v>
          </cell>
          <cell r="H50">
            <v>48.3</v>
          </cell>
          <cell r="I50" t="str">
            <v>PROFUTURO</v>
          </cell>
          <cell r="J50">
            <v>26</v>
          </cell>
          <cell r="K50">
            <v>5</v>
          </cell>
          <cell r="L50">
            <v>0</v>
          </cell>
          <cell r="M50">
            <v>0</v>
          </cell>
          <cell r="N50">
            <v>225</v>
          </cell>
          <cell r="R50">
            <v>1255.8</v>
          </cell>
          <cell r="S50">
            <v>241.5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67.5</v>
          </cell>
          <cell r="Y50">
            <v>0</v>
          </cell>
          <cell r="AE50">
            <v>0</v>
          </cell>
          <cell r="AF50">
            <v>0</v>
          </cell>
          <cell r="AJ50">
            <v>1564.8</v>
          </cell>
          <cell r="AK50">
            <v>1564.8</v>
          </cell>
          <cell r="AL50">
            <v>0</v>
          </cell>
          <cell r="AM50">
            <v>156.48000000000002</v>
          </cell>
          <cell r="AN50">
            <v>33.486720000000005</v>
          </cell>
          <cell r="AO50">
            <v>22.220159999999996</v>
          </cell>
          <cell r="AP50">
            <v>31.295999999999999</v>
          </cell>
          <cell r="AQ50">
            <v>0</v>
          </cell>
          <cell r="AR50">
            <v>5</v>
          </cell>
          <cell r="AS50">
            <v>0</v>
          </cell>
          <cell r="AT50">
            <v>0</v>
          </cell>
          <cell r="AU50">
            <v>0</v>
          </cell>
          <cell r="AV50">
            <v>78</v>
          </cell>
          <cell r="AZ50">
            <v>326.48288000000002</v>
          </cell>
          <cell r="BA50">
            <v>1238.3171199999999</v>
          </cell>
          <cell r="BC50">
            <v>140.83199999999999</v>
          </cell>
          <cell r="BD50">
            <v>7.5110399999999995</v>
          </cell>
          <cell r="BE50">
            <v>31.295999999999999</v>
          </cell>
          <cell r="BF50">
            <v>15.648</v>
          </cell>
          <cell r="BG50">
            <v>117.35999999999999</v>
          </cell>
          <cell r="BH50">
            <v>312.64703999999995</v>
          </cell>
        </row>
        <row r="51">
          <cell r="B51">
            <v>37</v>
          </cell>
          <cell r="C51" t="str">
            <v>RODRIGUEZ TACANGA, José Nicolas</v>
          </cell>
          <cell r="D51">
            <v>19703165</v>
          </cell>
          <cell r="E51">
            <v>27736</v>
          </cell>
          <cell r="F51" t="str">
            <v>AYUDANTE PERFORISTA</v>
          </cell>
          <cell r="G51">
            <v>40621</v>
          </cell>
          <cell r="H51">
            <v>44.74</v>
          </cell>
          <cell r="I51" t="str">
            <v>PRIMA</v>
          </cell>
          <cell r="J51">
            <v>19</v>
          </cell>
          <cell r="K51">
            <v>5</v>
          </cell>
          <cell r="L51">
            <v>0</v>
          </cell>
          <cell r="M51">
            <v>4</v>
          </cell>
          <cell r="N51">
            <v>144</v>
          </cell>
          <cell r="R51">
            <v>850.06000000000006</v>
          </cell>
          <cell r="S51">
            <v>223.70000000000002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67.5</v>
          </cell>
          <cell r="Y51">
            <v>134.22</v>
          </cell>
          <cell r="AJ51">
            <v>1275.48</v>
          </cell>
          <cell r="AK51">
            <v>1275.48</v>
          </cell>
          <cell r="AL51">
            <v>0</v>
          </cell>
          <cell r="AM51">
            <v>127.548</v>
          </cell>
          <cell r="AN51">
            <v>22.320900000000002</v>
          </cell>
          <cell r="AO51">
            <v>16.453692</v>
          </cell>
          <cell r="AP51">
            <v>25.509600000000002</v>
          </cell>
          <cell r="AQ51">
            <v>0</v>
          </cell>
          <cell r="AR51">
            <v>5</v>
          </cell>
          <cell r="AS51">
            <v>0</v>
          </cell>
          <cell r="AT51">
            <v>0</v>
          </cell>
          <cell r="AU51">
            <v>0</v>
          </cell>
          <cell r="AV51">
            <v>23.5</v>
          </cell>
          <cell r="AZ51">
            <v>220.33219199999999</v>
          </cell>
          <cell r="BA51">
            <v>1055.1478079999999</v>
          </cell>
          <cell r="BC51">
            <v>114.7932</v>
          </cell>
          <cell r="BD51">
            <v>6.1223039999999997</v>
          </cell>
          <cell r="BE51">
            <v>25.509600000000002</v>
          </cell>
          <cell r="BF51">
            <v>12.754800000000001</v>
          </cell>
          <cell r="BG51">
            <v>95.661000000000001</v>
          </cell>
          <cell r="BH51">
            <v>254.84090399999999</v>
          </cell>
        </row>
        <row r="52">
          <cell r="B52">
            <v>38</v>
          </cell>
          <cell r="C52" t="str">
            <v>SANTILLÁN VALDERRAMA, Isidro</v>
          </cell>
          <cell r="D52" t="str">
            <v>26957509</v>
          </cell>
          <cell r="E52">
            <v>26679</v>
          </cell>
          <cell r="F52" t="str">
            <v>AYUDANTE MOTORISTA</v>
          </cell>
          <cell r="G52">
            <v>40565</v>
          </cell>
          <cell r="H52">
            <v>48.3</v>
          </cell>
          <cell r="I52" t="str">
            <v>INTEGRA</v>
          </cell>
          <cell r="J52">
            <v>25</v>
          </cell>
          <cell r="K52">
            <v>5</v>
          </cell>
          <cell r="L52">
            <v>0</v>
          </cell>
          <cell r="M52">
            <v>1</v>
          </cell>
          <cell r="N52">
            <v>216</v>
          </cell>
          <cell r="R52">
            <v>1207.5</v>
          </cell>
          <cell r="S52">
            <v>241.5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67.5</v>
          </cell>
          <cell r="Y52">
            <v>0</v>
          </cell>
          <cell r="AE52">
            <v>0</v>
          </cell>
          <cell r="AF52">
            <v>0</v>
          </cell>
          <cell r="AJ52">
            <v>1516.5</v>
          </cell>
          <cell r="AK52">
            <v>1516.5</v>
          </cell>
          <cell r="AL52">
            <v>0</v>
          </cell>
          <cell r="AM52">
            <v>151.65</v>
          </cell>
          <cell r="AN52">
            <v>27.297000000000004</v>
          </cell>
          <cell r="AO52">
            <v>17.5914</v>
          </cell>
          <cell r="AP52">
            <v>30.330000000000002</v>
          </cell>
          <cell r="AQ52">
            <v>0</v>
          </cell>
          <cell r="AR52">
            <v>5</v>
          </cell>
          <cell r="AS52">
            <v>0</v>
          </cell>
          <cell r="AT52">
            <v>0</v>
          </cell>
          <cell r="AU52">
            <v>0</v>
          </cell>
          <cell r="AV52">
            <v>22</v>
          </cell>
          <cell r="AZ52">
            <v>253.86840000000001</v>
          </cell>
          <cell r="BA52">
            <v>1262.6315999999999</v>
          </cell>
          <cell r="BC52">
            <v>136.48499999999999</v>
          </cell>
          <cell r="BD52">
            <v>7.2791999999999994</v>
          </cell>
          <cell r="BE52">
            <v>30.330000000000002</v>
          </cell>
          <cell r="BF52">
            <v>15.165000000000001</v>
          </cell>
          <cell r="BG52">
            <v>113.7375</v>
          </cell>
          <cell r="BH52">
            <v>302.99669999999998</v>
          </cell>
        </row>
        <row r="53">
          <cell r="B53">
            <v>39</v>
          </cell>
          <cell r="C53" t="str">
            <v>SOTO MARTINEZ, Percy</v>
          </cell>
          <cell r="D53" t="str">
            <v>20079645</v>
          </cell>
          <cell r="E53">
            <v>0</v>
          </cell>
          <cell r="F53" t="str">
            <v>AYUDANTE PERFORISTA</v>
          </cell>
          <cell r="G53">
            <v>40933</v>
          </cell>
          <cell r="H53">
            <v>44.74</v>
          </cell>
          <cell r="I53" t="str">
            <v>SNP</v>
          </cell>
          <cell r="J53">
            <v>25</v>
          </cell>
          <cell r="K53">
            <v>5</v>
          </cell>
          <cell r="L53">
            <v>0</v>
          </cell>
          <cell r="M53">
            <v>1</v>
          </cell>
          <cell r="N53">
            <v>216</v>
          </cell>
          <cell r="R53">
            <v>1118.5</v>
          </cell>
          <cell r="S53">
            <v>223.70000000000002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67.5</v>
          </cell>
          <cell r="Y53">
            <v>0</v>
          </cell>
          <cell r="AE53">
            <v>0</v>
          </cell>
          <cell r="AF53">
            <v>0</v>
          </cell>
          <cell r="AJ53">
            <v>1409.7</v>
          </cell>
          <cell r="AK53">
            <v>1409.7</v>
          </cell>
          <cell r="AL53">
            <v>183.26100000000002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5</v>
          </cell>
          <cell r="AS53">
            <v>0</v>
          </cell>
          <cell r="AT53">
            <v>0</v>
          </cell>
          <cell r="AU53">
            <v>0</v>
          </cell>
          <cell r="AV53">
            <v>244</v>
          </cell>
          <cell r="AZ53">
            <v>432.26100000000002</v>
          </cell>
          <cell r="BA53">
            <v>977.43900000000008</v>
          </cell>
          <cell r="BC53">
            <v>126.873</v>
          </cell>
          <cell r="BD53">
            <v>6.7665599999999992</v>
          </cell>
          <cell r="BE53">
            <v>0</v>
          </cell>
          <cell r="BF53">
            <v>14.097000000000001</v>
          </cell>
          <cell r="BG53">
            <v>105.72750000000001</v>
          </cell>
          <cell r="BH53">
            <v>253.46406000000002</v>
          </cell>
        </row>
        <row r="54">
          <cell r="B54">
            <v>40</v>
          </cell>
          <cell r="C54" t="str">
            <v>TICLIA AVILA, Hipolito</v>
          </cell>
          <cell r="D54">
            <v>26956693</v>
          </cell>
          <cell r="E54">
            <v>0</v>
          </cell>
          <cell r="F54" t="str">
            <v>PERFORISTA B</v>
          </cell>
          <cell r="G54">
            <v>40625</v>
          </cell>
          <cell r="H54">
            <v>48.3</v>
          </cell>
          <cell r="I54" t="str">
            <v>HORIZONTE</v>
          </cell>
          <cell r="J54">
            <v>23</v>
          </cell>
          <cell r="K54">
            <v>5</v>
          </cell>
          <cell r="L54">
            <v>0</v>
          </cell>
          <cell r="M54">
            <v>0</v>
          </cell>
          <cell r="N54">
            <v>153</v>
          </cell>
          <cell r="R54">
            <v>1110.8999999999999</v>
          </cell>
          <cell r="S54">
            <v>241.5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67.5</v>
          </cell>
          <cell r="Y54">
            <v>144.89999999999998</v>
          </cell>
          <cell r="AJ54">
            <v>1564.7999999999997</v>
          </cell>
          <cell r="AK54">
            <v>1564.7999999999997</v>
          </cell>
          <cell r="AL54">
            <v>0</v>
          </cell>
          <cell r="AM54">
            <v>156.47999999999999</v>
          </cell>
          <cell r="AN54">
            <v>30.513599999999993</v>
          </cell>
          <cell r="AO54">
            <v>21.281279999999999</v>
          </cell>
          <cell r="AP54">
            <v>31.295999999999996</v>
          </cell>
          <cell r="AQ54">
            <v>0</v>
          </cell>
          <cell r="AR54">
            <v>5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Z54">
            <v>244.57087999999999</v>
          </cell>
          <cell r="BA54">
            <v>1320.2291199999997</v>
          </cell>
          <cell r="BC54">
            <v>140.83199999999997</v>
          </cell>
          <cell r="BD54">
            <v>7.5110399999999977</v>
          </cell>
          <cell r="BE54">
            <v>31.295999999999996</v>
          </cell>
          <cell r="BF54">
            <v>15.647999999999998</v>
          </cell>
          <cell r="BG54">
            <v>117.35999999999997</v>
          </cell>
          <cell r="BH54">
            <v>312.64703999999995</v>
          </cell>
        </row>
        <row r="55">
          <cell r="B55">
            <v>41</v>
          </cell>
          <cell r="C55" t="str">
            <v>VALDERRAMA ACOSTA, Roberto</v>
          </cell>
          <cell r="D55">
            <v>19564533</v>
          </cell>
          <cell r="E55">
            <v>26818</v>
          </cell>
          <cell r="F55" t="str">
            <v>PERFORISTA A</v>
          </cell>
          <cell r="G55">
            <v>40565</v>
          </cell>
          <cell r="H55">
            <v>50</v>
          </cell>
          <cell r="I55" t="str">
            <v>HORIZONTE</v>
          </cell>
          <cell r="J55">
            <v>26</v>
          </cell>
          <cell r="K55">
            <v>5</v>
          </cell>
          <cell r="L55">
            <v>0</v>
          </cell>
          <cell r="M55">
            <v>0</v>
          </cell>
          <cell r="N55">
            <v>225</v>
          </cell>
          <cell r="R55">
            <v>1300</v>
          </cell>
          <cell r="S55">
            <v>250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67.5</v>
          </cell>
          <cell r="Y55">
            <v>0</v>
          </cell>
          <cell r="AE55">
            <v>0</v>
          </cell>
          <cell r="AF55">
            <v>0</v>
          </cell>
          <cell r="AJ55">
            <v>1617.5</v>
          </cell>
          <cell r="AK55">
            <v>1617.5</v>
          </cell>
          <cell r="AL55">
            <v>0</v>
          </cell>
          <cell r="AM55">
            <v>161.75</v>
          </cell>
          <cell r="AN55">
            <v>31.541250000000002</v>
          </cell>
          <cell r="AO55">
            <v>21.998000000000001</v>
          </cell>
          <cell r="AP55">
            <v>32.35</v>
          </cell>
          <cell r="AQ55">
            <v>0</v>
          </cell>
          <cell r="AR55">
            <v>5</v>
          </cell>
          <cell r="AS55">
            <v>0</v>
          </cell>
          <cell r="AT55">
            <v>0</v>
          </cell>
          <cell r="AU55">
            <v>0</v>
          </cell>
          <cell r="AV55">
            <v>84</v>
          </cell>
          <cell r="AZ55">
            <v>336.63924999999995</v>
          </cell>
          <cell r="BA55">
            <v>1280.8607500000001</v>
          </cell>
          <cell r="BC55">
            <v>145.57499999999999</v>
          </cell>
          <cell r="BD55">
            <v>7.7639999999999993</v>
          </cell>
          <cell r="BE55">
            <v>32.35</v>
          </cell>
          <cell r="BF55">
            <v>16.175000000000001</v>
          </cell>
          <cell r="BG55">
            <v>121.3125</v>
          </cell>
          <cell r="BH55">
            <v>323.17650000000003</v>
          </cell>
        </row>
        <row r="56">
          <cell r="B56">
            <v>42</v>
          </cell>
          <cell r="C56" t="str">
            <v>VALDERRAMA ACOSTA, Dandy</v>
          </cell>
          <cell r="D56">
            <v>42969183</v>
          </cell>
          <cell r="E56">
            <v>31133</v>
          </cell>
          <cell r="F56" t="str">
            <v>CAPATAZ</v>
          </cell>
          <cell r="G56">
            <v>40579</v>
          </cell>
          <cell r="H56">
            <v>65</v>
          </cell>
          <cell r="I56" t="str">
            <v>HORIZONTE</v>
          </cell>
          <cell r="J56">
            <v>23</v>
          </cell>
          <cell r="K56">
            <v>5</v>
          </cell>
          <cell r="L56">
            <v>0</v>
          </cell>
          <cell r="M56">
            <v>0</v>
          </cell>
          <cell r="N56">
            <v>153</v>
          </cell>
          <cell r="R56">
            <v>1495</v>
          </cell>
          <cell r="S56">
            <v>325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195</v>
          </cell>
          <cell r="AE56">
            <v>0</v>
          </cell>
          <cell r="AF56">
            <v>0</v>
          </cell>
          <cell r="AJ56">
            <v>2015</v>
          </cell>
          <cell r="AK56">
            <v>2015</v>
          </cell>
          <cell r="AL56">
            <v>0</v>
          </cell>
          <cell r="AM56">
            <v>201.5</v>
          </cell>
          <cell r="AN56">
            <v>39.292499999999997</v>
          </cell>
          <cell r="AO56">
            <v>27.404000000000003</v>
          </cell>
          <cell r="AP56">
            <v>40.300000000000004</v>
          </cell>
          <cell r="AQ56">
            <v>33.659999999999997</v>
          </cell>
          <cell r="AR56">
            <v>5</v>
          </cell>
          <cell r="AS56">
            <v>0</v>
          </cell>
          <cell r="AT56">
            <v>0</v>
          </cell>
          <cell r="AU56">
            <v>0</v>
          </cell>
          <cell r="AV56">
            <v>73</v>
          </cell>
          <cell r="AZ56">
            <v>420.15650000000005</v>
          </cell>
          <cell r="BA56">
            <v>1594.8434999999999</v>
          </cell>
          <cell r="BC56">
            <v>181.35</v>
          </cell>
          <cell r="BD56">
            <v>9.6719999999999988</v>
          </cell>
          <cell r="BE56">
            <v>40.300000000000004</v>
          </cell>
          <cell r="BF56">
            <v>20.150000000000002</v>
          </cell>
          <cell r="BG56">
            <v>151.125</v>
          </cell>
          <cell r="BH56">
            <v>402.59699999999998</v>
          </cell>
        </row>
        <row r="57">
          <cell r="B57">
            <v>43</v>
          </cell>
          <cell r="C57" t="str">
            <v>VASQUEZ ARANDA, Luís</v>
          </cell>
          <cell r="D57">
            <v>43236660</v>
          </cell>
          <cell r="E57">
            <v>31331</v>
          </cell>
          <cell r="F57" t="str">
            <v>AYUDANTE PERFORISTA</v>
          </cell>
          <cell r="G57">
            <v>41006</v>
          </cell>
          <cell r="H57">
            <v>44.74</v>
          </cell>
          <cell r="I57" t="str">
            <v>SNP</v>
          </cell>
          <cell r="J57">
            <v>23</v>
          </cell>
          <cell r="K57">
            <v>5</v>
          </cell>
          <cell r="L57">
            <v>0</v>
          </cell>
          <cell r="M57">
            <v>0</v>
          </cell>
          <cell r="N57">
            <v>180</v>
          </cell>
          <cell r="R57">
            <v>1029.02</v>
          </cell>
          <cell r="S57">
            <v>223.70000000000002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134.22</v>
          </cell>
          <cell r="AJ57">
            <v>1386.94</v>
          </cell>
          <cell r="AK57">
            <v>1386.94</v>
          </cell>
          <cell r="AL57">
            <v>180.3022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0</v>
          </cell>
          <cell r="AV57">
            <v>11</v>
          </cell>
          <cell r="AZ57">
            <v>191.3022</v>
          </cell>
          <cell r="BA57">
            <v>1195.6378</v>
          </cell>
          <cell r="BC57">
            <v>124.8246</v>
          </cell>
          <cell r="BD57">
            <v>6.6573120000000001</v>
          </cell>
          <cell r="BE57">
            <v>0</v>
          </cell>
          <cell r="BF57">
            <v>13.869400000000001</v>
          </cell>
          <cell r="BG57">
            <v>104.0205</v>
          </cell>
          <cell r="BH57">
            <v>249.37181200000001</v>
          </cell>
        </row>
        <row r="58">
          <cell r="B58">
            <v>44</v>
          </cell>
          <cell r="C58" t="str">
            <v>YUPANQUI BRICEÑO, Felix Paulino</v>
          </cell>
          <cell r="D58">
            <v>19564534</v>
          </cell>
          <cell r="E58">
            <v>27017</v>
          </cell>
          <cell r="F58" t="str">
            <v>CAPATAZ</v>
          </cell>
          <cell r="G58">
            <v>41006</v>
          </cell>
          <cell r="H58">
            <v>65</v>
          </cell>
          <cell r="I58" t="str">
            <v>HORIZONTE</v>
          </cell>
          <cell r="J58">
            <v>26</v>
          </cell>
          <cell r="K58">
            <v>5</v>
          </cell>
          <cell r="L58">
            <v>0</v>
          </cell>
          <cell r="M58">
            <v>0</v>
          </cell>
          <cell r="N58">
            <v>225</v>
          </cell>
          <cell r="R58">
            <v>1690</v>
          </cell>
          <cell r="S58">
            <v>325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67.5</v>
          </cell>
          <cell r="Y58">
            <v>0</v>
          </cell>
          <cell r="AE58">
            <v>0</v>
          </cell>
          <cell r="AF58">
            <v>0</v>
          </cell>
          <cell r="AJ58">
            <v>2082.5</v>
          </cell>
          <cell r="AK58">
            <v>2082.5</v>
          </cell>
          <cell r="AL58">
            <v>0</v>
          </cell>
          <cell r="AM58">
            <v>208.25</v>
          </cell>
          <cell r="AN58">
            <v>40.608750000000001</v>
          </cell>
          <cell r="AO58">
            <v>28.322000000000003</v>
          </cell>
          <cell r="AP58">
            <v>41.65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62</v>
          </cell>
          <cell r="AZ58">
            <v>380.83074999999997</v>
          </cell>
          <cell r="BA58">
            <v>1701.6692499999999</v>
          </cell>
          <cell r="BC58">
            <v>187.42499999999998</v>
          </cell>
          <cell r="BD58">
            <v>9.9959999999999987</v>
          </cell>
          <cell r="BE58">
            <v>41.65</v>
          </cell>
          <cell r="BF58">
            <v>20.824999999999999</v>
          </cell>
          <cell r="BG58">
            <v>156.1875</v>
          </cell>
          <cell r="BH58">
            <v>416.08350000000002</v>
          </cell>
        </row>
        <row r="70">
          <cell r="B70">
            <v>1</v>
          </cell>
          <cell r="C70" t="str">
            <v>CABANILLAS ESPINO, Mayra Jayeli</v>
          </cell>
          <cell r="D70">
            <v>42168527</v>
          </cell>
          <cell r="E70">
            <v>30688</v>
          </cell>
          <cell r="F70" t="str">
            <v>ASISTENTA SOCIAL</v>
          </cell>
          <cell r="G70">
            <v>41020</v>
          </cell>
          <cell r="H70">
            <v>2000</v>
          </cell>
          <cell r="I70" t="str">
            <v>HORIZONTE</v>
          </cell>
          <cell r="J70">
            <v>25</v>
          </cell>
          <cell r="K70">
            <v>5</v>
          </cell>
          <cell r="L70">
            <v>0</v>
          </cell>
          <cell r="M70">
            <v>0</v>
          </cell>
          <cell r="N70">
            <v>270</v>
          </cell>
          <cell r="O70">
            <v>0</v>
          </cell>
          <cell r="P70">
            <v>0</v>
          </cell>
          <cell r="Q70">
            <v>0</v>
          </cell>
          <cell r="R70">
            <v>1666.6666666666667</v>
          </cell>
          <cell r="S70">
            <v>333.33333333333337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AC70">
            <v>0</v>
          </cell>
          <cell r="AF70">
            <v>0</v>
          </cell>
          <cell r="AI70">
            <v>0</v>
          </cell>
          <cell r="AJ70">
            <v>2000</v>
          </cell>
          <cell r="AK70">
            <v>2000</v>
          </cell>
          <cell r="AL70">
            <v>0</v>
          </cell>
          <cell r="AM70">
            <v>200</v>
          </cell>
          <cell r="AN70">
            <v>39</v>
          </cell>
          <cell r="AO70">
            <v>27.200000000000003</v>
          </cell>
          <cell r="AP70">
            <v>40</v>
          </cell>
          <cell r="AR70">
            <v>0</v>
          </cell>
          <cell r="AT70">
            <v>0</v>
          </cell>
          <cell r="AU70">
            <v>0</v>
          </cell>
          <cell r="AV70">
            <v>36</v>
          </cell>
          <cell r="AY70">
            <v>0</v>
          </cell>
          <cell r="AZ70">
            <v>342.2</v>
          </cell>
          <cell r="BA70">
            <v>1657.8</v>
          </cell>
          <cell r="BC70">
            <v>180</v>
          </cell>
          <cell r="BD70">
            <v>9.6</v>
          </cell>
          <cell r="BE70">
            <v>40</v>
          </cell>
          <cell r="BF70">
            <v>20</v>
          </cell>
          <cell r="BG70">
            <v>150</v>
          </cell>
          <cell r="BH70">
            <v>399.6</v>
          </cell>
        </row>
        <row r="71">
          <cell r="B71">
            <v>2</v>
          </cell>
          <cell r="C71" t="str">
            <v>CUPE FLORES, Jaime</v>
          </cell>
          <cell r="D71">
            <v>41572924</v>
          </cell>
          <cell r="E71">
            <v>30240</v>
          </cell>
          <cell r="F71" t="str">
            <v>JEFE DE GUARDIA</v>
          </cell>
          <cell r="G71">
            <v>41034</v>
          </cell>
          <cell r="H71">
            <v>4500</v>
          </cell>
          <cell r="I71" t="str">
            <v>SNP</v>
          </cell>
          <cell r="J71">
            <v>25</v>
          </cell>
          <cell r="K71">
            <v>1</v>
          </cell>
          <cell r="L71">
            <v>0</v>
          </cell>
          <cell r="M71">
            <v>0</v>
          </cell>
          <cell r="N71">
            <v>189</v>
          </cell>
          <cell r="O71">
            <v>0</v>
          </cell>
          <cell r="P71">
            <v>0</v>
          </cell>
          <cell r="Q71">
            <v>0</v>
          </cell>
          <cell r="R71">
            <v>3750</v>
          </cell>
          <cell r="S71">
            <v>150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AC71">
            <v>0</v>
          </cell>
          <cell r="AJ71">
            <v>3900</v>
          </cell>
          <cell r="AK71">
            <v>3900</v>
          </cell>
          <cell r="AL71">
            <v>507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R71">
            <v>0</v>
          </cell>
          <cell r="AT71">
            <v>0</v>
          </cell>
          <cell r="AU71">
            <v>0</v>
          </cell>
          <cell r="AV71">
            <v>0</v>
          </cell>
          <cell r="AZ71">
            <v>507</v>
          </cell>
          <cell r="BA71">
            <v>3393</v>
          </cell>
          <cell r="BC71">
            <v>351</v>
          </cell>
          <cell r="BD71">
            <v>18.72</v>
          </cell>
          <cell r="BE71">
            <v>0</v>
          </cell>
          <cell r="BF71">
            <v>39</v>
          </cell>
          <cell r="BG71">
            <v>292.5</v>
          </cell>
          <cell r="BH71">
            <v>701.22</v>
          </cell>
        </row>
        <row r="72">
          <cell r="B72">
            <v>3</v>
          </cell>
          <cell r="C72" t="str">
            <v>GARCIA ALVARADO, Dennis Ivan</v>
          </cell>
          <cell r="D72">
            <v>40979137</v>
          </cell>
          <cell r="E72">
            <v>28985</v>
          </cell>
          <cell r="F72" t="str">
            <v>INGENIERO DE SEGURIDAD</v>
          </cell>
          <cell r="G72">
            <v>41058</v>
          </cell>
          <cell r="H72">
            <v>5000</v>
          </cell>
          <cell r="I72" t="str">
            <v>SNP</v>
          </cell>
          <cell r="J72">
            <v>2</v>
          </cell>
          <cell r="K72">
            <v>0</v>
          </cell>
          <cell r="L72">
            <v>0</v>
          </cell>
          <cell r="M72">
            <v>0</v>
          </cell>
          <cell r="N72">
            <v>18</v>
          </cell>
          <cell r="O72">
            <v>0</v>
          </cell>
          <cell r="P72">
            <v>0</v>
          </cell>
          <cell r="Q72">
            <v>0</v>
          </cell>
          <cell r="R72">
            <v>333.33333333333331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AJ72">
            <v>333.33333333333331</v>
          </cell>
          <cell r="AK72">
            <v>333.33333333333331</v>
          </cell>
          <cell r="AL72">
            <v>43.333333333333336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R72">
            <v>0</v>
          </cell>
          <cell r="AT72">
            <v>0</v>
          </cell>
          <cell r="AU72">
            <v>0</v>
          </cell>
          <cell r="AV72">
            <v>0</v>
          </cell>
          <cell r="AZ72">
            <v>43.333333333333336</v>
          </cell>
          <cell r="BA72">
            <v>290</v>
          </cell>
          <cell r="BC72">
            <v>60.75</v>
          </cell>
          <cell r="BD72">
            <v>1.5999999999999999</v>
          </cell>
          <cell r="BE72">
            <v>0</v>
          </cell>
          <cell r="BF72">
            <v>3.333333333333333</v>
          </cell>
          <cell r="BG72">
            <v>24.999999999999996</v>
          </cell>
          <cell r="BH72">
            <v>90.683333333333337</v>
          </cell>
        </row>
        <row r="73">
          <cell r="B73">
            <v>4</v>
          </cell>
          <cell r="C73" t="str">
            <v>HUAMANI YANQUE, Gregorio Ramiro</v>
          </cell>
          <cell r="D73">
            <v>40174947</v>
          </cell>
          <cell r="E73">
            <v>28941</v>
          </cell>
          <cell r="F73" t="str">
            <v>JEFE DE GUARDIA</v>
          </cell>
          <cell r="G73">
            <v>40896</v>
          </cell>
          <cell r="H73">
            <v>4500</v>
          </cell>
          <cell r="I73" t="str">
            <v>SNP</v>
          </cell>
          <cell r="J73">
            <v>19</v>
          </cell>
          <cell r="K73">
            <v>4</v>
          </cell>
          <cell r="L73">
            <v>0</v>
          </cell>
          <cell r="M73">
            <v>0</v>
          </cell>
          <cell r="N73">
            <v>117</v>
          </cell>
          <cell r="O73">
            <v>0</v>
          </cell>
          <cell r="P73">
            <v>0</v>
          </cell>
          <cell r="Q73">
            <v>0</v>
          </cell>
          <cell r="R73">
            <v>2850</v>
          </cell>
          <cell r="S73">
            <v>600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AC73">
            <v>0</v>
          </cell>
          <cell r="AI73">
            <v>0</v>
          </cell>
          <cell r="AJ73">
            <v>3450</v>
          </cell>
          <cell r="AK73">
            <v>3450</v>
          </cell>
          <cell r="AL73">
            <v>448.5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466.25</v>
          </cell>
          <cell r="AR73">
            <v>5</v>
          </cell>
          <cell r="AT73">
            <v>0</v>
          </cell>
          <cell r="AU73">
            <v>0</v>
          </cell>
          <cell r="AV73">
            <v>22.5</v>
          </cell>
          <cell r="AY73">
            <v>0</v>
          </cell>
          <cell r="AZ73">
            <v>942.25</v>
          </cell>
          <cell r="BA73">
            <v>2507.75</v>
          </cell>
          <cell r="BC73">
            <v>310.5</v>
          </cell>
          <cell r="BD73">
            <v>16.559999999999999</v>
          </cell>
          <cell r="BE73">
            <v>0</v>
          </cell>
          <cell r="BF73">
            <v>34.5</v>
          </cell>
          <cell r="BG73">
            <v>258.75</v>
          </cell>
          <cell r="BH73">
            <v>620.30999999999995</v>
          </cell>
        </row>
        <row r="74">
          <cell r="B74">
            <v>5</v>
          </cell>
          <cell r="C74" t="str">
            <v>MENDOZA AGUIRRE, Pedro Pablo</v>
          </cell>
          <cell r="D74">
            <v>40983981</v>
          </cell>
          <cell r="E74">
            <v>29800</v>
          </cell>
          <cell r="F74" t="str">
            <v>ASIST.PRODUCT.</v>
          </cell>
          <cell r="G74">
            <v>40768</v>
          </cell>
          <cell r="H74">
            <v>1200</v>
          </cell>
          <cell r="I74" t="str">
            <v>PROFUTURO</v>
          </cell>
          <cell r="J74">
            <v>24</v>
          </cell>
          <cell r="K74">
            <v>5</v>
          </cell>
          <cell r="L74">
            <v>0</v>
          </cell>
          <cell r="M74">
            <v>1</v>
          </cell>
          <cell r="N74">
            <v>144</v>
          </cell>
          <cell r="O74">
            <v>0</v>
          </cell>
          <cell r="P74">
            <v>0</v>
          </cell>
          <cell r="Q74">
            <v>0</v>
          </cell>
          <cell r="R74">
            <v>960</v>
          </cell>
          <cell r="S74">
            <v>200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AC74">
            <v>0</v>
          </cell>
          <cell r="AI74">
            <v>0</v>
          </cell>
          <cell r="AJ74">
            <v>1160</v>
          </cell>
          <cell r="AK74">
            <v>1160</v>
          </cell>
          <cell r="AL74">
            <v>0</v>
          </cell>
          <cell r="AM74">
            <v>116</v>
          </cell>
          <cell r="AN74">
            <v>24.824000000000002</v>
          </cell>
          <cell r="AO74">
            <v>16.471999999999998</v>
          </cell>
          <cell r="AP74">
            <v>23.2</v>
          </cell>
          <cell r="AQ74">
            <v>0</v>
          </cell>
          <cell r="AR74">
            <v>5</v>
          </cell>
          <cell r="AT74">
            <v>0</v>
          </cell>
          <cell r="AU74">
            <v>0</v>
          </cell>
          <cell r="AV74">
            <v>0</v>
          </cell>
          <cell r="AY74">
            <v>0</v>
          </cell>
          <cell r="AZ74">
            <v>185.49600000000001</v>
          </cell>
          <cell r="BA74">
            <v>974.50400000000002</v>
          </cell>
          <cell r="BC74">
            <v>104.39999999999999</v>
          </cell>
          <cell r="BD74">
            <v>5.5679999999999996</v>
          </cell>
          <cell r="BE74">
            <v>23.2</v>
          </cell>
          <cell r="BF74">
            <v>11.6</v>
          </cell>
          <cell r="BG74">
            <v>87</v>
          </cell>
          <cell r="BH74">
            <v>231.76799999999997</v>
          </cell>
        </row>
        <row r="75">
          <cell r="B75">
            <v>6</v>
          </cell>
          <cell r="C75" t="str">
            <v>MOLLEDA SAYRITUPA, Lucio</v>
          </cell>
          <cell r="D75">
            <v>23978254</v>
          </cell>
          <cell r="E75">
            <v>27376</v>
          </cell>
          <cell r="F75" t="str">
            <v>JEFE DE GUARDIA</v>
          </cell>
          <cell r="G75">
            <v>41006</v>
          </cell>
          <cell r="H75">
            <v>4500</v>
          </cell>
          <cell r="I75" t="str">
            <v>PRIMA</v>
          </cell>
          <cell r="J75">
            <v>25</v>
          </cell>
          <cell r="K75">
            <v>5</v>
          </cell>
          <cell r="L75">
            <v>0</v>
          </cell>
          <cell r="M75">
            <v>0</v>
          </cell>
          <cell r="N75">
            <v>144</v>
          </cell>
          <cell r="O75">
            <v>0</v>
          </cell>
          <cell r="P75">
            <v>0</v>
          </cell>
          <cell r="Q75">
            <v>0</v>
          </cell>
          <cell r="R75">
            <v>3750</v>
          </cell>
          <cell r="S75">
            <v>750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AC75">
            <v>0</v>
          </cell>
          <cell r="AJ75">
            <v>4500</v>
          </cell>
          <cell r="AK75">
            <v>4500</v>
          </cell>
          <cell r="AL75">
            <v>0</v>
          </cell>
          <cell r="AM75">
            <v>450</v>
          </cell>
          <cell r="AN75">
            <v>78.750000000000014</v>
          </cell>
          <cell r="AO75">
            <v>58.05</v>
          </cell>
          <cell r="AP75">
            <v>90</v>
          </cell>
          <cell r="AQ75">
            <v>298.5</v>
          </cell>
          <cell r="AR75">
            <v>0</v>
          </cell>
          <cell r="AT75">
            <v>0</v>
          </cell>
          <cell r="AU75">
            <v>0</v>
          </cell>
          <cell r="AV75">
            <v>46</v>
          </cell>
          <cell r="AY75">
            <v>0</v>
          </cell>
          <cell r="AZ75">
            <v>1021.3</v>
          </cell>
          <cell r="BA75">
            <v>3478.7</v>
          </cell>
          <cell r="BC75">
            <v>405</v>
          </cell>
          <cell r="BD75">
            <v>21.599999999999998</v>
          </cell>
          <cell r="BE75">
            <v>90</v>
          </cell>
          <cell r="BF75">
            <v>45</v>
          </cell>
          <cell r="BG75">
            <v>337.5</v>
          </cell>
          <cell r="BH75">
            <v>899.1</v>
          </cell>
        </row>
        <row r="76">
          <cell r="B76">
            <v>7</v>
          </cell>
          <cell r="C76" t="str">
            <v>VARGAS CORDOVA, Heydgard Miguel</v>
          </cell>
          <cell r="D76">
            <v>40716259</v>
          </cell>
          <cell r="E76">
            <v>29195</v>
          </cell>
          <cell r="F76" t="str">
            <v>ADMINISTRADOR</v>
          </cell>
          <cell r="G76">
            <v>40938</v>
          </cell>
          <cell r="H76">
            <v>1500</v>
          </cell>
          <cell r="I76" t="str">
            <v>PROFUTURO</v>
          </cell>
          <cell r="J76">
            <v>25</v>
          </cell>
          <cell r="K76">
            <v>5</v>
          </cell>
          <cell r="L76">
            <v>0</v>
          </cell>
          <cell r="M76">
            <v>0</v>
          </cell>
          <cell r="N76">
            <v>270</v>
          </cell>
          <cell r="O76">
            <v>0</v>
          </cell>
          <cell r="P76">
            <v>0</v>
          </cell>
          <cell r="Q76">
            <v>0</v>
          </cell>
          <cell r="R76">
            <v>1250</v>
          </cell>
          <cell r="S76">
            <v>250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67.5</v>
          </cell>
          <cell r="AC76">
            <v>416.67</v>
          </cell>
          <cell r="AH76">
            <v>1000</v>
          </cell>
          <cell r="AI76">
            <v>0</v>
          </cell>
          <cell r="AJ76">
            <v>2984.17</v>
          </cell>
          <cell r="AK76">
            <v>1567.5</v>
          </cell>
          <cell r="AL76">
            <v>0</v>
          </cell>
          <cell r="AM76">
            <v>156.75</v>
          </cell>
          <cell r="AN76">
            <v>33.544500000000006</v>
          </cell>
          <cell r="AO76">
            <v>22.258499999999998</v>
          </cell>
          <cell r="AP76">
            <v>31.35</v>
          </cell>
          <cell r="AQ76">
            <v>88.96</v>
          </cell>
          <cell r="AR76">
            <v>5</v>
          </cell>
          <cell r="AT76">
            <v>0</v>
          </cell>
          <cell r="AU76">
            <v>0</v>
          </cell>
          <cell r="AV76">
            <v>25.5</v>
          </cell>
          <cell r="AY76">
            <v>0</v>
          </cell>
          <cell r="AZ76">
            <v>363.363</v>
          </cell>
          <cell r="BA76">
            <v>2620.8070000000002</v>
          </cell>
          <cell r="BC76">
            <v>141.07499999999999</v>
          </cell>
          <cell r="BD76">
            <v>14.324015999999999</v>
          </cell>
          <cell r="BE76">
            <v>31.35</v>
          </cell>
          <cell r="BF76">
            <v>15.675000000000001</v>
          </cell>
          <cell r="BG76">
            <v>117.5625</v>
          </cell>
          <cell r="BH76">
            <v>319.98651599999999</v>
          </cell>
        </row>
        <row r="77">
          <cell r="B77">
            <v>8</v>
          </cell>
          <cell r="C77" t="str">
            <v>YANGALI PARIONA, Fidencio</v>
          </cell>
          <cell r="D77" t="str">
            <v>19886602</v>
          </cell>
          <cell r="E77">
            <v>22236</v>
          </cell>
          <cell r="F77" t="str">
            <v>JEFE DE GUARDIA</v>
          </cell>
          <cell r="G77">
            <v>40889</v>
          </cell>
          <cell r="H77">
            <v>6500</v>
          </cell>
          <cell r="I77" t="str">
            <v>INTEGRA</v>
          </cell>
          <cell r="J77">
            <v>25</v>
          </cell>
          <cell r="K77">
            <v>5</v>
          </cell>
          <cell r="L77">
            <v>0</v>
          </cell>
          <cell r="M77">
            <v>0</v>
          </cell>
          <cell r="N77">
            <v>180</v>
          </cell>
          <cell r="O77">
            <v>0</v>
          </cell>
          <cell r="P77">
            <v>0</v>
          </cell>
          <cell r="Q77">
            <v>0</v>
          </cell>
          <cell r="R77">
            <v>5416.6666666666661</v>
          </cell>
          <cell r="S77">
            <v>1083.3333333333333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AA77">
            <v>0</v>
          </cell>
          <cell r="AB77">
            <v>0</v>
          </cell>
          <cell r="AC77">
            <v>186.67</v>
          </cell>
          <cell r="AE77">
            <v>0</v>
          </cell>
          <cell r="AF77">
            <v>0</v>
          </cell>
          <cell r="AI77">
            <v>0</v>
          </cell>
          <cell r="AJ77">
            <v>6686.6699999999992</v>
          </cell>
          <cell r="AK77">
            <v>6499.9999999999991</v>
          </cell>
          <cell r="AL77">
            <v>0</v>
          </cell>
          <cell r="AM77">
            <v>650</v>
          </cell>
          <cell r="AN77">
            <v>117</v>
          </cell>
          <cell r="AO77">
            <v>75.399999999999977</v>
          </cell>
          <cell r="AP77">
            <v>129.99999999999997</v>
          </cell>
          <cell r="AQ77">
            <v>756.85</v>
          </cell>
          <cell r="AR77">
            <v>5</v>
          </cell>
          <cell r="AT77">
            <v>0</v>
          </cell>
          <cell r="AU77">
            <v>0</v>
          </cell>
          <cell r="AV77">
            <v>62.5</v>
          </cell>
          <cell r="AY77">
            <v>0</v>
          </cell>
          <cell r="AZ77">
            <v>1796.75</v>
          </cell>
          <cell r="BA77">
            <v>4889.9199999999992</v>
          </cell>
          <cell r="BC77">
            <v>584.99999999999989</v>
          </cell>
          <cell r="BD77">
            <v>32.096015999999992</v>
          </cell>
          <cell r="BE77">
            <v>129.99999999999997</v>
          </cell>
          <cell r="BF77">
            <v>64.999999999999986</v>
          </cell>
          <cell r="BG77">
            <v>487.49999999999989</v>
          </cell>
          <cell r="BH77">
            <v>1299.5960159999997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LA PAGO"/>
      <sheetName val="BOLETAS LIMA"/>
      <sheetName val="PLLA DECLARACION"/>
      <sheetName val="AFP"/>
      <sheetName val="H"/>
      <sheetName val="I"/>
      <sheetName val="PRI"/>
    </sheetNames>
    <sheetDataSet>
      <sheetData sheetId="0">
        <row r="1">
          <cell r="A1" t="str">
            <v>CONTRATISTAS GENERALES EN MINERÍA JH S.A.C.</v>
          </cell>
        </row>
        <row r="2">
          <cell r="A2" t="str">
            <v>UNIDAD LIMA</v>
          </cell>
        </row>
        <row r="4">
          <cell r="B4" t="str">
            <v>PLANILLA CORRESPONDIENTE AL MES DE ABRIL  2008</v>
          </cell>
        </row>
        <row r="6">
          <cell r="A6" t="str">
            <v>1.-  PLANILLA EMPLEADOS DEL 01 AL 30 DE ABRIL DEL 2008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5</v>
          </cell>
          <cell r="F7">
            <v>6</v>
          </cell>
          <cell r="G7">
            <v>7</v>
          </cell>
          <cell r="H7">
            <v>8</v>
          </cell>
          <cell r="I7">
            <v>9</v>
          </cell>
          <cell r="J7">
            <v>10</v>
          </cell>
          <cell r="K7">
            <v>11</v>
          </cell>
          <cell r="L7">
            <v>12</v>
          </cell>
          <cell r="M7">
            <v>13</v>
          </cell>
          <cell r="N7">
            <v>14</v>
          </cell>
          <cell r="O7">
            <v>15</v>
          </cell>
          <cell r="P7">
            <v>16</v>
          </cell>
          <cell r="Q7">
            <v>17</v>
          </cell>
          <cell r="R7">
            <v>18</v>
          </cell>
          <cell r="S7">
            <v>19</v>
          </cell>
          <cell r="T7">
            <v>20</v>
          </cell>
          <cell r="U7">
            <v>21</v>
          </cell>
          <cell r="V7">
            <v>22</v>
          </cell>
          <cell r="W7">
            <v>23</v>
          </cell>
          <cell r="X7">
            <v>24</v>
          </cell>
          <cell r="Y7">
            <v>25</v>
          </cell>
          <cell r="Z7">
            <v>26</v>
          </cell>
          <cell r="AA7">
            <v>27</v>
          </cell>
          <cell r="AB7">
            <v>28</v>
          </cell>
          <cell r="AC7">
            <v>29</v>
          </cell>
          <cell r="AD7">
            <v>30</v>
          </cell>
          <cell r="AE7">
            <v>31</v>
          </cell>
          <cell r="AF7">
            <v>32</v>
          </cell>
          <cell r="AG7">
            <v>33</v>
          </cell>
          <cell r="AH7">
            <v>34</v>
          </cell>
          <cell r="AI7">
            <v>35</v>
          </cell>
          <cell r="AJ7">
            <v>36</v>
          </cell>
          <cell r="AK7">
            <v>37</v>
          </cell>
          <cell r="AL7">
            <v>38</v>
          </cell>
          <cell r="AM7">
            <v>39</v>
          </cell>
          <cell r="AN7">
            <v>40</v>
          </cell>
          <cell r="AO7">
            <v>41</v>
          </cell>
          <cell r="AP7">
            <v>42</v>
          </cell>
          <cell r="AQ7">
            <v>43</v>
          </cell>
          <cell r="AR7">
            <v>44</v>
          </cell>
          <cell r="AS7">
            <v>45</v>
          </cell>
          <cell r="AT7">
            <v>46</v>
          </cell>
          <cell r="AU7">
            <v>47</v>
          </cell>
          <cell r="AV7">
            <v>48</v>
          </cell>
          <cell r="AW7">
            <v>49</v>
          </cell>
          <cell r="AX7">
            <v>50</v>
          </cell>
        </row>
        <row r="8">
          <cell r="A8" t="str">
            <v>Nº</v>
          </cell>
          <cell r="B8" t="str">
            <v>APELLIDOS Y NOMBRES</v>
          </cell>
          <cell r="C8" t="str">
            <v>CARGO
OCUPACION</v>
          </cell>
          <cell r="D8" t="str">
            <v>CUENTA BANCARIA</v>
          </cell>
          <cell r="E8" t="str">
            <v>VACACIONES</v>
          </cell>
          <cell r="G8" t="str">
            <v>FECHA   INGRESO</v>
          </cell>
          <cell r="H8" t="str">
            <v>FECHA   CESE</v>
          </cell>
          <cell r="I8" t="str">
            <v>FECHA DE NACIM.</v>
          </cell>
          <cell r="J8" t="str">
            <v>DNI</v>
          </cell>
          <cell r="K8" t="str">
            <v>JOR./ SUELDO</v>
          </cell>
          <cell r="L8" t="str">
            <v>IMPORTE  DIA</v>
          </cell>
          <cell r="M8" t="str">
            <v>AFP/ONP</v>
          </cell>
          <cell r="N8" t="str">
            <v>JORNADA</v>
          </cell>
          <cell r="T8" t="str">
            <v>REMUNERACIONES</v>
          </cell>
          <cell r="AE8" t="str">
            <v>TOTAL 
REMUNERACION</v>
          </cell>
          <cell r="AF8" t="str">
            <v>DESCUENTOS AL TRABAJADOR</v>
          </cell>
          <cell r="AL8" t="str">
            <v>TOTAL
DSCTOS</v>
          </cell>
          <cell r="AM8" t="str">
            <v>TOTAL
 A GANAR</v>
          </cell>
          <cell r="AN8" t="str">
            <v>OTROS DESCUENTOS</v>
          </cell>
          <cell r="AR8" t="str">
            <v>TOTAL DESCUENTOS</v>
          </cell>
          <cell r="AS8" t="str">
            <v>TOTAL   NETO     GANADO</v>
          </cell>
          <cell r="AT8" t="str">
            <v>TRIBUTOS Y APORTES A CARGO DEL EMPLEADOR</v>
          </cell>
          <cell r="AY8" t="str">
            <v>COSTO   PLANILLA                          S / BS</v>
          </cell>
          <cell r="AZ8" t="str">
            <v xml:space="preserve">CTS                                                                              </v>
          </cell>
          <cell r="BA8" t="str">
            <v xml:space="preserve">VACACIONES  TRUNCAS    </v>
          </cell>
          <cell r="BB8" t="str">
            <v xml:space="preserve">GRATIFICAC    TRUNCA      </v>
          </cell>
          <cell r="BC8" t="str">
            <v>TOTAL   BENEFICIOS SOCIALES</v>
          </cell>
          <cell r="BD8" t="str">
            <v>GRAN   TOTAL COSTO PLANILLA</v>
          </cell>
        </row>
        <row r="9">
          <cell r="N9" t="str">
            <v>T.O</v>
          </cell>
          <cell r="O9" t="str">
            <v>DOM
FER</v>
          </cell>
          <cell r="P9" t="str">
            <v>VACACIONES</v>
          </cell>
          <cell r="Q9" t="str">
            <v>H.E 
25%</v>
          </cell>
          <cell r="R9" t="str">
            <v>H.E 
35%</v>
          </cell>
          <cell r="S9" t="str">
            <v>H.E 
100%</v>
          </cell>
          <cell r="T9" t="str">
            <v>IMPORTES</v>
          </cell>
          <cell r="Z9" t="str">
            <v>ASIGN,
FAM.</v>
          </cell>
          <cell r="AA9" t="str">
            <v>VACACIONES
2007</v>
          </cell>
          <cell r="AB9" t="str">
            <v>REINTEGROS</v>
          </cell>
          <cell r="AC9" t="str">
            <v>VACACIONES  TRUNCAS</v>
          </cell>
          <cell r="AD9" t="str">
            <v xml:space="preserve">GRATIFICACIO      TRUNCAS </v>
          </cell>
          <cell r="AF9" t="str">
            <v>S.  N.  P.</v>
          </cell>
          <cell r="AG9" t="str">
            <v>SISTEMA PRIVADO DE PENSIONES</v>
          </cell>
          <cell r="AJ9" t="str">
            <v>RENTA                        5ta
Categoria</v>
          </cell>
          <cell r="AK9" t="str">
            <v>ESSALUD +
VIDA</v>
          </cell>
          <cell r="AN9" t="str">
            <v>DESCUENTOS JUDICIALES</v>
          </cell>
          <cell r="AO9" t="str">
            <v>SEGUROS
PERSONALES</v>
          </cell>
          <cell r="AP9" t="str">
            <v>PENSIÓN
Y OTROS</v>
          </cell>
          <cell r="AQ9" t="str">
            <v>ADELANTO DE HABERES</v>
          </cell>
          <cell r="AT9" t="str">
            <v xml:space="preserve">ESSALUD           
 </v>
          </cell>
          <cell r="AU9" t="str">
            <v>SCTR                 SALUD</v>
          </cell>
          <cell r="AV9" t="str">
            <v xml:space="preserve">SCTR               </v>
          </cell>
          <cell r="AW9" t="str">
            <v>VIDA LEY</v>
          </cell>
          <cell r="AX9" t="str">
            <v xml:space="preserve">TOTAL
 APORTES      </v>
          </cell>
        </row>
        <row r="10">
          <cell r="E10" t="str">
            <v>INICIO</v>
          </cell>
          <cell r="F10" t="str">
            <v>TERMINO</v>
          </cell>
          <cell r="T10" t="str">
            <v>ORDINARIO</v>
          </cell>
          <cell r="U10" t="str">
            <v>DOM Y FER</v>
          </cell>
          <cell r="V10" t="str">
            <v>DES.
MED.</v>
          </cell>
          <cell r="W10" t="str">
            <v>EXT                                  25%</v>
          </cell>
          <cell r="X10" t="str">
            <v>EXT                                  35%</v>
          </cell>
          <cell r="Y10" t="str">
            <v>EXT                               100%</v>
          </cell>
          <cell r="AG10" t="str">
            <v xml:space="preserve">Obligat.10% + 2%  ley 27252  </v>
          </cell>
          <cell r="AH10" t="str">
            <v>SEG.</v>
          </cell>
          <cell r="AI10" t="str">
            <v>COMISI</v>
          </cell>
        </row>
        <row r="11">
          <cell r="AT11" t="str">
            <v>9%</v>
          </cell>
          <cell r="AU11" t="str">
            <v>1%</v>
          </cell>
          <cell r="AV11" t="str">
            <v>1.74</v>
          </cell>
          <cell r="AW11" t="str">
            <v>1.31</v>
          </cell>
        </row>
        <row r="12">
          <cell r="A12">
            <v>1</v>
          </cell>
          <cell r="B12" t="str">
            <v>CERVANTES BEDOYA RAQUEL MARY LUZ</v>
          </cell>
          <cell r="C12" t="str">
            <v>SECRETARIA</v>
          </cell>
          <cell r="G12">
            <v>36164</v>
          </cell>
          <cell r="I12">
            <v>20735</v>
          </cell>
          <cell r="J12" t="str">
            <v>08609159</v>
          </cell>
          <cell r="K12">
            <v>1500</v>
          </cell>
          <cell r="L12">
            <v>50</v>
          </cell>
          <cell r="M12" t="str">
            <v>ONP</v>
          </cell>
          <cell r="N12">
            <v>26</v>
          </cell>
          <cell r="O12">
            <v>4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1300</v>
          </cell>
          <cell r="U12">
            <v>200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55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1555</v>
          </cell>
          <cell r="AF12">
            <v>202.15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202.15</v>
          </cell>
          <cell r="AM12">
            <v>1352.85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1352.85</v>
          </cell>
          <cell r="AT12">
            <v>139.94999999999999</v>
          </cell>
          <cell r="AU12">
            <v>0</v>
          </cell>
          <cell r="AV12">
            <v>0</v>
          </cell>
          <cell r="AW12">
            <v>0</v>
          </cell>
          <cell r="AX12">
            <v>139.94999999999999</v>
          </cell>
          <cell r="AY12">
            <v>1694.95</v>
          </cell>
          <cell r="AZ12">
            <v>129.53149999999999</v>
          </cell>
          <cell r="BA12">
            <v>129.58333333333334</v>
          </cell>
          <cell r="BB12">
            <v>259.16666666666669</v>
          </cell>
          <cell r="BC12">
            <v>518.28150000000005</v>
          </cell>
          <cell r="BD12">
            <v>2213.2314999999999</v>
          </cell>
        </row>
        <row r="13">
          <cell r="A13">
            <v>2</v>
          </cell>
          <cell r="B13" t="str">
            <v>HUERTA PEREZ JANETH IRENE</v>
          </cell>
          <cell r="C13" t="str">
            <v>ASISTENTE GERENCIA</v>
          </cell>
          <cell r="G13">
            <v>36648</v>
          </cell>
          <cell r="I13">
            <v>29869</v>
          </cell>
          <cell r="J13" t="str">
            <v>41172831</v>
          </cell>
          <cell r="K13">
            <v>2500</v>
          </cell>
          <cell r="L13">
            <v>83.333333333333329</v>
          </cell>
          <cell r="M13" t="str">
            <v>PRIMA</v>
          </cell>
          <cell r="N13">
            <v>26</v>
          </cell>
          <cell r="O13">
            <v>4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2166.67</v>
          </cell>
          <cell r="U13">
            <v>333.33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2500</v>
          </cell>
          <cell r="AF13">
            <v>0</v>
          </cell>
          <cell r="AG13">
            <v>250</v>
          </cell>
          <cell r="AH13">
            <v>21.75</v>
          </cell>
          <cell r="AI13">
            <v>37.5</v>
          </cell>
          <cell r="AJ13">
            <v>131.25</v>
          </cell>
          <cell r="AK13">
            <v>0</v>
          </cell>
          <cell r="AL13">
            <v>440.5</v>
          </cell>
          <cell r="AM13">
            <v>2059.5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2059.5</v>
          </cell>
          <cell r="AT13">
            <v>225</v>
          </cell>
          <cell r="AU13">
            <v>0</v>
          </cell>
          <cell r="AV13">
            <v>0</v>
          </cell>
          <cell r="AW13">
            <v>0</v>
          </cell>
          <cell r="AX13">
            <v>225</v>
          </cell>
          <cell r="AY13">
            <v>2725</v>
          </cell>
          <cell r="AZ13">
            <v>208.25</v>
          </cell>
          <cell r="BA13">
            <v>208.33333333333334</v>
          </cell>
          <cell r="BB13">
            <v>416.66666666666669</v>
          </cell>
          <cell r="BC13">
            <v>833.25</v>
          </cell>
          <cell r="BD13">
            <v>3558.25</v>
          </cell>
        </row>
        <row r="14">
          <cell r="A14">
            <v>3</v>
          </cell>
          <cell r="B14" t="str">
            <v>HUERTA PEREZ JESUS HIDALGO</v>
          </cell>
          <cell r="C14" t="str">
            <v>ASISTENTE GERENCIA</v>
          </cell>
          <cell r="G14">
            <v>37712</v>
          </cell>
          <cell r="I14">
            <v>31028</v>
          </cell>
          <cell r="J14" t="str">
            <v>42876302</v>
          </cell>
          <cell r="K14">
            <v>2500</v>
          </cell>
          <cell r="L14">
            <v>83.333333333333329</v>
          </cell>
          <cell r="M14" t="str">
            <v>HORIZONTE</v>
          </cell>
          <cell r="N14">
            <v>26</v>
          </cell>
          <cell r="O14">
            <v>4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2166.67</v>
          </cell>
          <cell r="U14">
            <v>333.33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2500</v>
          </cell>
          <cell r="AF14">
            <v>0</v>
          </cell>
          <cell r="AG14">
            <v>250</v>
          </cell>
          <cell r="AH14">
            <v>22</v>
          </cell>
          <cell r="AI14">
            <v>48.75</v>
          </cell>
          <cell r="AJ14">
            <v>131.25</v>
          </cell>
          <cell r="AK14">
            <v>0</v>
          </cell>
          <cell r="AL14">
            <v>452</v>
          </cell>
          <cell r="AM14">
            <v>2048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2048</v>
          </cell>
          <cell r="AT14">
            <v>225</v>
          </cell>
          <cell r="AU14">
            <v>0</v>
          </cell>
          <cell r="AV14">
            <v>0</v>
          </cell>
          <cell r="AW14">
            <v>0</v>
          </cell>
          <cell r="AX14">
            <v>225</v>
          </cell>
          <cell r="AY14">
            <v>2725</v>
          </cell>
          <cell r="AZ14">
            <v>208.25</v>
          </cell>
          <cell r="BA14">
            <v>208.33333333333334</v>
          </cell>
          <cell r="BB14">
            <v>416.66666666666669</v>
          </cell>
          <cell r="BC14">
            <v>833.25</v>
          </cell>
          <cell r="BD14">
            <v>3558.25</v>
          </cell>
        </row>
        <row r="15">
          <cell r="A15">
            <v>4</v>
          </cell>
          <cell r="B15" t="str">
            <v>HUERTA PEREZ, MARIO CESAR</v>
          </cell>
          <cell r="C15" t="str">
            <v>GERENTE OPERACIONES</v>
          </cell>
          <cell r="G15">
            <v>38635</v>
          </cell>
          <cell r="I15">
            <v>28331</v>
          </cell>
          <cell r="J15" t="str">
            <v>10683422</v>
          </cell>
          <cell r="K15">
            <v>4500</v>
          </cell>
          <cell r="L15">
            <v>150</v>
          </cell>
          <cell r="M15" t="str">
            <v>INTEGRA</v>
          </cell>
          <cell r="N15">
            <v>26</v>
          </cell>
          <cell r="O15">
            <v>4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3900</v>
          </cell>
          <cell r="U15">
            <v>600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4500</v>
          </cell>
          <cell r="AF15">
            <v>0</v>
          </cell>
          <cell r="AG15">
            <v>450</v>
          </cell>
          <cell r="AH15">
            <v>39.6</v>
          </cell>
          <cell r="AI15">
            <v>81</v>
          </cell>
          <cell r="AJ15">
            <v>481.25</v>
          </cell>
          <cell r="AK15">
            <v>0</v>
          </cell>
          <cell r="AL15">
            <v>1051.8499999999999</v>
          </cell>
          <cell r="AM15">
            <v>3448.15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3448.15</v>
          </cell>
          <cell r="AT15">
            <v>405</v>
          </cell>
          <cell r="AU15">
            <v>0</v>
          </cell>
          <cell r="AV15">
            <v>78.3</v>
          </cell>
          <cell r="AW15">
            <v>0</v>
          </cell>
          <cell r="AX15">
            <v>483.3</v>
          </cell>
          <cell r="AY15">
            <v>4983.3</v>
          </cell>
          <cell r="AZ15">
            <v>374.85</v>
          </cell>
          <cell r="BA15">
            <v>375</v>
          </cell>
          <cell r="BB15">
            <v>750</v>
          </cell>
          <cell r="BC15">
            <v>1499.85</v>
          </cell>
          <cell r="BD15">
            <v>6483.15</v>
          </cell>
        </row>
        <row r="16">
          <cell r="A16">
            <v>5</v>
          </cell>
          <cell r="B16" t="str">
            <v>HUERTA RAMIREZ HIDALGO AURELIO</v>
          </cell>
          <cell r="C16" t="str">
            <v>ASISTENTE</v>
          </cell>
          <cell r="G16">
            <v>38626</v>
          </cell>
          <cell r="I16">
            <v>14821</v>
          </cell>
          <cell r="J16" t="str">
            <v>08680442</v>
          </cell>
          <cell r="K16">
            <v>1000</v>
          </cell>
          <cell r="L16">
            <v>33.333333333333336</v>
          </cell>
          <cell r="M16" t="str">
            <v>ONP</v>
          </cell>
          <cell r="N16">
            <v>26</v>
          </cell>
          <cell r="O16">
            <v>4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866.67</v>
          </cell>
          <cell r="U16">
            <v>133.33000000000001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1000</v>
          </cell>
          <cell r="AF16">
            <v>130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130</v>
          </cell>
          <cell r="AM16">
            <v>870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870</v>
          </cell>
          <cell r="AT16">
            <v>90</v>
          </cell>
          <cell r="AU16">
            <v>0</v>
          </cell>
          <cell r="AV16">
            <v>0</v>
          </cell>
          <cell r="AW16">
            <v>0</v>
          </cell>
          <cell r="AX16">
            <v>90</v>
          </cell>
          <cell r="AY16">
            <v>1090</v>
          </cell>
          <cell r="AZ16">
            <v>83.3</v>
          </cell>
          <cell r="BA16">
            <v>83.333333333333329</v>
          </cell>
          <cell r="BB16">
            <v>166.66666666666666</v>
          </cell>
          <cell r="BC16">
            <v>333.29999999999995</v>
          </cell>
          <cell r="BD16">
            <v>1423.3</v>
          </cell>
        </row>
        <row r="17">
          <cell r="A17">
            <v>6</v>
          </cell>
          <cell r="B17" t="str">
            <v>HUERTA RAMIREZ JESUS MARIO</v>
          </cell>
          <cell r="C17" t="str">
            <v>GERENTE GENERAL</v>
          </cell>
          <cell r="G17">
            <v>33409</v>
          </cell>
          <cell r="I17">
            <v>18799</v>
          </cell>
          <cell r="J17" t="str">
            <v>08466930</v>
          </cell>
          <cell r="K17">
            <v>5000</v>
          </cell>
          <cell r="L17">
            <v>166.66666666666666</v>
          </cell>
          <cell r="M17" t="str">
            <v>INTEGRA</v>
          </cell>
          <cell r="N17">
            <v>26</v>
          </cell>
          <cell r="O17">
            <v>4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4333.33</v>
          </cell>
          <cell r="U17">
            <v>666.67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5000</v>
          </cell>
          <cell r="AF17">
            <v>0</v>
          </cell>
          <cell r="AG17">
            <v>500</v>
          </cell>
          <cell r="AH17">
            <v>44</v>
          </cell>
          <cell r="AI17">
            <v>90</v>
          </cell>
          <cell r="AJ17">
            <v>568.75</v>
          </cell>
          <cell r="AK17">
            <v>0</v>
          </cell>
          <cell r="AL17">
            <v>1202.75</v>
          </cell>
          <cell r="AM17">
            <v>3797.25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3797.25</v>
          </cell>
          <cell r="AT17">
            <v>450</v>
          </cell>
          <cell r="AU17">
            <v>0</v>
          </cell>
          <cell r="AV17">
            <v>87</v>
          </cell>
          <cell r="AW17">
            <v>0</v>
          </cell>
          <cell r="AX17">
            <v>537</v>
          </cell>
          <cell r="AY17">
            <v>5537</v>
          </cell>
          <cell r="AZ17">
            <v>416.5</v>
          </cell>
          <cell r="BA17">
            <v>416.66666666666669</v>
          </cell>
          <cell r="BB17">
            <v>833.33333333333337</v>
          </cell>
          <cell r="BC17">
            <v>1666.5</v>
          </cell>
          <cell r="BD17">
            <v>7203.5</v>
          </cell>
        </row>
        <row r="18">
          <cell r="A18">
            <v>7</v>
          </cell>
          <cell r="B18" t="str">
            <v>MEDINA VEGA, SANDRA VANESSA</v>
          </cell>
          <cell r="C18" t="str">
            <v>MEDIO AMBIENTE Y PLANEAMIENTO</v>
          </cell>
          <cell r="G18">
            <v>38758</v>
          </cell>
          <cell r="I18">
            <v>29913</v>
          </cell>
          <cell r="J18" t="str">
            <v>41366013</v>
          </cell>
          <cell r="K18">
            <v>2745</v>
          </cell>
          <cell r="L18">
            <v>91.5</v>
          </cell>
          <cell r="M18" t="str">
            <v>HORIZONTE</v>
          </cell>
          <cell r="N18">
            <v>26</v>
          </cell>
          <cell r="O18">
            <v>4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2379</v>
          </cell>
          <cell r="U18">
            <v>366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55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2800</v>
          </cell>
          <cell r="AF18">
            <v>0</v>
          </cell>
          <cell r="AG18">
            <v>280</v>
          </cell>
          <cell r="AH18">
            <v>24.64</v>
          </cell>
          <cell r="AI18">
            <v>54.6</v>
          </cell>
          <cell r="AJ18">
            <v>183.75</v>
          </cell>
          <cell r="AK18">
            <v>5</v>
          </cell>
          <cell r="AL18">
            <v>547.99</v>
          </cell>
          <cell r="AM18">
            <v>2252.0100000000002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2252.0100000000002</v>
          </cell>
          <cell r="AT18">
            <v>252</v>
          </cell>
          <cell r="AU18">
            <v>0</v>
          </cell>
          <cell r="AV18">
            <v>48.72</v>
          </cell>
          <cell r="AW18">
            <v>0</v>
          </cell>
          <cell r="AX18">
            <v>300.72000000000003</v>
          </cell>
          <cell r="AY18">
            <v>3100.7200000000003</v>
          </cell>
          <cell r="AZ18">
            <v>233.24</v>
          </cell>
          <cell r="BA18">
            <v>233.33333333333334</v>
          </cell>
          <cell r="BB18">
            <v>466.66666666666669</v>
          </cell>
          <cell r="BC18">
            <v>933.24</v>
          </cell>
          <cell r="BD18">
            <v>4033.96</v>
          </cell>
        </row>
        <row r="19">
          <cell r="A19">
            <v>8</v>
          </cell>
          <cell r="B19" t="str">
            <v>MONTOYA NEYRA, MERY</v>
          </cell>
          <cell r="C19" t="str">
            <v>SECRETARIA</v>
          </cell>
          <cell r="G19">
            <v>38626</v>
          </cell>
          <cell r="I19">
            <v>26639</v>
          </cell>
          <cell r="J19" t="str">
            <v>29470763</v>
          </cell>
          <cell r="K19">
            <v>900</v>
          </cell>
          <cell r="L19">
            <v>30</v>
          </cell>
          <cell r="M19" t="str">
            <v>INTEGRA</v>
          </cell>
          <cell r="N19">
            <v>26</v>
          </cell>
          <cell r="O19">
            <v>4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780</v>
          </cell>
          <cell r="U19">
            <v>120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55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955</v>
          </cell>
          <cell r="AF19">
            <v>0</v>
          </cell>
          <cell r="AG19">
            <v>95.5</v>
          </cell>
          <cell r="AH19">
            <v>8.4</v>
          </cell>
          <cell r="AI19">
            <v>17.190000000000001</v>
          </cell>
          <cell r="AJ19">
            <v>0</v>
          </cell>
          <cell r="AK19">
            <v>0</v>
          </cell>
          <cell r="AL19">
            <v>121.09</v>
          </cell>
          <cell r="AM19">
            <v>833.91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833.91</v>
          </cell>
          <cell r="AT19">
            <v>85.95</v>
          </cell>
          <cell r="AU19">
            <v>0</v>
          </cell>
          <cell r="AV19">
            <v>0</v>
          </cell>
          <cell r="AW19">
            <v>0</v>
          </cell>
          <cell r="AX19">
            <v>85.95</v>
          </cell>
          <cell r="AY19">
            <v>1040.95</v>
          </cell>
          <cell r="AZ19">
            <v>79.551500000000004</v>
          </cell>
          <cell r="BA19">
            <v>79.583333333333329</v>
          </cell>
          <cell r="BB19">
            <v>159.16666666666666</v>
          </cell>
          <cell r="BC19">
            <v>318.30150000000003</v>
          </cell>
          <cell r="BD19">
            <v>1359.2515000000001</v>
          </cell>
        </row>
        <row r="20">
          <cell r="A20">
            <v>9</v>
          </cell>
          <cell r="B20" t="str">
            <v>PAREDES SANCHEZ, PALMIRA ZULEMA</v>
          </cell>
          <cell r="C20" t="str">
            <v>SECRETARIA</v>
          </cell>
          <cell r="G20">
            <v>38488</v>
          </cell>
          <cell r="I20">
            <v>27257</v>
          </cell>
          <cell r="J20" t="str">
            <v>30843052</v>
          </cell>
          <cell r="K20">
            <v>1000</v>
          </cell>
          <cell r="L20">
            <v>33.333333333333336</v>
          </cell>
          <cell r="M20" t="str">
            <v>INTEGRA</v>
          </cell>
          <cell r="N20">
            <v>26</v>
          </cell>
          <cell r="O20">
            <v>4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866.67</v>
          </cell>
          <cell r="U20">
            <v>133.33000000000001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55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1055</v>
          </cell>
          <cell r="AF20">
            <v>0</v>
          </cell>
          <cell r="AG20">
            <v>105.5</v>
          </cell>
          <cell r="AH20">
            <v>9.2799999999999994</v>
          </cell>
          <cell r="AI20">
            <v>18.989999999999998</v>
          </cell>
          <cell r="AJ20">
            <v>0</v>
          </cell>
          <cell r="AK20">
            <v>0</v>
          </cell>
          <cell r="AL20">
            <v>133.77000000000001</v>
          </cell>
          <cell r="AM20">
            <v>921.23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921.23</v>
          </cell>
          <cell r="AT20">
            <v>94.95</v>
          </cell>
          <cell r="AU20">
            <v>0</v>
          </cell>
          <cell r="AV20">
            <v>0</v>
          </cell>
          <cell r="AW20">
            <v>0</v>
          </cell>
          <cell r="AX20">
            <v>94.95</v>
          </cell>
          <cell r="AY20">
            <v>1149.95</v>
          </cell>
          <cell r="AZ20">
            <v>87.881500000000003</v>
          </cell>
          <cell r="BA20">
            <v>87.916666666666671</v>
          </cell>
          <cell r="BB20">
            <v>175.83333333333334</v>
          </cell>
          <cell r="BC20">
            <v>351.63150000000002</v>
          </cell>
          <cell r="BD20">
            <v>1501.5815</v>
          </cell>
        </row>
        <row r="21">
          <cell r="A21">
            <v>10</v>
          </cell>
          <cell r="B21" t="str">
            <v>QUISPE AGUILAR, PELAYO</v>
          </cell>
          <cell r="C21" t="str">
            <v>SOLDADOR</v>
          </cell>
          <cell r="G21">
            <v>39356</v>
          </cell>
          <cell r="J21" t="str">
            <v>02164991</v>
          </cell>
          <cell r="K21">
            <v>550</v>
          </cell>
          <cell r="L21">
            <v>18.333333333333332</v>
          </cell>
          <cell r="M21" t="str">
            <v>INTEGRA</v>
          </cell>
          <cell r="N21">
            <v>23</v>
          </cell>
          <cell r="O21">
            <v>4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421.67</v>
          </cell>
          <cell r="U21">
            <v>73.33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495</v>
          </cell>
          <cell r="AF21">
            <v>0</v>
          </cell>
          <cell r="AG21">
            <v>49.5</v>
          </cell>
          <cell r="AH21">
            <v>4.3600000000000003</v>
          </cell>
          <cell r="AI21">
            <v>8.91</v>
          </cell>
          <cell r="AJ21">
            <v>0</v>
          </cell>
          <cell r="AK21">
            <v>0</v>
          </cell>
          <cell r="AL21">
            <v>62.77</v>
          </cell>
          <cell r="AM21">
            <v>432.23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432.23</v>
          </cell>
          <cell r="AT21">
            <v>49.5</v>
          </cell>
          <cell r="AU21">
            <v>0</v>
          </cell>
          <cell r="AV21">
            <v>8.61</v>
          </cell>
          <cell r="AW21">
            <v>0</v>
          </cell>
          <cell r="AX21">
            <v>58.11</v>
          </cell>
          <cell r="AY21">
            <v>553.11</v>
          </cell>
          <cell r="AZ21">
            <v>41.233499999999999</v>
          </cell>
          <cell r="BA21">
            <v>41.25</v>
          </cell>
          <cell r="BB21">
            <v>82.5</v>
          </cell>
          <cell r="BC21">
            <v>164.98349999999999</v>
          </cell>
          <cell r="BD21">
            <v>718.09349999999995</v>
          </cell>
        </row>
        <row r="22">
          <cell r="A22">
            <v>11</v>
          </cell>
          <cell r="B22" t="str">
            <v>SANCHEZ REYES, CARMELO</v>
          </cell>
          <cell r="C22" t="str">
            <v>ABOGADO</v>
          </cell>
          <cell r="G22">
            <v>38749</v>
          </cell>
          <cell r="I22">
            <v>21382</v>
          </cell>
          <cell r="J22" t="str">
            <v>07946196</v>
          </cell>
          <cell r="K22">
            <v>553</v>
          </cell>
          <cell r="L22">
            <v>18.433333333333334</v>
          </cell>
          <cell r="M22" t="str">
            <v>ONP</v>
          </cell>
          <cell r="N22">
            <v>26</v>
          </cell>
          <cell r="O22">
            <v>4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479.27</v>
          </cell>
          <cell r="U22">
            <v>73.73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553</v>
          </cell>
          <cell r="AF22">
            <v>71.89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71.89</v>
          </cell>
          <cell r="AM22">
            <v>481.11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481.11</v>
          </cell>
          <cell r="AT22">
            <v>49.77</v>
          </cell>
          <cell r="AU22">
            <v>0</v>
          </cell>
          <cell r="AV22">
            <v>0</v>
          </cell>
          <cell r="AW22">
            <v>0</v>
          </cell>
          <cell r="AX22">
            <v>49.77</v>
          </cell>
          <cell r="AY22">
            <v>602.77</v>
          </cell>
          <cell r="AZ22">
            <v>46.064900000000002</v>
          </cell>
          <cell r="BA22">
            <v>46.083333333333336</v>
          </cell>
          <cell r="BB22">
            <v>92.166666666666671</v>
          </cell>
          <cell r="BC22">
            <v>184.31490000000002</v>
          </cell>
          <cell r="BD22">
            <v>787.08490000000006</v>
          </cell>
        </row>
        <row r="23">
          <cell r="A23">
            <v>12</v>
          </cell>
          <cell r="B23" t="str">
            <v>VIERA SILVA ADELENI BETY</v>
          </cell>
          <cell r="C23" t="str">
            <v>ING. MINAS</v>
          </cell>
          <cell r="G23">
            <v>38930</v>
          </cell>
          <cell r="I23">
            <v>29604</v>
          </cell>
          <cell r="J23" t="str">
            <v>40877177</v>
          </cell>
          <cell r="K23">
            <v>900</v>
          </cell>
          <cell r="L23">
            <v>30</v>
          </cell>
          <cell r="M23" t="str">
            <v>HORIZONTE</v>
          </cell>
          <cell r="N23">
            <v>26</v>
          </cell>
          <cell r="O23">
            <v>4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780</v>
          </cell>
          <cell r="U23">
            <v>120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900</v>
          </cell>
          <cell r="AF23">
            <v>0</v>
          </cell>
          <cell r="AG23">
            <v>90</v>
          </cell>
          <cell r="AH23">
            <v>7.92</v>
          </cell>
          <cell r="AI23">
            <v>17.55</v>
          </cell>
          <cell r="AJ23">
            <v>0</v>
          </cell>
          <cell r="AK23">
            <v>0</v>
          </cell>
          <cell r="AL23">
            <v>115.47</v>
          </cell>
          <cell r="AM23">
            <v>784.53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784.53</v>
          </cell>
          <cell r="AT23">
            <v>81</v>
          </cell>
          <cell r="AU23">
            <v>0</v>
          </cell>
          <cell r="AV23">
            <v>0</v>
          </cell>
          <cell r="AW23">
            <v>0</v>
          </cell>
          <cell r="AX23">
            <v>81</v>
          </cell>
          <cell r="AY23">
            <v>981</v>
          </cell>
          <cell r="AZ23">
            <v>74.97</v>
          </cell>
          <cell r="BA23">
            <v>75</v>
          </cell>
          <cell r="BB23">
            <v>150</v>
          </cell>
          <cell r="BC23">
            <v>299.97000000000003</v>
          </cell>
          <cell r="BD23">
            <v>1280.97</v>
          </cell>
        </row>
        <row r="24">
          <cell r="A24">
            <v>13</v>
          </cell>
          <cell r="B24" t="str">
            <v>ZARATE SICHA, JUAN CARLOS</v>
          </cell>
          <cell r="C24" t="str">
            <v>COMPRADOR</v>
          </cell>
          <cell r="G24">
            <v>39356</v>
          </cell>
          <cell r="J24" t="str">
            <v>45858603</v>
          </cell>
          <cell r="K24">
            <v>550</v>
          </cell>
          <cell r="L24">
            <v>18.333333333333332</v>
          </cell>
          <cell r="M24" t="str">
            <v>ONP</v>
          </cell>
          <cell r="N24">
            <v>26</v>
          </cell>
          <cell r="O24">
            <v>4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476.67</v>
          </cell>
          <cell r="U24">
            <v>73.33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550</v>
          </cell>
          <cell r="AF24">
            <v>71.5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71.5</v>
          </cell>
          <cell r="AM24">
            <v>478.5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478.5</v>
          </cell>
          <cell r="AT24">
            <v>49.5</v>
          </cell>
          <cell r="AU24">
            <v>0</v>
          </cell>
          <cell r="AV24">
            <v>9.57</v>
          </cell>
          <cell r="AW24">
            <v>0</v>
          </cell>
          <cell r="AX24">
            <v>59.07</v>
          </cell>
          <cell r="AY24">
            <v>609.07000000000005</v>
          </cell>
          <cell r="AZ24">
            <v>45.814999999999998</v>
          </cell>
          <cell r="BA24">
            <v>45.833333333333336</v>
          </cell>
          <cell r="BB24">
            <v>91.666666666666671</v>
          </cell>
          <cell r="BC24">
            <v>183.315</v>
          </cell>
          <cell r="BD24">
            <v>792.38499999999999</v>
          </cell>
        </row>
        <row r="25">
          <cell r="A25">
            <v>14</v>
          </cell>
          <cell r="B25" t="str">
            <v>ZARATE SICHA, NELSON JHONATAN</v>
          </cell>
          <cell r="C25" t="str">
            <v>TORNERO</v>
          </cell>
          <cell r="G25">
            <v>39356</v>
          </cell>
          <cell r="I25">
            <v>30443</v>
          </cell>
          <cell r="J25" t="str">
            <v>41916821</v>
          </cell>
          <cell r="K25">
            <v>550</v>
          </cell>
          <cell r="L25">
            <v>18.333333333333332</v>
          </cell>
          <cell r="M25" t="str">
            <v>ONP</v>
          </cell>
          <cell r="N25">
            <v>26</v>
          </cell>
          <cell r="O25">
            <v>4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476.67</v>
          </cell>
          <cell r="U25">
            <v>73.33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550</v>
          </cell>
          <cell r="AF25">
            <v>71.5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71.5</v>
          </cell>
          <cell r="AM25">
            <v>478.5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478.5</v>
          </cell>
          <cell r="AT25">
            <v>49.5</v>
          </cell>
          <cell r="AU25">
            <v>0</v>
          </cell>
          <cell r="AV25">
            <v>9.57</v>
          </cell>
          <cell r="AW25">
            <v>0</v>
          </cell>
          <cell r="AX25">
            <v>59.07</v>
          </cell>
          <cell r="AY25">
            <v>609.07000000000005</v>
          </cell>
          <cell r="AZ25">
            <v>45.814999999999998</v>
          </cell>
          <cell r="BA25">
            <v>45.833333333333336</v>
          </cell>
          <cell r="BB25">
            <v>91.666666666666671</v>
          </cell>
          <cell r="BC25">
            <v>183.315</v>
          </cell>
          <cell r="BD25">
            <v>792.38499999999999</v>
          </cell>
        </row>
        <row r="26">
          <cell r="A26" t="str">
            <v>TOTAL OBREROS = 14</v>
          </cell>
          <cell r="N26">
            <v>361</v>
          </cell>
          <cell r="O26">
            <v>56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21393.289999999994</v>
          </cell>
          <cell r="U26">
            <v>3299.7099999999996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220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24913</v>
          </cell>
          <cell r="AF26">
            <v>547.04</v>
          </cell>
          <cell r="AG26">
            <v>2070.5</v>
          </cell>
          <cell r="AH26">
            <v>181.95000000000002</v>
          </cell>
          <cell r="AI26">
            <v>374.49000000000007</v>
          </cell>
          <cell r="AJ26">
            <v>1496.25</v>
          </cell>
          <cell r="AK26">
            <v>5</v>
          </cell>
          <cell r="AL26">
            <v>4675.2300000000014</v>
          </cell>
          <cell r="AM26">
            <v>20237.77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20237.77</v>
          </cell>
          <cell r="AT26">
            <v>2247.1200000000003</v>
          </cell>
          <cell r="AU26">
            <v>0</v>
          </cell>
          <cell r="AV26">
            <v>241.76999999999998</v>
          </cell>
          <cell r="AW26">
            <v>0</v>
          </cell>
          <cell r="AX26">
            <v>2488.8900000000003</v>
          </cell>
          <cell r="AY26">
            <v>27401.890000000003</v>
          </cell>
          <cell r="AZ26">
            <v>2075.2529000000004</v>
          </cell>
          <cell r="BA26">
            <v>2076.083333333333</v>
          </cell>
          <cell r="BB26">
            <v>4152.1666666666661</v>
          </cell>
          <cell r="BC26">
            <v>8303.5029000000013</v>
          </cell>
          <cell r="BD26">
            <v>35705.392899999999</v>
          </cell>
        </row>
        <row r="28">
          <cell r="A28" t="str">
            <v>TOTAL GENERAL</v>
          </cell>
          <cell r="N28">
            <v>361</v>
          </cell>
          <cell r="O28">
            <v>56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21393.289999999994</v>
          </cell>
          <cell r="U28">
            <v>3299.7099999999996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220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24913</v>
          </cell>
          <cell r="AF28">
            <v>547.04</v>
          </cell>
          <cell r="AG28">
            <v>2070.5</v>
          </cell>
          <cell r="AH28">
            <v>181.95000000000002</v>
          </cell>
          <cell r="AI28">
            <v>374.49000000000007</v>
          </cell>
          <cell r="AJ28">
            <v>1496.25</v>
          </cell>
          <cell r="AK28">
            <v>5</v>
          </cell>
          <cell r="AL28">
            <v>4675.2300000000014</v>
          </cell>
          <cell r="AM28">
            <v>20237.77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20237.77</v>
          </cell>
          <cell r="AT28">
            <v>2247.1200000000003</v>
          </cell>
          <cell r="AU28">
            <v>0</v>
          </cell>
          <cell r="AV28">
            <v>241.76999999999998</v>
          </cell>
          <cell r="AW28">
            <v>0</v>
          </cell>
          <cell r="AX28">
            <v>2488.8900000000003</v>
          </cell>
          <cell r="AY28">
            <v>27401.890000000003</v>
          </cell>
          <cell r="AZ28">
            <v>2075.2529000000004</v>
          </cell>
          <cell r="BA28">
            <v>2076.083333333333</v>
          </cell>
          <cell r="BB28">
            <v>4152.1666666666661</v>
          </cell>
          <cell r="BC28">
            <v>8303.5029000000013</v>
          </cell>
          <cell r="BD28">
            <v>35705.392899999999</v>
          </cell>
        </row>
        <row r="30">
          <cell r="A30" t="str">
            <v>TOTAL EN DÓLARES TC: 2.78</v>
          </cell>
          <cell r="T30">
            <v>7695.4280575539551</v>
          </cell>
          <cell r="U30">
            <v>1186.9460431654675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79.136690647482027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8961.5107913669071</v>
          </cell>
          <cell r="AF30">
            <v>196.77697841726618</v>
          </cell>
          <cell r="AG30">
            <v>744.78417266187057</v>
          </cell>
          <cell r="AH30">
            <v>65.449640287769796</v>
          </cell>
          <cell r="AI30">
            <v>134.70863309352521</v>
          </cell>
          <cell r="AJ30">
            <v>538.2194244604317</v>
          </cell>
          <cell r="AK30">
            <v>1.7985611510791368</v>
          </cell>
          <cell r="AL30">
            <v>1681.737410071943</v>
          </cell>
          <cell r="AM30">
            <v>7279.7733812949646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7279.7733812949646</v>
          </cell>
          <cell r="AT30">
            <v>808.31654676259006</v>
          </cell>
          <cell r="AU30">
            <v>0</v>
          </cell>
          <cell r="AV30">
            <v>86.967625899280577</v>
          </cell>
          <cell r="AW30">
            <v>0</v>
          </cell>
          <cell r="AX30">
            <v>895.28417266187068</v>
          </cell>
          <cell r="AY30">
            <v>9856.7949640287788</v>
          </cell>
          <cell r="AZ30">
            <v>746.49384892086346</v>
          </cell>
          <cell r="BA30">
            <v>746.79256594724211</v>
          </cell>
          <cell r="BB30">
            <v>1493.5851318944842</v>
          </cell>
          <cell r="BC30">
            <v>2986.8715467625907</v>
          </cell>
          <cell r="BD30">
            <v>12843.666510791367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blecimientos ESP"/>
      <sheetName val="Destaque1 EDD"/>
      <sheetName val="Destaque2 SDD"/>
      <sheetName val="Me destacaron MED"/>
      <sheetName val="Traba Dat Personales T00"/>
      <sheetName val="Traba Datos Prin y Compl T01"/>
      <sheetName val="Datos de periodos P00"/>
      <sheetName val="JOPRNADA LABO  JOR"/>
      <sheetName val="Establec Tes"/>
      <sheetName val="ASIGNACION FA. SUELDO BASICO"/>
      <sheetName val="HORAS EXTRAS"/>
      <sheetName val="107"/>
      <sheetName val="SUBSIDIOS DESCANSO MEDICO"/>
      <sheetName val="VACACIONES TRUNCAS)"/>
      <sheetName val="REINTEGROS"/>
      <sheetName val="QUINTA CATEGORIA"/>
      <sheetName val="DESCUENTO JUDICIAL"/>
      <sheetName val="ADELANTO DE VACACIONES)"/>
      <sheetName val="OTROS DESCUENTOS"/>
      <sheetName val="AFP 2"/>
      <sheetName val="Hoja1"/>
      <sheetName val="Hoja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YES SOCIALES"/>
      <sheetName val="TAREO DIARIO"/>
      <sheetName val="TAREO MINA"/>
      <sheetName val="TAREO COMPAÑIA"/>
      <sheetName val="BOLETAS"/>
      <sheetName val="PLANILLA ENERO"/>
      <sheetName val="TAREO N° CUENTA"/>
      <sheetName val="PRESUPUESTO ENERO"/>
      <sheetName val="Hojas Liqui"/>
      <sheetName val="1"/>
      <sheetName val="2"/>
      <sheetName val="3"/>
      <sheetName val="4"/>
      <sheetName val="5"/>
      <sheetName val="6"/>
      <sheetName val="LIMA"/>
      <sheetName val="REMESA"/>
      <sheetName val="Hoja2"/>
      <sheetName val="BOLETAS "/>
      <sheetName val="BOLETAS HUARON"/>
      <sheetName val="GRATIFPUCARRAJO"/>
      <sheetName val="GRATIF.CARAVELI"/>
      <sheetName val="GRATIF.HUARON"/>
    </sheetNames>
    <sheetDataSet>
      <sheetData sheetId="0"/>
      <sheetData sheetId="1"/>
      <sheetData sheetId="2"/>
      <sheetData sheetId="3"/>
      <sheetData sheetId="4"/>
      <sheetData sheetId="5">
        <row r="136">
          <cell r="A136">
            <v>1</v>
          </cell>
          <cell r="B136" t="str">
            <v>Affata Quispe Julio Emilio</v>
          </cell>
          <cell r="C136" t="str">
            <v>AYUDANTE</v>
          </cell>
          <cell r="D136">
            <v>26</v>
          </cell>
          <cell r="G136">
            <v>36995</v>
          </cell>
          <cell r="I136" t="str">
            <v>INTEGRA</v>
          </cell>
          <cell r="L136">
            <v>31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S136">
            <v>806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Z136">
            <v>0</v>
          </cell>
          <cell r="AA136">
            <v>806</v>
          </cell>
          <cell r="AC136">
            <v>64.48</v>
          </cell>
          <cell r="AD136">
            <v>18.940999999999999</v>
          </cell>
          <cell r="AE136">
            <v>10.881000000000002</v>
          </cell>
          <cell r="AG136">
            <v>94.302000000000007</v>
          </cell>
          <cell r="AH136">
            <v>711.69799999999998</v>
          </cell>
          <cell r="AI136">
            <v>72.539999999999992</v>
          </cell>
          <cell r="AJ136">
            <v>16.12</v>
          </cell>
          <cell r="AK136">
            <v>14.024399999999998</v>
          </cell>
          <cell r="AL136">
            <v>102.6844</v>
          </cell>
          <cell r="AM136">
            <v>908.68439999999998</v>
          </cell>
        </row>
        <row r="137">
          <cell r="A137">
            <v>2</v>
          </cell>
          <cell r="B137" t="str">
            <v>Apaza Pacompia Esteban</v>
          </cell>
          <cell r="C137" t="str">
            <v>AYUDANTE</v>
          </cell>
          <cell r="D137">
            <v>26</v>
          </cell>
          <cell r="G137">
            <v>36996</v>
          </cell>
          <cell r="I137" t="str">
            <v>UNION</v>
          </cell>
          <cell r="L137">
            <v>25</v>
          </cell>
          <cell r="M137" t="str">
            <v>9</v>
          </cell>
          <cell r="N137">
            <v>3</v>
          </cell>
          <cell r="O137">
            <v>0.83333333333333337</v>
          </cell>
          <cell r="P137">
            <v>1</v>
          </cell>
          <cell r="S137">
            <v>650</v>
          </cell>
          <cell r="T137">
            <v>36.5625</v>
          </cell>
          <cell r="U137">
            <v>78</v>
          </cell>
          <cell r="V137">
            <v>3.6111111111111112</v>
          </cell>
          <cell r="W137">
            <v>26</v>
          </cell>
          <cell r="X137">
            <v>0</v>
          </cell>
          <cell r="Z137">
            <v>0</v>
          </cell>
          <cell r="AA137">
            <v>794.17361111111109</v>
          </cell>
          <cell r="AC137">
            <v>63.533888888888889</v>
          </cell>
          <cell r="AD137">
            <v>18.980749305555555</v>
          </cell>
          <cell r="AE137">
            <v>10.165422222222222</v>
          </cell>
          <cell r="AG137">
            <v>92.680060416666663</v>
          </cell>
          <cell r="AH137">
            <v>701.49355069444437</v>
          </cell>
          <cell r="AI137">
            <v>71.475624999999994</v>
          </cell>
          <cell r="AJ137">
            <v>15.883472222222222</v>
          </cell>
          <cell r="AK137">
            <v>13.818620833333332</v>
          </cell>
          <cell r="AL137">
            <v>101.17771805555554</v>
          </cell>
          <cell r="AM137">
            <v>895.35132916666657</v>
          </cell>
        </row>
        <row r="138">
          <cell r="A138">
            <v>3</v>
          </cell>
          <cell r="B138" t="str">
            <v>Astocaza Astocaza Serapio</v>
          </cell>
          <cell r="C138" t="str">
            <v>PEON</v>
          </cell>
          <cell r="D138">
            <v>24</v>
          </cell>
          <cell r="G138">
            <v>36684</v>
          </cell>
          <cell r="I138" t="str">
            <v>ONP</v>
          </cell>
          <cell r="J138">
            <v>0</v>
          </cell>
          <cell r="L138">
            <v>26</v>
          </cell>
          <cell r="M138" t="str">
            <v>12</v>
          </cell>
          <cell r="N138">
            <v>4</v>
          </cell>
          <cell r="O138" t="str">
            <v>0</v>
          </cell>
          <cell r="P138">
            <v>1</v>
          </cell>
          <cell r="S138">
            <v>624</v>
          </cell>
          <cell r="T138">
            <v>45</v>
          </cell>
          <cell r="U138">
            <v>96</v>
          </cell>
          <cell r="V138">
            <v>0</v>
          </cell>
          <cell r="W138">
            <v>24</v>
          </cell>
          <cell r="X138">
            <v>0</v>
          </cell>
          <cell r="Z138">
            <v>0</v>
          </cell>
          <cell r="AA138">
            <v>789</v>
          </cell>
          <cell r="AB138">
            <v>102.57000000000001</v>
          </cell>
          <cell r="AG138">
            <v>102.57000000000001</v>
          </cell>
          <cell r="AH138">
            <v>686.43</v>
          </cell>
          <cell r="AI138">
            <v>71.009999999999991</v>
          </cell>
          <cell r="AJ138">
            <v>15.780000000000001</v>
          </cell>
          <cell r="AK138">
            <v>13.728599999999998</v>
          </cell>
          <cell r="AL138">
            <v>100.51859999999999</v>
          </cell>
          <cell r="AM138">
            <v>889.51859999999999</v>
          </cell>
        </row>
        <row r="139">
          <cell r="A139">
            <v>4</v>
          </cell>
          <cell r="B139" t="str">
            <v>Benavente Vilca Leandro</v>
          </cell>
          <cell r="C139" t="str">
            <v>AYUDANTE</v>
          </cell>
          <cell r="D139">
            <v>26</v>
          </cell>
          <cell r="G139">
            <v>37214</v>
          </cell>
          <cell r="I139" t="str">
            <v>UNION</v>
          </cell>
          <cell r="L139">
            <v>25</v>
          </cell>
          <cell r="M139" t="str">
            <v>9</v>
          </cell>
          <cell r="N139">
            <v>3</v>
          </cell>
          <cell r="O139">
            <v>0.83333333333333337</v>
          </cell>
          <cell r="P139">
            <v>1</v>
          </cell>
          <cell r="S139">
            <v>650</v>
          </cell>
          <cell r="T139">
            <v>38.489062500000003</v>
          </cell>
          <cell r="U139">
            <v>78</v>
          </cell>
          <cell r="V139">
            <v>3.6111111111111112</v>
          </cell>
          <cell r="W139">
            <v>26</v>
          </cell>
          <cell r="X139">
            <v>0</v>
          </cell>
          <cell r="Y139">
            <v>36.22</v>
          </cell>
          <cell r="Z139">
            <v>41</v>
          </cell>
          <cell r="AA139">
            <v>873.32017361111116</v>
          </cell>
          <cell r="AC139">
            <v>69.865613888888888</v>
          </cell>
          <cell r="AD139">
            <v>20.872352149305559</v>
          </cell>
          <cell r="AE139">
            <v>11.178498222222224</v>
          </cell>
          <cell r="AG139">
            <v>101.91646426041666</v>
          </cell>
          <cell r="AH139">
            <v>771.4037093506945</v>
          </cell>
          <cell r="AI139">
            <v>78.598815625</v>
          </cell>
          <cell r="AJ139">
            <v>17.466403472222222</v>
          </cell>
          <cell r="AK139">
            <v>15.195771020833334</v>
          </cell>
          <cell r="AL139">
            <v>111.26099011805556</v>
          </cell>
          <cell r="AM139">
            <v>984.58116372916675</v>
          </cell>
        </row>
        <row r="140">
          <cell r="A140">
            <v>5</v>
          </cell>
          <cell r="B140" t="str">
            <v>Bendezu Gregorio Rodrigo</v>
          </cell>
          <cell r="C140" t="str">
            <v>PERFORISTA</v>
          </cell>
          <cell r="D140">
            <v>28</v>
          </cell>
          <cell r="G140">
            <v>37199</v>
          </cell>
          <cell r="I140" t="str">
            <v>INTEGRA</v>
          </cell>
          <cell r="L140">
            <v>26</v>
          </cell>
          <cell r="M140" t="str">
            <v>12</v>
          </cell>
          <cell r="N140">
            <v>4</v>
          </cell>
          <cell r="O140" t="str">
            <v>0</v>
          </cell>
          <cell r="P140">
            <v>1</v>
          </cell>
          <cell r="S140">
            <v>728</v>
          </cell>
          <cell r="T140">
            <v>52.5</v>
          </cell>
          <cell r="U140">
            <v>112</v>
          </cell>
          <cell r="V140">
            <v>0</v>
          </cell>
          <cell r="W140">
            <v>28</v>
          </cell>
          <cell r="X140">
            <v>0</v>
          </cell>
          <cell r="Z140">
            <v>0</v>
          </cell>
          <cell r="AA140">
            <v>920.5</v>
          </cell>
          <cell r="AC140">
            <v>73.64</v>
          </cell>
          <cell r="AD140">
            <v>21.63175</v>
          </cell>
          <cell r="AE140">
            <v>12.426750000000002</v>
          </cell>
          <cell r="AG140">
            <v>107.6985</v>
          </cell>
          <cell r="AH140">
            <v>812.80150000000003</v>
          </cell>
          <cell r="AI140">
            <v>82.844999999999999</v>
          </cell>
          <cell r="AJ140">
            <v>18.41</v>
          </cell>
          <cell r="AK140">
            <v>16.0167</v>
          </cell>
          <cell r="AL140">
            <v>117.2717</v>
          </cell>
          <cell r="AM140">
            <v>1037.7717</v>
          </cell>
        </row>
        <row r="141">
          <cell r="A141">
            <v>6</v>
          </cell>
          <cell r="B141" t="str">
            <v>Callata Venegas Emilio</v>
          </cell>
          <cell r="C141" t="str">
            <v>PERFORISTA</v>
          </cell>
          <cell r="D141">
            <v>28</v>
          </cell>
          <cell r="G141">
            <v>37280</v>
          </cell>
          <cell r="I141" t="str">
            <v>INTEGRA</v>
          </cell>
          <cell r="L141">
            <v>2</v>
          </cell>
          <cell r="M141">
            <v>0</v>
          </cell>
          <cell r="N141">
            <v>0</v>
          </cell>
          <cell r="O141">
            <v>0</v>
          </cell>
          <cell r="P141">
            <v>1</v>
          </cell>
          <cell r="S141">
            <v>56</v>
          </cell>
          <cell r="T141">
            <v>0</v>
          </cell>
          <cell r="U141">
            <v>0</v>
          </cell>
          <cell r="V141">
            <v>0</v>
          </cell>
          <cell r="W141">
            <v>28</v>
          </cell>
          <cell r="X141">
            <v>0</v>
          </cell>
          <cell r="Z141">
            <v>0</v>
          </cell>
          <cell r="AA141">
            <v>84</v>
          </cell>
          <cell r="AC141">
            <v>6.72</v>
          </cell>
          <cell r="AD141">
            <v>1.974</v>
          </cell>
          <cell r="AE141">
            <v>1.1340000000000001</v>
          </cell>
          <cell r="AG141">
            <v>9.8279999999999994</v>
          </cell>
          <cell r="AH141">
            <v>74.171999999999997</v>
          </cell>
          <cell r="AI141">
            <v>7.56</v>
          </cell>
          <cell r="AJ141">
            <v>1.68</v>
          </cell>
          <cell r="AK141">
            <v>1.4615999999999998</v>
          </cell>
          <cell r="AL141">
            <v>10.701599999999999</v>
          </cell>
          <cell r="AM141">
            <v>94.701599999999999</v>
          </cell>
        </row>
        <row r="142">
          <cell r="A142">
            <v>7</v>
          </cell>
          <cell r="B142" t="str">
            <v>Cardenas Mamani Casildo</v>
          </cell>
          <cell r="C142" t="str">
            <v>PERFORISTA</v>
          </cell>
          <cell r="D142">
            <v>28</v>
          </cell>
          <cell r="G142">
            <v>37001</v>
          </cell>
          <cell r="I142" t="str">
            <v>INTEGRA</v>
          </cell>
          <cell r="L142">
            <v>25</v>
          </cell>
          <cell r="M142" t="str">
            <v>9</v>
          </cell>
          <cell r="N142">
            <v>3</v>
          </cell>
          <cell r="O142">
            <v>0.83333333333333337</v>
          </cell>
          <cell r="P142">
            <v>1</v>
          </cell>
          <cell r="S142">
            <v>700</v>
          </cell>
          <cell r="T142">
            <v>41.301562499999996</v>
          </cell>
          <cell r="U142">
            <v>84</v>
          </cell>
          <cell r="V142">
            <v>3.8888888888888893</v>
          </cell>
          <cell r="W142">
            <v>28</v>
          </cell>
          <cell r="X142">
            <v>0</v>
          </cell>
          <cell r="Z142">
            <v>41</v>
          </cell>
          <cell r="AA142">
            <v>898.19045138888896</v>
          </cell>
          <cell r="AC142">
            <v>71.855236111111125</v>
          </cell>
          <cell r="AD142">
            <v>21.107475607638889</v>
          </cell>
          <cell r="AE142">
            <v>12.125571093750002</v>
          </cell>
          <cell r="AG142">
            <v>105.08828281250001</v>
          </cell>
          <cell r="AH142">
            <v>793.10216857638898</v>
          </cell>
          <cell r="AI142">
            <v>80.837140625000004</v>
          </cell>
          <cell r="AJ142">
            <v>17.963809027777781</v>
          </cell>
          <cell r="AK142">
            <v>15.628513854166666</v>
          </cell>
          <cell r="AL142">
            <v>114.42946350694446</v>
          </cell>
          <cell r="AM142">
            <v>1012.6199148958334</v>
          </cell>
        </row>
        <row r="143">
          <cell r="A143">
            <v>8</v>
          </cell>
          <cell r="B143" t="str">
            <v>Cardenas Mamani Estanislao</v>
          </cell>
          <cell r="C143" t="str">
            <v>PERFORISTA</v>
          </cell>
          <cell r="D143">
            <v>28</v>
          </cell>
          <cell r="G143">
            <v>37004</v>
          </cell>
          <cell r="I143" t="str">
            <v>UNION</v>
          </cell>
          <cell r="L143">
            <v>26</v>
          </cell>
          <cell r="M143" t="str">
            <v>12</v>
          </cell>
          <cell r="N143">
            <v>4</v>
          </cell>
          <cell r="O143" t="str">
            <v>0</v>
          </cell>
          <cell r="P143">
            <v>1</v>
          </cell>
          <cell r="S143">
            <v>728</v>
          </cell>
          <cell r="T143">
            <v>55.068750000000001</v>
          </cell>
          <cell r="U143">
            <v>112</v>
          </cell>
          <cell r="V143">
            <v>0</v>
          </cell>
          <cell r="W143">
            <v>28</v>
          </cell>
          <cell r="X143">
            <v>0</v>
          </cell>
          <cell r="Z143">
            <v>41</v>
          </cell>
          <cell r="AA143">
            <v>964.06875000000002</v>
          </cell>
          <cell r="AC143">
            <v>77.125500000000002</v>
          </cell>
          <cell r="AD143">
            <v>23.041243125000001</v>
          </cell>
          <cell r="AE143">
            <v>12.34008</v>
          </cell>
          <cell r="AG143">
            <v>112.50682312500001</v>
          </cell>
          <cell r="AH143">
            <v>851.56192687500004</v>
          </cell>
          <cell r="AI143">
            <v>86.766187500000001</v>
          </cell>
          <cell r="AJ143">
            <v>19.281375000000001</v>
          </cell>
          <cell r="AK143">
            <v>16.774796249999998</v>
          </cell>
          <cell r="AL143">
            <v>122.82235874999999</v>
          </cell>
          <cell r="AM143">
            <v>1086.8911087500001</v>
          </cell>
        </row>
        <row r="144">
          <cell r="A144">
            <v>9</v>
          </cell>
          <cell r="B144" t="str">
            <v>Cardenas Mamani Tomas</v>
          </cell>
          <cell r="C144" t="str">
            <v>PEON</v>
          </cell>
          <cell r="D144">
            <v>24</v>
          </cell>
          <cell r="G144">
            <v>37109</v>
          </cell>
          <cell r="I144" t="str">
            <v>HORIZONTE</v>
          </cell>
          <cell r="L144">
            <v>25</v>
          </cell>
          <cell r="M144" t="str">
            <v>9</v>
          </cell>
          <cell r="N144">
            <v>3</v>
          </cell>
          <cell r="O144">
            <v>0.83333333333333337</v>
          </cell>
          <cell r="P144">
            <v>1</v>
          </cell>
          <cell r="S144">
            <v>600</v>
          </cell>
          <cell r="T144">
            <v>33.75</v>
          </cell>
          <cell r="U144">
            <v>72</v>
          </cell>
          <cell r="V144">
            <v>3.3333333333333335</v>
          </cell>
          <cell r="W144">
            <v>24</v>
          </cell>
          <cell r="X144">
            <v>0</v>
          </cell>
          <cell r="Z144">
            <v>0</v>
          </cell>
          <cell r="AA144">
            <v>733.08333333333337</v>
          </cell>
          <cell r="AC144">
            <v>58.646666666666668</v>
          </cell>
          <cell r="AD144">
            <v>16.860916666666668</v>
          </cell>
          <cell r="AE144">
            <v>10.5564</v>
          </cell>
          <cell r="AG144">
            <v>86.06398333333334</v>
          </cell>
          <cell r="AH144">
            <v>647.01935000000003</v>
          </cell>
          <cell r="AI144">
            <v>65.977500000000006</v>
          </cell>
          <cell r="AJ144">
            <v>14.661666666666667</v>
          </cell>
          <cell r="AK144">
            <v>12.755649999999999</v>
          </cell>
          <cell r="AL144">
            <v>93.394816666666671</v>
          </cell>
          <cell r="AM144">
            <v>826.47815000000003</v>
          </cell>
        </row>
        <row r="145">
          <cell r="A145">
            <v>10</v>
          </cell>
          <cell r="B145" t="str">
            <v>Cardenas Mamani Zacarias</v>
          </cell>
          <cell r="C145" t="str">
            <v>AYUDANTE</v>
          </cell>
          <cell r="D145">
            <v>26</v>
          </cell>
          <cell r="G145">
            <v>37214</v>
          </cell>
          <cell r="I145" t="str">
            <v>HORIZONTE</v>
          </cell>
          <cell r="L145">
            <v>25</v>
          </cell>
          <cell r="M145" t="str">
            <v>9</v>
          </cell>
          <cell r="N145">
            <v>3</v>
          </cell>
          <cell r="O145">
            <v>0.83333333333333337</v>
          </cell>
          <cell r="P145">
            <v>1</v>
          </cell>
          <cell r="S145">
            <v>650</v>
          </cell>
          <cell r="T145">
            <v>38.489062500000003</v>
          </cell>
          <cell r="U145">
            <v>78</v>
          </cell>
          <cell r="V145">
            <v>3.6111111111111112</v>
          </cell>
          <cell r="W145">
            <v>26</v>
          </cell>
          <cell r="X145">
            <v>0</v>
          </cell>
          <cell r="Y145">
            <v>13.89</v>
          </cell>
          <cell r="Z145">
            <v>41</v>
          </cell>
          <cell r="AA145">
            <v>850.99017361111112</v>
          </cell>
          <cell r="AC145">
            <v>68.079213888888887</v>
          </cell>
          <cell r="AD145">
            <v>19.572773993055556</v>
          </cell>
          <cell r="AE145">
            <v>12.254258500000001</v>
          </cell>
          <cell r="AG145">
            <v>99.906246381944456</v>
          </cell>
          <cell r="AH145">
            <v>751.08392722916665</v>
          </cell>
          <cell r="AI145">
            <v>76.589115624999991</v>
          </cell>
          <cell r="AJ145">
            <v>17.019803472222222</v>
          </cell>
          <cell r="AK145">
            <v>14.807229020833333</v>
          </cell>
          <cell r="AL145">
            <v>108.41614811805555</v>
          </cell>
          <cell r="AM145">
            <v>959.40632172916662</v>
          </cell>
        </row>
        <row r="146">
          <cell r="A146">
            <v>11</v>
          </cell>
          <cell r="B146" t="str">
            <v>Carhuaricra Berrocal Severo</v>
          </cell>
          <cell r="C146" t="str">
            <v>PERFORISTA</v>
          </cell>
          <cell r="D146">
            <v>28</v>
          </cell>
          <cell r="G146">
            <v>37197</v>
          </cell>
          <cell r="I146" t="str">
            <v>UNION</v>
          </cell>
          <cell r="L146">
            <v>26</v>
          </cell>
          <cell r="M146" t="str">
            <v>12</v>
          </cell>
          <cell r="N146">
            <v>4</v>
          </cell>
          <cell r="O146" t="str">
            <v>0</v>
          </cell>
          <cell r="P146">
            <v>1</v>
          </cell>
          <cell r="S146">
            <v>728</v>
          </cell>
          <cell r="T146">
            <v>52.5</v>
          </cell>
          <cell r="U146">
            <v>112</v>
          </cell>
          <cell r="V146">
            <v>0</v>
          </cell>
          <cell r="W146">
            <v>28</v>
          </cell>
          <cell r="X146">
            <v>0</v>
          </cell>
          <cell r="Z146">
            <v>0</v>
          </cell>
          <cell r="AA146">
            <v>920.5</v>
          </cell>
          <cell r="AC146">
            <v>73.64</v>
          </cell>
          <cell r="AD146">
            <v>21.999950000000002</v>
          </cell>
          <cell r="AE146">
            <v>11.782400000000001</v>
          </cell>
          <cell r="AG146">
            <v>107.42234999999999</v>
          </cell>
          <cell r="AH146">
            <v>813.07764999999995</v>
          </cell>
          <cell r="AI146">
            <v>82.844999999999999</v>
          </cell>
          <cell r="AJ146">
            <v>18.41</v>
          </cell>
          <cell r="AK146">
            <v>16.0167</v>
          </cell>
          <cell r="AL146">
            <v>117.2717</v>
          </cell>
          <cell r="AM146">
            <v>1037.7717</v>
          </cell>
        </row>
        <row r="147">
          <cell r="A147">
            <v>12</v>
          </cell>
          <cell r="B147" t="str">
            <v>Carrizales Quea Primitivo</v>
          </cell>
          <cell r="C147" t="str">
            <v>BODEG-MEC.</v>
          </cell>
          <cell r="D147">
            <v>28</v>
          </cell>
          <cell r="G147">
            <v>36787</v>
          </cell>
          <cell r="I147" t="str">
            <v>INTEGRA</v>
          </cell>
          <cell r="J147">
            <v>0</v>
          </cell>
          <cell r="L147">
            <v>26</v>
          </cell>
          <cell r="M147" t="str">
            <v>12</v>
          </cell>
          <cell r="N147">
            <v>4</v>
          </cell>
          <cell r="O147" t="str">
            <v>0</v>
          </cell>
          <cell r="P147">
            <v>1</v>
          </cell>
          <cell r="S147">
            <v>728</v>
          </cell>
          <cell r="T147">
            <v>55.068750000000001</v>
          </cell>
          <cell r="U147">
            <v>112</v>
          </cell>
          <cell r="V147">
            <v>0</v>
          </cell>
          <cell r="W147">
            <v>28</v>
          </cell>
          <cell r="X147">
            <v>0</v>
          </cell>
          <cell r="Z147">
            <v>41</v>
          </cell>
          <cell r="AA147">
            <v>964.06875000000002</v>
          </cell>
          <cell r="AC147">
            <v>77.125500000000002</v>
          </cell>
          <cell r="AD147">
            <v>22.655615624999999</v>
          </cell>
          <cell r="AE147">
            <v>13.014928125000003</v>
          </cell>
          <cell r="AG147">
            <v>112.79604375</v>
          </cell>
          <cell r="AH147">
            <v>851.27270625000006</v>
          </cell>
          <cell r="AI147">
            <v>86.766187500000001</v>
          </cell>
          <cell r="AJ147">
            <v>19.281375000000001</v>
          </cell>
          <cell r="AK147">
            <v>16.774796249999998</v>
          </cell>
          <cell r="AL147">
            <v>122.82235874999999</v>
          </cell>
          <cell r="AM147">
            <v>1086.8911087500001</v>
          </cell>
        </row>
        <row r="148">
          <cell r="A148">
            <v>13</v>
          </cell>
          <cell r="B148" t="str">
            <v>Caso Chipana Carlos</v>
          </cell>
          <cell r="C148" t="str">
            <v>AYUDANTE</v>
          </cell>
          <cell r="D148">
            <v>26</v>
          </cell>
          <cell r="G148">
            <v>37144</v>
          </cell>
          <cell r="I148" t="str">
            <v>PROFUTURO</v>
          </cell>
          <cell r="L148">
            <v>26</v>
          </cell>
          <cell r="M148" t="str">
            <v>12</v>
          </cell>
          <cell r="N148">
            <v>4</v>
          </cell>
          <cell r="O148" t="str">
            <v>0</v>
          </cell>
          <cell r="P148">
            <v>1</v>
          </cell>
          <cell r="S148">
            <v>676</v>
          </cell>
          <cell r="T148">
            <v>48.75</v>
          </cell>
          <cell r="U148">
            <v>104</v>
          </cell>
          <cell r="V148">
            <v>0</v>
          </cell>
          <cell r="W148">
            <v>26</v>
          </cell>
          <cell r="X148">
            <v>0</v>
          </cell>
          <cell r="Z148">
            <v>41</v>
          </cell>
          <cell r="AA148">
            <v>895.75</v>
          </cell>
          <cell r="AC148">
            <v>71.66</v>
          </cell>
          <cell r="AD148">
            <v>22.393750000000001</v>
          </cell>
          <cell r="AE148">
            <v>11.64475</v>
          </cell>
          <cell r="AG148">
            <v>105.6985</v>
          </cell>
          <cell r="AH148">
            <v>790.05150000000003</v>
          </cell>
          <cell r="AI148">
            <v>80.617499999999993</v>
          </cell>
          <cell r="AJ148">
            <v>17.914999999999999</v>
          </cell>
          <cell r="AK148">
            <v>15.586049999999998</v>
          </cell>
          <cell r="AL148">
            <v>114.11855</v>
          </cell>
          <cell r="AM148">
            <v>1009.86855</v>
          </cell>
        </row>
        <row r="149">
          <cell r="A149">
            <v>14</v>
          </cell>
          <cell r="B149" t="str">
            <v>Ccari Ccari Jesus</v>
          </cell>
          <cell r="C149" t="str">
            <v>AYUDANTE</v>
          </cell>
          <cell r="D149">
            <v>26</v>
          </cell>
          <cell r="G149">
            <v>37269</v>
          </cell>
          <cell r="I149" t="str">
            <v>UNION</v>
          </cell>
          <cell r="L149">
            <v>15</v>
          </cell>
          <cell r="M149">
            <v>0</v>
          </cell>
          <cell r="N149">
            <v>1</v>
          </cell>
          <cell r="O149">
            <v>0.83333333333333337</v>
          </cell>
          <cell r="P149">
            <v>0</v>
          </cell>
          <cell r="S149">
            <v>390</v>
          </cell>
          <cell r="T149">
            <v>0</v>
          </cell>
          <cell r="U149">
            <v>26</v>
          </cell>
          <cell r="V149">
            <v>3.6111111111111112</v>
          </cell>
          <cell r="W149">
            <v>0</v>
          </cell>
          <cell r="X149">
            <v>0</v>
          </cell>
          <cell r="Z149">
            <v>0</v>
          </cell>
          <cell r="AA149">
            <v>419.61111111111109</v>
          </cell>
          <cell r="AC149">
            <v>33.568888888888885</v>
          </cell>
          <cell r="AD149">
            <v>10.028705555555556</v>
          </cell>
          <cell r="AE149">
            <v>5.3710222222222219</v>
          </cell>
          <cell r="AG149">
            <v>48.968616666666662</v>
          </cell>
          <cell r="AH149">
            <v>370.64249444444442</v>
          </cell>
          <cell r="AI149">
            <v>37.764999999999993</v>
          </cell>
          <cell r="AJ149">
            <v>8.3922222222222214</v>
          </cell>
          <cell r="AK149">
            <v>7.3012333333333324</v>
          </cell>
          <cell r="AL149">
            <v>53.458455555555545</v>
          </cell>
          <cell r="AM149">
            <v>473.06956666666662</v>
          </cell>
        </row>
        <row r="150">
          <cell r="A150">
            <v>15</v>
          </cell>
          <cell r="B150" t="str">
            <v>Ccari Quispe Ceferino</v>
          </cell>
          <cell r="C150" t="str">
            <v>PERFORISTA</v>
          </cell>
          <cell r="D150">
            <v>28</v>
          </cell>
          <cell r="G150">
            <v>37126</v>
          </cell>
          <cell r="I150" t="str">
            <v>HORIZONTE</v>
          </cell>
          <cell r="L150">
            <v>25</v>
          </cell>
          <cell r="M150" t="str">
            <v>9</v>
          </cell>
          <cell r="N150">
            <v>3</v>
          </cell>
          <cell r="O150">
            <v>0.83333333333333337</v>
          </cell>
          <cell r="P150">
            <v>1</v>
          </cell>
          <cell r="S150">
            <v>700</v>
          </cell>
          <cell r="T150">
            <v>41.301562499999996</v>
          </cell>
          <cell r="U150">
            <v>84</v>
          </cell>
          <cell r="V150">
            <v>3.8888888888888893</v>
          </cell>
          <cell r="W150">
            <v>28</v>
          </cell>
          <cell r="X150">
            <v>0</v>
          </cell>
          <cell r="Z150">
            <v>41</v>
          </cell>
          <cell r="AA150">
            <v>898.19045138888896</v>
          </cell>
          <cell r="AC150">
            <v>71.855236111111125</v>
          </cell>
          <cell r="AD150">
            <v>21.466751788194447</v>
          </cell>
          <cell r="AE150">
            <v>11.496837777777779</v>
          </cell>
          <cell r="AG150">
            <v>104.81882567708335</v>
          </cell>
          <cell r="AH150">
            <v>793.37162571180556</v>
          </cell>
          <cell r="AI150">
            <v>80.837140625000004</v>
          </cell>
          <cell r="AJ150">
            <v>17.963809027777781</v>
          </cell>
          <cell r="AK150">
            <v>15.628513854166666</v>
          </cell>
          <cell r="AL150">
            <v>114.42946350694446</v>
          </cell>
          <cell r="AM150">
            <v>1012.6199148958334</v>
          </cell>
        </row>
        <row r="151">
          <cell r="A151">
            <v>16</v>
          </cell>
          <cell r="B151" t="str">
            <v>Coaquira Quispe Palermo</v>
          </cell>
          <cell r="C151" t="str">
            <v>ENMADERADOR</v>
          </cell>
          <cell r="D151">
            <v>28</v>
          </cell>
          <cell r="G151">
            <v>36795</v>
          </cell>
          <cell r="I151" t="str">
            <v>INTEGRA</v>
          </cell>
          <cell r="J151">
            <v>0</v>
          </cell>
          <cell r="L151">
            <v>26</v>
          </cell>
          <cell r="M151" t="str">
            <v>12</v>
          </cell>
          <cell r="N151">
            <v>4</v>
          </cell>
          <cell r="O151" t="str">
            <v>0</v>
          </cell>
          <cell r="P151">
            <v>1</v>
          </cell>
          <cell r="S151">
            <v>728</v>
          </cell>
          <cell r="T151">
            <v>52.5</v>
          </cell>
          <cell r="U151">
            <v>112</v>
          </cell>
          <cell r="V151">
            <v>0</v>
          </cell>
          <cell r="W151">
            <v>28</v>
          </cell>
          <cell r="X151">
            <v>0</v>
          </cell>
          <cell r="Z151">
            <v>0</v>
          </cell>
          <cell r="AA151">
            <v>920.5</v>
          </cell>
          <cell r="AC151">
            <v>73.64</v>
          </cell>
          <cell r="AD151">
            <v>21.63175</v>
          </cell>
          <cell r="AE151">
            <v>12.426750000000002</v>
          </cell>
          <cell r="AG151">
            <v>107.6985</v>
          </cell>
          <cell r="AH151">
            <v>812.80150000000003</v>
          </cell>
          <cell r="AI151">
            <v>82.844999999999999</v>
          </cell>
          <cell r="AJ151">
            <v>18.41</v>
          </cell>
          <cell r="AK151">
            <v>16.0167</v>
          </cell>
          <cell r="AL151">
            <v>117.2717</v>
          </cell>
          <cell r="AM151">
            <v>1037.7717</v>
          </cell>
        </row>
        <row r="152">
          <cell r="A152">
            <v>17</v>
          </cell>
          <cell r="B152" t="str">
            <v>Coaquira Quispe Tito</v>
          </cell>
          <cell r="C152" t="str">
            <v>AYUDANTE</v>
          </cell>
          <cell r="D152">
            <v>26</v>
          </cell>
          <cell r="G152">
            <v>37065</v>
          </cell>
          <cell r="I152" t="str">
            <v>UNION</v>
          </cell>
          <cell r="L152">
            <v>26</v>
          </cell>
          <cell r="M152" t="str">
            <v>12</v>
          </cell>
          <cell r="N152">
            <v>4</v>
          </cell>
          <cell r="O152" t="str">
            <v>0</v>
          </cell>
          <cell r="P152">
            <v>1</v>
          </cell>
          <cell r="S152">
            <v>676</v>
          </cell>
          <cell r="T152">
            <v>48.75</v>
          </cell>
          <cell r="U152">
            <v>104</v>
          </cell>
          <cell r="V152">
            <v>0</v>
          </cell>
          <cell r="W152">
            <v>26</v>
          </cell>
          <cell r="X152">
            <v>0</v>
          </cell>
          <cell r="Z152">
            <v>0</v>
          </cell>
          <cell r="AA152">
            <v>854.75</v>
          </cell>
          <cell r="AC152">
            <v>68.38</v>
          </cell>
          <cell r="AD152">
            <v>20.428525</v>
          </cell>
          <cell r="AE152">
            <v>10.940800000000001</v>
          </cell>
          <cell r="AG152">
            <v>99.749324999999999</v>
          </cell>
          <cell r="AH152">
            <v>755.000675</v>
          </cell>
          <cell r="AI152">
            <v>76.927499999999995</v>
          </cell>
          <cell r="AJ152">
            <v>17.094999999999999</v>
          </cell>
          <cell r="AK152">
            <v>14.872649999999998</v>
          </cell>
          <cell r="AL152">
            <v>108.89514999999999</v>
          </cell>
          <cell r="AM152">
            <v>963.64514999999994</v>
          </cell>
        </row>
        <row r="153">
          <cell r="A153">
            <v>18</v>
          </cell>
          <cell r="B153" t="str">
            <v>Figueroa Calla Valerio</v>
          </cell>
          <cell r="C153" t="str">
            <v>PERFORISTA</v>
          </cell>
          <cell r="D153">
            <v>28</v>
          </cell>
          <cell r="G153">
            <v>37168</v>
          </cell>
          <cell r="I153" t="str">
            <v>INTEGRA</v>
          </cell>
          <cell r="L153">
            <v>26</v>
          </cell>
          <cell r="M153" t="str">
            <v>12</v>
          </cell>
          <cell r="N153">
            <v>4</v>
          </cell>
          <cell r="O153" t="str">
            <v>0</v>
          </cell>
          <cell r="P153">
            <v>1</v>
          </cell>
          <cell r="S153">
            <v>728</v>
          </cell>
          <cell r="T153">
            <v>55.068750000000001</v>
          </cell>
          <cell r="U153">
            <v>112</v>
          </cell>
          <cell r="V153">
            <v>0</v>
          </cell>
          <cell r="W153">
            <v>28</v>
          </cell>
          <cell r="X153">
            <v>0</v>
          </cell>
          <cell r="Z153">
            <v>41</v>
          </cell>
          <cell r="AA153">
            <v>964.06875000000002</v>
          </cell>
          <cell r="AC153">
            <v>77.125500000000002</v>
          </cell>
          <cell r="AD153">
            <v>22.655615624999999</v>
          </cell>
          <cell r="AE153">
            <v>13.014928125000003</v>
          </cell>
          <cell r="AG153">
            <v>112.79604375</v>
          </cell>
          <cell r="AH153">
            <v>851.27270625000006</v>
          </cell>
          <cell r="AI153">
            <v>86.766187500000001</v>
          </cell>
          <cell r="AJ153">
            <v>19.281375000000001</v>
          </cell>
          <cell r="AK153">
            <v>16.774796249999998</v>
          </cell>
          <cell r="AL153">
            <v>122.82235874999999</v>
          </cell>
          <cell r="AM153">
            <v>1086.8911087500001</v>
          </cell>
        </row>
        <row r="154">
          <cell r="A154">
            <v>19</v>
          </cell>
          <cell r="B154" t="str">
            <v>Flores Mestas Eduardo</v>
          </cell>
          <cell r="C154" t="str">
            <v>AYUDANTE</v>
          </cell>
          <cell r="D154">
            <v>26</v>
          </cell>
          <cell r="G154">
            <v>36963</v>
          </cell>
          <cell r="I154" t="str">
            <v>INTEGRA</v>
          </cell>
          <cell r="L154">
            <v>26</v>
          </cell>
          <cell r="M154" t="str">
            <v>12</v>
          </cell>
          <cell r="N154">
            <v>4</v>
          </cell>
          <cell r="O154" t="str">
            <v>0</v>
          </cell>
          <cell r="P154">
            <v>1</v>
          </cell>
          <cell r="S154">
            <v>676</v>
          </cell>
          <cell r="T154">
            <v>51.318750000000001</v>
          </cell>
          <cell r="U154">
            <v>104</v>
          </cell>
          <cell r="V154">
            <v>0</v>
          </cell>
          <cell r="W154">
            <v>26</v>
          </cell>
          <cell r="X154">
            <v>0</v>
          </cell>
          <cell r="Z154">
            <v>41</v>
          </cell>
          <cell r="AA154">
            <v>898.31875000000002</v>
          </cell>
          <cell r="AC154">
            <v>71.865499999999997</v>
          </cell>
          <cell r="AD154">
            <v>21.110490625000001</v>
          </cell>
          <cell r="AE154">
            <v>12.127303125000001</v>
          </cell>
          <cell r="AG154">
            <v>105.10329374999999</v>
          </cell>
          <cell r="AH154">
            <v>793.21545624999999</v>
          </cell>
          <cell r="AI154">
            <v>80.848687499999997</v>
          </cell>
          <cell r="AJ154">
            <v>17.966374999999999</v>
          </cell>
          <cell r="AK154">
            <v>15.63074625</v>
          </cell>
          <cell r="AL154">
            <v>114.44580875</v>
          </cell>
          <cell r="AM154">
            <v>1012.76455875</v>
          </cell>
        </row>
        <row r="155">
          <cell r="A155">
            <v>20</v>
          </cell>
          <cell r="B155" t="str">
            <v>Hernandes Morales Juan</v>
          </cell>
          <cell r="C155" t="str">
            <v>PEON</v>
          </cell>
          <cell r="D155">
            <v>24</v>
          </cell>
          <cell r="G155">
            <v>35712</v>
          </cell>
          <cell r="I155" t="str">
            <v>ONP</v>
          </cell>
          <cell r="L155">
            <v>26</v>
          </cell>
          <cell r="M155" t="str">
            <v>12</v>
          </cell>
          <cell r="N155">
            <v>4</v>
          </cell>
          <cell r="O155" t="str">
            <v>0</v>
          </cell>
          <cell r="P155">
            <v>1</v>
          </cell>
          <cell r="S155">
            <v>624</v>
          </cell>
          <cell r="T155">
            <v>47.568750000000001</v>
          </cell>
          <cell r="U155">
            <v>96</v>
          </cell>
          <cell r="V155">
            <v>0</v>
          </cell>
          <cell r="W155">
            <v>24</v>
          </cell>
          <cell r="X155">
            <v>0</v>
          </cell>
          <cell r="Z155">
            <v>41</v>
          </cell>
          <cell r="AA155">
            <v>832.56875000000002</v>
          </cell>
          <cell r="AB155">
            <v>108.23393750000001</v>
          </cell>
          <cell r="AG155">
            <v>108.23393750000001</v>
          </cell>
          <cell r="AH155">
            <v>724.3348125</v>
          </cell>
          <cell r="AI155">
            <v>74.931187499999993</v>
          </cell>
          <cell r="AJ155">
            <v>16.651375000000002</v>
          </cell>
          <cell r="AK155">
            <v>14.48669625</v>
          </cell>
          <cell r="AL155">
            <v>106.06925874999999</v>
          </cell>
          <cell r="AM155">
            <v>938.63800875000004</v>
          </cell>
        </row>
        <row r="156">
          <cell r="A156">
            <v>21</v>
          </cell>
          <cell r="B156" t="str">
            <v>Huaraca Chipana Alfredo</v>
          </cell>
          <cell r="C156" t="str">
            <v>AYUDANTE</v>
          </cell>
          <cell r="D156">
            <v>26</v>
          </cell>
          <cell r="G156">
            <v>37269</v>
          </cell>
          <cell r="I156" t="str">
            <v>UNION</v>
          </cell>
          <cell r="L156">
            <v>14</v>
          </cell>
          <cell r="M156">
            <v>0</v>
          </cell>
          <cell r="N156">
            <v>1</v>
          </cell>
          <cell r="O156">
            <v>0.66666666666666663</v>
          </cell>
          <cell r="P156">
            <v>0</v>
          </cell>
          <cell r="S156">
            <v>364</v>
          </cell>
          <cell r="T156">
            <v>0</v>
          </cell>
          <cell r="U156">
            <v>26</v>
          </cell>
          <cell r="V156">
            <v>2.8888888888888884</v>
          </cell>
          <cell r="W156">
            <v>0</v>
          </cell>
          <cell r="X156">
            <v>0</v>
          </cell>
          <cell r="Z156">
            <v>0</v>
          </cell>
          <cell r="AA156">
            <v>392.88888888888891</v>
          </cell>
          <cell r="AC156">
            <v>31.431111111111115</v>
          </cell>
          <cell r="AD156">
            <v>9.3900444444444453</v>
          </cell>
          <cell r="AE156">
            <v>5.0289777777777784</v>
          </cell>
          <cell r="AG156">
            <v>45.850133333333339</v>
          </cell>
          <cell r="AH156">
            <v>347.03875555555555</v>
          </cell>
          <cell r="AI156">
            <v>35.36</v>
          </cell>
          <cell r="AJ156">
            <v>7.8577777777777786</v>
          </cell>
          <cell r="AK156">
            <v>6.8362666666666669</v>
          </cell>
          <cell r="AL156">
            <v>50.054044444444443</v>
          </cell>
          <cell r="AM156">
            <v>442.94293333333337</v>
          </cell>
        </row>
        <row r="157">
          <cell r="A157">
            <v>22</v>
          </cell>
          <cell r="B157" t="str">
            <v>Huayhuani Riberos Julian</v>
          </cell>
          <cell r="C157" t="str">
            <v>AYUDANTE</v>
          </cell>
          <cell r="D157">
            <v>26</v>
          </cell>
          <cell r="G157">
            <v>37269</v>
          </cell>
          <cell r="I157" t="str">
            <v>UNION</v>
          </cell>
          <cell r="L157">
            <v>16</v>
          </cell>
          <cell r="M157">
            <v>0</v>
          </cell>
          <cell r="N157">
            <v>2</v>
          </cell>
          <cell r="O157">
            <v>0</v>
          </cell>
          <cell r="P157">
            <v>0</v>
          </cell>
          <cell r="S157">
            <v>416</v>
          </cell>
          <cell r="T157">
            <v>0</v>
          </cell>
          <cell r="U157">
            <v>52</v>
          </cell>
          <cell r="V157">
            <v>0</v>
          </cell>
          <cell r="W157">
            <v>0</v>
          </cell>
          <cell r="X157">
            <v>0</v>
          </cell>
          <cell r="Z157">
            <v>0</v>
          </cell>
          <cell r="AA157">
            <v>468</v>
          </cell>
          <cell r="AC157">
            <v>37.44</v>
          </cell>
          <cell r="AD157">
            <v>11.1852</v>
          </cell>
          <cell r="AE157">
            <v>5.9904000000000002</v>
          </cell>
          <cell r="AG157">
            <v>54.615600000000001</v>
          </cell>
          <cell r="AH157">
            <v>413.38440000000003</v>
          </cell>
          <cell r="AI157">
            <v>42.12</v>
          </cell>
          <cell r="AJ157">
            <v>9.36</v>
          </cell>
          <cell r="AK157">
            <v>8.1432000000000002</v>
          </cell>
          <cell r="AL157">
            <v>59.623199999999997</v>
          </cell>
          <cell r="AM157">
            <v>527.6232</v>
          </cell>
        </row>
        <row r="158">
          <cell r="A158">
            <v>23</v>
          </cell>
          <cell r="B158" t="str">
            <v>Ito ccalla Jose</v>
          </cell>
          <cell r="C158" t="str">
            <v>AYUDANTE</v>
          </cell>
          <cell r="D158">
            <v>26</v>
          </cell>
          <cell r="G158">
            <v>37269</v>
          </cell>
          <cell r="I158" t="str">
            <v>UNION</v>
          </cell>
          <cell r="L158">
            <v>14</v>
          </cell>
          <cell r="M158">
            <v>0</v>
          </cell>
          <cell r="N158">
            <v>1</v>
          </cell>
          <cell r="O158">
            <v>0.66666666666666663</v>
          </cell>
          <cell r="P158">
            <v>0</v>
          </cell>
          <cell r="S158">
            <v>364</v>
          </cell>
          <cell r="T158">
            <v>0</v>
          </cell>
          <cell r="U158">
            <v>26</v>
          </cell>
          <cell r="V158">
            <v>2.8888888888888884</v>
          </cell>
          <cell r="W158">
            <v>0</v>
          </cell>
          <cell r="X158">
            <v>0</v>
          </cell>
          <cell r="Z158">
            <v>0</v>
          </cell>
          <cell r="AA158">
            <v>392.88888888888891</v>
          </cell>
          <cell r="AC158">
            <v>31.431111111111115</v>
          </cell>
          <cell r="AD158">
            <v>9.3900444444444453</v>
          </cell>
          <cell r="AE158">
            <v>5.0289777777777784</v>
          </cell>
          <cell r="AG158">
            <v>45.850133333333339</v>
          </cell>
          <cell r="AH158">
            <v>347.03875555555555</v>
          </cell>
          <cell r="AI158">
            <v>35.36</v>
          </cell>
          <cell r="AJ158">
            <v>7.8577777777777786</v>
          </cell>
          <cell r="AK158">
            <v>6.8362666666666669</v>
          </cell>
          <cell r="AL158">
            <v>50.054044444444443</v>
          </cell>
          <cell r="AM158">
            <v>442.94293333333337</v>
          </cell>
        </row>
        <row r="159">
          <cell r="A159">
            <v>24</v>
          </cell>
          <cell r="B159" t="str">
            <v>Jurado Huamani Alejandro</v>
          </cell>
          <cell r="C159" t="str">
            <v>AYUDANTE</v>
          </cell>
          <cell r="D159">
            <v>26</v>
          </cell>
          <cell r="G159">
            <v>36997</v>
          </cell>
          <cell r="I159" t="str">
            <v>UNION</v>
          </cell>
          <cell r="L159">
            <v>26</v>
          </cell>
          <cell r="M159" t="str">
            <v>12</v>
          </cell>
          <cell r="N159">
            <v>4</v>
          </cell>
          <cell r="O159" t="str">
            <v>0</v>
          </cell>
          <cell r="P159">
            <v>1</v>
          </cell>
          <cell r="S159">
            <v>676</v>
          </cell>
          <cell r="T159">
            <v>48.75</v>
          </cell>
          <cell r="U159">
            <v>104</v>
          </cell>
          <cell r="V159">
            <v>0</v>
          </cell>
          <cell r="W159">
            <v>26</v>
          </cell>
          <cell r="X159">
            <v>0</v>
          </cell>
          <cell r="Z159">
            <v>0</v>
          </cell>
          <cell r="AA159">
            <v>854.75</v>
          </cell>
          <cell r="AC159">
            <v>68.38</v>
          </cell>
          <cell r="AD159">
            <v>20.428525</v>
          </cell>
          <cell r="AE159">
            <v>10.940800000000001</v>
          </cell>
          <cell r="AG159">
            <v>99.749324999999999</v>
          </cell>
          <cell r="AH159">
            <v>755.000675</v>
          </cell>
          <cell r="AI159">
            <v>76.927499999999995</v>
          </cell>
          <cell r="AJ159">
            <v>17.094999999999999</v>
          </cell>
          <cell r="AK159">
            <v>14.872649999999998</v>
          </cell>
          <cell r="AL159">
            <v>108.89514999999999</v>
          </cell>
          <cell r="AM159">
            <v>963.64514999999994</v>
          </cell>
        </row>
        <row r="160">
          <cell r="A160">
            <v>25</v>
          </cell>
          <cell r="B160" t="str">
            <v>Larota Puma Manuel</v>
          </cell>
          <cell r="C160" t="str">
            <v>CAPATAZ</v>
          </cell>
          <cell r="D160">
            <v>30</v>
          </cell>
          <cell r="G160">
            <v>36951</v>
          </cell>
          <cell r="I160" t="str">
            <v>PROFUTURO</v>
          </cell>
          <cell r="J160">
            <v>0</v>
          </cell>
          <cell r="L160">
            <v>24</v>
          </cell>
          <cell r="M160">
            <v>40</v>
          </cell>
          <cell r="N160">
            <v>3</v>
          </cell>
          <cell r="O160">
            <v>0.66666666666666663</v>
          </cell>
          <cell r="P160">
            <v>1</v>
          </cell>
          <cell r="S160">
            <v>720</v>
          </cell>
          <cell r="T160">
            <v>187.5</v>
          </cell>
          <cell r="U160">
            <v>90</v>
          </cell>
          <cell r="V160">
            <v>3.333333333333333</v>
          </cell>
          <cell r="W160">
            <v>30</v>
          </cell>
          <cell r="X160">
            <v>0</v>
          </cell>
          <cell r="Z160">
            <v>0</v>
          </cell>
          <cell r="AA160">
            <v>1030.8333333333335</v>
          </cell>
          <cell r="AC160">
            <v>82.466666666666683</v>
          </cell>
          <cell r="AD160">
            <v>25.770833333333339</v>
          </cell>
          <cell r="AE160">
            <v>13.400833333333336</v>
          </cell>
          <cell r="AG160">
            <v>121.63833333333336</v>
          </cell>
          <cell r="AH160">
            <v>909.19500000000016</v>
          </cell>
          <cell r="AI160">
            <v>92.775000000000006</v>
          </cell>
          <cell r="AJ160">
            <v>20.616666666666671</v>
          </cell>
          <cell r="AK160">
            <v>17.936500000000002</v>
          </cell>
          <cell r="AL160">
            <v>131.32816666666668</v>
          </cell>
          <cell r="AM160">
            <v>1162.1615000000002</v>
          </cell>
        </row>
        <row r="161">
          <cell r="A161">
            <v>26</v>
          </cell>
          <cell r="B161" t="str">
            <v>Leon Quispe Vitaliano</v>
          </cell>
          <cell r="C161" t="str">
            <v>PERFORISTA</v>
          </cell>
          <cell r="D161">
            <v>28</v>
          </cell>
          <cell r="G161">
            <v>36822</v>
          </cell>
          <cell r="I161" t="str">
            <v>UNION</v>
          </cell>
          <cell r="J161">
            <v>0</v>
          </cell>
          <cell r="L161">
            <v>26</v>
          </cell>
          <cell r="M161" t="str">
            <v>12</v>
          </cell>
          <cell r="N161">
            <v>4</v>
          </cell>
          <cell r="O161" t="str">
            <v>0</v>
          </cell>
          <cell r="P161">
            <v>1</v>
          </cell>
          <cell r="S161">
            <v>728</v>
          </cell>
          <cell r="T161">
            <v>55.068750000000001</v>
          </cell>
          <cell r="U161">
            <v>112</v>
          </cell>
          <cell r="V161">
            <v>0</v>
          </cell>
          <cell r="W161">
            <v>28</v>
          </cell>
          <cell r="X161">
            <v>0</v>
          </cell>
          <cell r="Z161">
            <v>41</v>
          </cell>
          <cell r="AA161">
            <v>964.06875000000002</v>
          </cell>
          <cell r="AC161">
            <v>77.125500000000002</v>
          </cell>
          <cell r="AD161">
            <v>23.041243125000001</v>
          </cell>
          <cell r="AE161">
            <v>12.34008</v>
          </cell>
          <cell r="AG161">
            <v>112.50682312500001</v>
          </cell>
          <cell r="AH161">
            <v>851.56192687500004</v>
          </cell>
          <cell r="AI161">
            <v>86.766187500000001</v>
          </cell>
          <cell r="AJ161">
            <v>19.281375000000001</v>
          </cell>
          <cell r="AK161">
            <v>16.774796249999998</v>
          </cell>
          <cell r="AL161">
            <v>122.82235874999999</v>
          </cell>
          <cell r="AM161">
            <v>1086.8911087500001</v>
          </cell>
        </row>
        <row r="162">
          <cell r="A162">
            <v>27</v>
          </cell>
          <cell r="B162" t="str">
            <v>Llancari Torres Victor</v>
          </cell>
          <cell r="C162" t="str">
            <v>CAPATAZ</v>
          </cell>
          <cell r="D162">
            <v>30</v>
          </cell>
          <cell r="G162">
            <v>36317</v>
          </cell>
          <cell r="I162" t="str">
            <v>UNION</v>
          </cell>
          <cell r="J162">
            <v>0</v>
          </cell>
          <cell r="L162">
            <v>26</v>
          </cell>
          <cell r="M162">
            <v>40</v>
          </cell>
          <cell r="N162">
            <v>4</v>
          </cell>
          <cell r="O162" t="str">
            <v>0</v>
          </cell>
          <cell r="P162">
            <v>1</v>
          </cell>
          <cell r="S162">
            <v>780</v>
          </cell>
          <cell r="T162">
            <v>196.0625</v>
          </cell>
          <cell r="U162">
            <v>120</v>
          </cell>
          <cell r="V162">
            <v>0</v>
          </cell>
          <cell r="W162">
            <v>30</v>
          </cell>
          <cell r="X162">
            <v>0</v>
          </cell>
          <cell r="Z162">
            <v>41</v>
          </cell>
          <cell r="AA162">
            <v>1167.0625</v>
          </cell>
          <cell r="AC162">
            <v>93.364999999999995</v>
          </cell>
          <cell r="AD162">
            <v>27.892793750000003</v>
          </cell>
          <cell r="AE162">
            <v>14.938400000000001</v>
          </cell>
          <cell r="AG162">
            <v>136.19619374999999</v>
          </cell>
          <cell r="AH162">
            <v>1030.86630625</v>
          </cell>
          <cell r="AI162">
            <v>105.035625</v>
          </cell>
          <cell r="AJ162">
            <v>23.341249999999999</v>
          </cell>
          <cell r="AK162">
            <v>20.306887499999998</v>
          </cell>
          <cell r="AL162">
            <v>148.68376249999997</v>
          </cell>
          <cell r="AM162">
            <v>1315.7462625000001</v>
          </cell>
        </row>
        <row r="163">
          <cell r="A163">
            <v>28</v>
          </cell>
          <cell r="B163" t="str">
            <v>Mamani Choque Victor</v>
          </cell>
          <cell r="C163" t="str">
            <v>AYT.ENMADERADOR</v>
          </cell>
          <cell r="D163">
            <v>26</v>
          </cell>
          <cell r="G163">
            <v>36535</v>
          </cell>
          <cell r="I163" t="str">
            <v>UNION</v>
          </cell>
          <cell r="L163">
            <v>26</v>
          </cell>
          <cell r="M163" t="str">
            <v>12</v>
          </cell>
          <cell r="N163">
            <v>4</v>
          </cell>
          <cell r="O163" t="str">
            <v>0</v>
          </cell>
          <cell r="P163">
            <v>1</v>
          </cell>
          <cell r="S163">
            <v>676</v>
          </cell>
          <cell r="T163">
            <v>48.75</v>
          </cell>
          <cell r="U163">
            <v>104</v>
          </cell>
          <cell r="V163">
            <v>0</v>
          </cell>
          <cell r="W163">
            <v>26</v>
          </cell>
          <cell r="X163">
            <v>0</v>
          </cell>
          <cell r="Z163">
            <v>0</v>
          </cell>
          <cell r="AA163">
            <v>854.75</v>
          </cell>
          <cell r="AC163">
            <v>68.38</v>
          </cell>
          <cell r="AD163">
            <v>20.428525</v>
          </cell>
          <cell r="AE163">
            <v>10.940800000000001</v>
          </cell>
          <cell r="AG163">
            <v>99.749324999999999</v>
          </cell>
          <cell r="AH163">
            <v>755.000675</v>
          </cell>
          <cell r="AI163">
            <v>76.927499999999995</v>
          </cell>
          <cell r="AJ163">
            <v>17.094999999999999</v>
          </cell>
          <cell r="AK163">
            <v>14.872649999999998</v>
          </cell>
          <cell r="AL163">
            <v>108.89514999999999</v>
          </cell>
          <cell r="AM163">
            <v>963.64514999999994</v>
          </cell>
        </row>
        <row r="164">
          <cell r="A164">
            <v>29</v>
          </cell>
          <cell r="B164" t="str">
            <v>Mamani Gutierres Felix</v>
          </cell>
          <cell r="C164" t="str">
            <v>PERFORISTA</v>
          </cell>
          <cell r="D164">
            <v>28</v>
          </cell>
          <cell r="G164">
            <v>37132</v>
          </cell>
          <cell r="I164" t="str">
            <v>INTEGRA</v>
          </cell>
          <cell r="L164">
            <v>24</v>
          </cell>
          <cell r="M164" t="str">
            <v>6</v>
          </cell>
          <cell r="N164">
            <v>3</v>
          </cell>
          <cell r="O164">
            <v>0.66666666666666663</v>
          </cell>
          <cell r="P164">
            <v>1</v>
          </cell>
          <cell r="S164">
            <v>672</v>
          </cell>
          <cell r="T164">
            <v>27.534375000000001</v>
          </cell>
          <cell r="U164">
            <v>84</v>
          </cell>
          <cell r="V164">
            <v>3.1111111111111112</v>
          </cell>
          <cell r="W164">
            <v>28</v>
          </cell>
          <cell r="X164">
            <v>0</v>
          </cell>
          <cell r="Z164">
            <v>41</v>
          </cell>
          <cell r="AA164">
            <v>855.64548611111104</v>
          </cell>
          <cell r="AC164">
            <v>68.45163888888888</v>
          </cell>
          <cell r="AD164">
            <v>20.107668923611108</v>
          </cell>
          <cell r="AE164">
            <v>11.5512140625</v>
          </cell>
          <cell r="AG164">
            <v>100.11052187499998</v>
          </cell>
          <cell r="AH164">
            <v>755.53496423611102</v>
          </cell>
          <cell r="AI164">
            <v>77.008093749999986</v>
          </cell>
          <cell r="AJ164">
            <v>17.11290972222222</v>
          </cell>
          <cell r="AK164">
            <v>14.888231458333332</v>
          </cell>
          <cell r="AL164">
            <v>109.00923493055555</v>
          </cell>
          <cell r="AM164">
            <v>964.65472104166656</v>
          </cell>
        </row>
        <row r="165">
          <cell r="A165">
            <v>30</v>
          </cell>
          <cell r="B165" t="str">
            <v>Martinez Yauri Misael</v>
          </cell>
          <cell r="C165" t="str">
            <v>AYUDANTE</v>
          </cell>
          <cell r="D165">
            <v>26</v>
          </cell>
          <cell r="G165">
            <v>37104</v>
          </cell>
          <cell r="I165" t="str">
            <v>UNION</v>
          </cell>
          <cell r="L165">
            <v>25</v>
          </cell>
          <cell r="M165" t="str">
            <v>9</v>
          </cell>
          <cell r="N165">
            <v>3</v>
          </cell>
          <cell r="O165">
            <v>0.83333333333333337</v>
          </cell>
          <cell r="P165">
            <v>1</v>
          </cell>
          <cell r="S165">
            <v>650</v>
          </cell>
          <cell r="T165">
            <v>38.489062500000003</v>
          </cell>
          <cell r="U165">
            <v>78</v>
          </cell>
          <cell r="V165">
            <v>3.6111111111111112</v>
          </cell>
          <cell r="W165">
            <v>26</v>
          </cell>
          <cell r="X165">
            <v>0</v>
          </cell>
          <cell r="Z165">
            <v>41</v>
          </cell>
          <cell r="AA165">
            <v>837.10017361111113</v>
          </cell>
          <cell r="AC165">
            <v>66.968013888888891</v>
          </cell>
          <cell r="AD165">
            <v>20.006694149305556</v>
          </cell>
          <cell r="AE165">
            <v>10.714882222222222</v>
          </cell>
          <cell r="AG165">
            <v>97.689590260416679</v>
          </cell>
          <cell r="AH165">
            <v>739.41058335069442</v>
          </cell>
          <cell r="AI165">
            <v>75.339015625000002</v>
          </cell>
          <cell r="AJ165">
            <v>16.742003472222223</v>
          </cell>
          <cell r="AK165">
            <v>14.565543020833333</v>
          </cell>
          <cell r="AL165">
            <v>106.64656211805556</v>
          </cell>
          <cell r="AM165">
            <v>943.74673572916663</v>
          </cell>
        </row>
        <row r="166">
          <cell r="A166">
            <v>31</v>
          </cell>
          <cell r="B166" t="str">
            <v>Medina Sulca Fredy</v>
          </cell>
          <cell r="C166" t="str">
            <v>AYUDANTE</v>
          </cell>
          <cell r="D166">
            <v>26</v>
          </cell>
          <cell r="G166">
            <v>37207</v>
          </cell>
          <cell r="I166" t="str">
            <v>UNION</v>
          </cell>
          <cell r="L166">
            <v>26</v>
          </cell>
          <cell r="M166" t="str">
            <v>12</v>
          </cell>
          <cell r="N166">
            <v>4</v>
          </cell>
          <cell r="O166" t="str">
            <v>0</v>
          </cell>
          <cell r="P166">
            <v>1</v>
          </cell>
          <cell r="S166">
            <v>676</v>
          </cell>
          <cell r="T166">
            <v>48.75</v>
          </cell>
          <cell r="U166">
            <v>104</v>
          </cell>
          <cell r="V166">
            <v>0</v>
          </cell>
          <cell r="W166">
            <v>26</v>
          </cell>
          <cell r="X166">
            <v>0</v>
          </cell>
          <cell r="Z166">
            <v>0</v>
          </cell>
          <cell r="AA166">
            <v>854.75</v>
          </cell>
          <cell r="AC166">
            <v>68.38</v>
          </cell>
          <cell r="AD166">
            <v>20.428525</v>
          </cell>
          <cell r="AE166">
            <v>10.940800000000001</v>
          </cell>
          <cell r="AG166">
            <v>99.749324999999999</v>
          </cell>
          <cell r="AH166">
            <v>755.000675</v>
          </cell>
          <cell r="AI166">
            <v>76.927499999999995</v>
          </cell>
          <cell r="AJ166">
            <v>17.094999999999999</v>
          </cell>
          <cell r="AK166">
            <v>14.872649999999998</v>
          </cell>
          <cell r="AL166">
            <v>108.89514999999999</v>
          </cell>
          <cell r="AM166">
            <v>963.64514999999994</v>
          </cell>
        </row>
        <row r="167">
          <cell r="A167">
            <v>32</v>
          </cell>
          <cell r="B167" t="str">
            <v>Melo Gonzales Alexander</v>
          </cell>
          <cell r="C167" t="str">
            <v>PEON</v>
          </cell>
          <cell r="D167">
            <v>24</v>
          </cell>
          <cell r="G167">
            <v>37127</v>
          </cell>
          <cell r="I167" t="str">
            <v>INTEGRA</v>
          </cell>
          <cell r="L167">
            <v>24</v>
          </cell>
          <cell r="M167" t="str">
            <v>6</v>
          </cell>
          <cell r="N167">
            <v>3</v>
          </cell>
          <cell r="O167">
            <v>0.66666666666666663</v>
          </cell>
          <cell r="P167">
            <v>1</v>
          </cell>
          <cell r="S167">
            <v>576</v>
          </cell>
          <cell r="T167">
            <v>22.5</v>
          </cell>
          <cell r="U167">
            <v>72</v>
          </cell>
          <cell r="V167">
            <v>2.6666666666666665</v>
          </cell>
          <cell r="W167">
            <v>24</v>
          </cell>
          <cell r="X167">
            <v>0</v>
          </cell>
          <cell r="Z167">
            <v>0</v>
          </cell>
          <cell r="AA167">
            <v>697.16666666666663</v>
          </cell>
          <cell r="AC167">
            <v>55.773333333333333</v>
          </cell>
          <cell r="AD167">
            <v>16.383416666666665</v>
          </cell>
          <cell r="AE167">
            <v>9.4117500000000014</v>
          </cell>
          <cell r="AG167">
            <v>81.5685</v>
          </cell>
          <cell r="AH167">
            <v>615.59816666666666</v>
          </cell>
          <cell r="AI167">
            <v>62.744999999999997</v>
          </cell>
          <cell r="AJ167">
            <v>13.943333333333333</v>
          </cell>
          <cell r="AK167">
            <v>12.130699999999999</v>
          </cell>
          <cell r="AL167">
            <v>88.819033333333337</v>
          </cell>
          <cell r="AM167">
            <v>785.98569999999995</v>
          </cell>
        </row>
        <row r="168">
          <cell r="A168">
            <v>33</v>
          </cell>
          <cell r="B168" t="str">
            <v>Neyra Leon Hector</v>
          </cell>
          <cell r="C168" t="str">
            <v>PERFORISTA</v>
          </cell>
          <cell r="D168">
            <v>28</v>
          </cell>
          <cell r="G168">
            <v>36457</v>
          </cell>
          <cell r="I168" t="str">
            <v>UNION</v>
          </cell>
          <cell r="L168">
            <v>26</v>
          </cell>
          <cell r="M168" t="str">
            <v>12</v>
          </cell>
          <cell r="N168">
            <v>4</v>
          </cell>
          <cell r="O168" t="str">
            <v>0</v>
          </cell>
          <cell r="P168">
            <v>1</v>
          </cell>
          <cell r="S168">
            <v>728</v>
          </cell>
          <cell r="T168">
            <v>55.068750000000001</v>
          </cell>
          <cell r="U168">
            <v>112</v>
          </cell>
          <cell r="V168">
            <v>0</v>
          </cell>
          <cell r="W168">
            <v>28</v>
          </cell>
          <cell r="X168">
            <v>0</v>
          </cell>
          <cell r="Z168">
            <v>41</v>
          </cell>
          <cell r="AA168">
            <v>964.06875000000002</v>
          </cell>
          <cell r="AC168">
            <v>77.125500000000002</v>
          </cell>
          <cell r="AD168">
            <v>23.041243125000001</v>
          </cell>
          <cell r="AE168">
            <v>12.34008</v>
          </cell>
          <cell r="AG168">
            <v>112.50682312500001</v>
          </cell>
          <cell r="AH168">
            <v>851.56192687500004</v>
          </cell>
          <cell r="AI168">
            <v>86.766187500000001</v>
          </cell>
          <cell r="AJ168">
            <v>19.281375000000001</v>
          </cell>
          <cell r="AK168">
            <v>16.774796249999998</v>
          </cell>
          <cell r="AL168">
            <v>122.82235874999999</v>
          </cell>
          <cell r="AM168">
            <v>1086.8911087500001</v>
          </cell>
        </row>
        <row r="169">
          <cell r="A169">
            <v>34</v>
          </cell>
          <cell r="B169" t="str">
            <v>Noa QuispeLuza Elmer</v>
          </cell>
          <cell r="C169" t="str">
            <v>PERFORISTA</v>
          </cell>
          <cell r="D169">
            <v>28</v>
          </cell>
          <cell r="G169">
            <v>37144</v>
          </cell>
          <cell r="I169" t="str">
            <v>HORIZONTE</v>
          </cell>
          <cell r="L169">
            <v>3</v>
          </cell>
          <cell r="M169">
            <v>0</v>
          </cell>
          <cell r="N169">
            <v>0</v>
          </cell>
          <cell r="O169">
            <v>0.5</v>
          </cell>
          <cell r="P169">
            <v>0</v>
          </cell>
          <cell r="S169">
            <v>84</v>
          </cell>
          <cell r="T169">
            <v>0</v>
          </cell>
          <cell r="U169">
            <v>0</v>
          </cell>
          <cell r="V169">
            <v>2.3333333333333335</v>
          </cell>
          <cell r="W169">
            <v>0</v>
          </cell>
          <cell r="X169">
            <v>0</v>
          </cell>
          <cell r="Z169">
            <v>41</v>
          </cell>
          <cell r="AA169">
            <v>127.33333333333333</v>
          </cell>
          <cell r="AC169">
            <v>10.186666666666666</v>
          </cell>
          <cell r="AD169">
            <v>2.9286666666666665</v>
          </cell>
          <cell r="AE169">
            <v>1.8335999999999999</v>
          </cell>
          <cell r="AG169">
            <v>14.948933333333333</v>
          </cell>
          <cell r="AH169">
            <v>112.3844</v>
          </cell>
          <cell r="AI169">
            <v>11.459999999999999</v>
          </cell>
          <cell r="AJ169">
            <v>2.5466666666666664</v>
          </cell>
          <cell r="AK169">
            <v>2.2155999999999998</v>
          </cell>
          <cell r="AL169">
            <v>16.222266666666666</v>
          </cell>
          <cell r="AM169">
            <v>143.5556</v>
          </cell>
        </row>
        <row r="170">
          <cell r="A170">
            <v>35</v>
          </cell>
          <cell r="B170" t="str">
            <v>Ñahui Damian Lucio</v>
          </cell>
          <cell r="C170" t="str">
            <v>PEON</v>
          </cell>
          <cell r="D170">
            <v>24</v>
          </cell>
          <cell r="G170">
            <v>37127</v>
          </cell>
          <cell r="I170" t="str">
            <v>UNION</v>
          </cell>
          <cell r="L170">
            <v>24</v>
          </cell>
          <cell r="M170" t="str">
            <v>6</v>
          </cell>
          <cell r="N170">
            <v>3</v>
          </cell>
          <cell r="O170">
            <v>0.66666666666666663</v>
          </cell>
          <cell r="P170">
            <v>1</v>
          </cell>
          <cell r="S170">
            <v>576</v>
          </cell>
          <cell r="T170">
            <v>23.784375000000001</v>
          </cell>
          <cell r="U170">
            <v>72</v>
          </cell>
          <cell r="V170">
            <v>2.6666666666666665</v>
          </cell>
          <cell r="W170">
            <v>24</v>
          </cell>
          <cell r="X170">
            <v>0</v>
          </cell>
          <cell r="Z170">
            <v>41</v>
          </cell>
          <cell r="AA170">
            <v>739.45104166666658</v>
          </cell>
          <cell r="AC170">
            <v>59.156083333333328</v>
          </cell>
          <cell r="AD170">
            <v>17.672879895833333</v>
          </cell>
          <cell r="AE170">
            <v>9.464973333333333</v>
          </cell>
          <cell r="AG170">
            <v>86.293936562499994</v>
          </cell>
          <cell r="AH170">
            <v>653.15710510416659</v>
          </cell>
          <cell r="AI170">
            <v>66.55059374999999</v>
          </cell>
          <cell r="AJ170">
            <v>14.789020833333332</v>
          </cell>
          <cell r="AK170">
            <v>12.866448124999998</v>
          </cell>
          <cell r="AL170">
            <v>94.20606270833332</v>
          </cell>
          <cell r="AM170">
            <v>833.6571043749999</v>
          </cell>
        </row>
        <row r="171">
          <cell r="A171">
            <v>36</v>
          </cell>
          <cell r="B171" t="str">
            <v>Ñañes Ascona Ricardo</v>
          </cell>
          <cell r="C171" t="str">
            <v>PERFORISTA</v>
          </cell>
          <cell r="D171">
            <v>28</v>
          </cell>
          <cell r="G171">
            <v>36743</v>
          </cell>
          <cell r="I171" t="str">
            <v>PROFUTURO</v>
          </cell>
          <cell r="J171">
            <v>0</v>
          </cell>
          <cell r="L171">
            <v>26</v>
          </cell>
          <cell r="M171" t="str">
            <v>12</v>
          </cell>
          <cell r="N171">
            <v>4</v>
          </cell>
          <cell r="O171" t="str">
            <v>0</v>
          </cell>
          <cell r="P171">
            <v>1</v>
          </cell>
          <cell r="S171">
            <v>728</v>
          </cell>
          <cell r="T171">
            <v>55.068750000000001</v>
          </cell>
          <cell r="U171">
            <v>112</v>
          </cell>
          <cell r="V171">
            <v>0</v>
          </cell>
          <cell r="W171">
            <v>28</v>
          </cell>
          <cell r="X171">
            <v>0</v>
          </cell>
          <cell r="Z171">
            <v>41</v>
          </cell>
          <cell r="AA171">
            <v>964.06875000000002</v>
          </cell>
          <cell r="AC171">
            <v>77.125500000000002</v>
          </cell>
          <cell r="AD171">
            <v>24.101718750000003</v>
          </cell>
          <cell r="AE171">
            <v>12.532893750000001</v>
          </cell>
          <cell r="AG171">
            <v>113.76011250000001</v>
          </cell>
          <cell r="AH171">
            <v>850.30863750000003</v>
          </cell>
          <cell r="AI171">
            <v>86.766187500000001</v>
          </cell>
          <cell r="AJ171">
            <v>19.281375000000001</v>
          </cell>
          <cell r="AK171">
            <v>16.774796249999998</v>
          </cell>
          <cell r="AL171">
            <v>122.82235874999999</v>
          </cell>
          <cell r="AM171">
            <v>1086.8911087500001</v>
          </cell>
        </row>
        <row r="172">
          <cell r="A172">
            <v>37</v>
          </cell>
          <cell r="B172" t="str">
            <v>Patricio Ribera Ubaldo</v>
          </cell>
          <cell r="C172" t="str">
            <v>AYUDANTE</v>
          </cell>
          <cell r="D172">
            <v>26</v>
          </cell>
          <cell r="G172">
            <v>37053</v>
          </cell>
          <cell r="I172" t="str">
            <v>UNION</v>
          </cell>
          <cell r="L172">
            <v>25</v>
          </cell>
          <cell r="M172" t="str">
            <v>9</v>
          </cell>
          <cell r="N172">
            <v>3</v>
          </cell>
          <cell r="O172">
            <v>0.83333333333333337</v>
          </cell>
          <cell r="P172">
            <v>1</v>
          </cell>
          <cell r="S172">
            <v>650</v>
          </cell>
          <cell r="T172">
            <v>38.489062500000003</v>
          </cell>
          <cell r="U172">
            <v>78</v>
          </cell>
          <cell r="V172">
            <v>3.6111111111111112</v>
          </cell>
          <cell r="W172">
            <v>26</v>
          </cell>
          <cell r="X172">
            <v>0</v>
          </cell>
          <cell r="Z172">
            <v>41</v>
          </cell>
          <cell r="AA172">
            <v>837.10017361111113</v>
          </cell>
          <cell r="AC172">
            <v>66.968013888888891</v>
          </cell>
          <cell r="AD172">
            <v>20.006694149305556</v>
          </cell>
          <cell r="AE172">
            <v>10.714882222222222</v>
          </cell>
          <cell r="AG172">
            <v>97.689590260416679</v>
          </cell>
          <cell r="AH172">
            <v>739.41058335069442</v>
          </cell>
          <cell r="AI172">
            <v>75.339015625000002</v>
          </cell>
          <cell r="AJ172">
            <v>16.742003472222223</v>
          </cell>
          <cell r="AK172">
            <v>14.565543020833333</v>
          </cell>
          <cell r="AL172">
            <v>106.64656211805556</v>
          </cell>
          <cell r="AM172">
            <v>943.74673572916663</v>
          </cell>
        </row>
        <row r="173">
          <cell r="A173">
            <v>38</v>
          </cell>
          <cell r="B173" t="str">
            <v>Quispe Ito Ismael</v>
          </cell>
          <cell r="C173" t="str">
            <v>PERFORISTA</v>
          </cell>
          <cell r="D173">
            <v>28</v>
          </cell>
          <cell r="G173">
            <v>37126</v>
          </cell>
          <cell r="I173" t="str">
            <v>INTEGRA</v>
          </cell>
          <cell r="L173">
            <v>14</v>
          </cell>
          <cell r="M173">
            <v>0</v>
          </cell>
          <cell r="N173">
            <v>2</v>
          </cell>
          <cell r="O173">
            <v>0</v>
          </cell>
          <cell r="P173">
            <v>1</v>
          </cell>
          <cell r="S173">
            <v>392</v>
          </cell>
          <cell r="T173">
            <v>0</v>
          </cell>
          <cell r="U173">
            <v>56</v>
          </cell>
          <cell r="V173">
            <v>0</v>
          </cell>
          <cell r="W173">
            <v>28</v>
          </cell>
          <cell r="X173">
            <v>0</v>
          </cell>
          <cell r="Z173">
            <v>41</v>
          </cell>
          <cell r="AA173">
            <v>517</v>
          </cell>
          <cell r="AC173">
            <v>41.36</v>
          </cell>
          <cell r="AD173">
            <v>12.1495</v>
          </cell>
          <cell r="AE173">
            <v>6.9795000000000007</v>
          </cell>
          <cell r="AG173">
            <v>60.489000000000004</v>
          </cell>
          <cell r="AH173">
            <v>456.51099999999997</v>
          </cell>
          <cell r="AI173">
            <v>46.53</v>
          </cell>
          <cell r="AJ173">
            <v>10.34</v>
          </cell>
          <cell r="AK173">
            <v>8.9957999999999991</v>
          </cell>
          <cell r="AL173">
            <v>65.865800000000007</v>
          </cell>
          <cell r="AM173">
            <v>582.86580000000004</v>
          </cell>
        </row>
        <row r="174">
          <cell r="A174">
            <v>39</v>
          </cell>
          <cell r="B174" t="str">
            <v>Quispe Yanqui Enrique</v>
          </cell>
          <cell r="C174" t="str">
            <v>PERFORISTA</v>
          </cell>
          <cell r="D174">
            <v>28</v>
          </cell>
          <cell r="G174">
            <v>36997</v>
          </cell>
          <cell r="I174" t="str">
            <v>HORIZONTE</v>
          </cell>
          <cell r="L174">
            <v>26</v>
          </cell>
          <cell r="M174" t="str">
            <v>12</v>
          </cell>
          <cell r="N174">
            <v>4</v>
          </cell>
          <cell r="O174" t="str">
            <v>0</v>
          </cell>
          <cell r="P174">
            <v>1</v>
          </cell>
          <cell r="S174">
            <v>728</v>
          </cell>
          <cell r="T174">
            <v>55.068750000000001</v>
          </cell>
          <cell r="U174">
            <v>112</v>
          </cell>
          <cell r="V174">
            <v>0</v>
          </cell>
          <cell r="W174">
            <v>28</v>
          </cell>
          <cell r="X174">
            <v>0</v>
          </cell>
          <cell r="Z174">
            <v>41</v>
          </cell>
          <cell r="AA174">
            <v>964.06875000000002</v>
          </cell>
          <cell r="AC174">
            <v>77.125500000000002</v>
          </cell>
          <cell r="AD174">
            <v>22.173581250000002</v>
          </cell>
          <cell r="AE174">
            <v>13.88259</v>
          </cell>
          <cell r="AG174">
            <v>113.18167124999999</v>
          </cell>
          <cell r="AH174">
            <v>850.88707875</v>
          </cell>
          <cell r="AI174">
            <v>86.766187500000001</v>
          </cell>
          <cell r="AJ174">
            <v>19.281375000000001</v>
          </cell>
          <cell r="AK174">
            <v>16.774796249999998</v>
          </cell>
          <cell r="AL174">
            <v>122.82235874999999</v>
          </cell>
          <cell r="AM174">
            <v>1086.8911087500001</v>
          </cell>
        </row>
        <row r="175">
          <cell r="A175">
            <v>40</v>
          </cell>
          <cell r="B175" t="str">
            <v>Quispe Yura Teofilo</v>
          </cell>
          <cell r="C175" t="str">
            <v>AYUDANTE</v>
          </cell>
          <cell r="D175">
            <v>26</v>
          </cell>
          <cell r="G175">
            <v>36182</v>
          </cell>
          <cell r="I175" t="str">
            <v>UNION</v>
          </cell>
          <cell r="L175">
            <v>26</v>
          </cell>
          <cell r="M175" t="str">
            <v>12</v>
          </cell>
          <cell r="N175">
            <v>4</v>
          </cell>
          <cell r="O175" t="str">
            <v>0</v>
          </cell>
          <cell r="P175">
            <v>1</v>
          </cell>
          <cell r="S175">
            <v>676</v>
          </cell>
          <cell r="T175">
            <v>51.318750000000001</v>
          </cell>
          <cell r="U175">
            <v>104</v>
          </cell>
          <cell r="V175">
            <v>0</v>
          </cell>
          <cell r="W175">
            <v>26</v>
          </cell>
          <cell r="X175">
            <v>0</v>
          </cell>
          <cell r="Z175">
            <v>41</v>
          </cell>
          <cell r="AA175">
            <v>898.31875000000002</v>
          </cell>
          <cell r="AC175">
            <v>71.865499999999997</v>
          </cell>
          <cell r="AD175">
            <v>21.469818125000003</v>
          </cell>
          <cell r="AE175">
            <v>11.498480000000001</v>
          </cell>
          <cell r="AG175">
            <v>104.833798125</v>
          </cell>
          <cell r="AH175">
            <v>793.48495187499998</v>
          </cell>
          <cell r="AI175">
            <v>80.848687499999997</v>
          </cell>
          <cell r="AJ175">
            <v>17.966374999999999</v>
          </cell>
          <cell r="AK175">
            <v>15.63074625</v>
          </cell>
          <cell r="AL175">
            <v>114.44580875</v>
          </cell>
          <cell r="AM175">
            <v>1012.76455875</v>
          </cell>
        </row>
        <row r="176">
          <cell r="A176">
            <v>41</v>
          </cell>
          <cell r="B176" t="str">
            <v>Rodrigues Rodrigues Marcelino</v>
          </cell>
          <cell r="C176" t="str">
            <v>AYUDANTE</v>
          </cell>
          <cell r="D176">
            <v>26</v>
          </cell>
          <cell r="G176">
            <v>36800</v>
          </cell>
          <cell r="I176" t="str">
            <v>PROFUTURO</v>
          </cell>
          <cell r="J176">
            <v>0</v>
          </cell>
          <cell r="L176">
            <v>26</v>
          </cell>
          <cell r="M176" t="str">
            <v>12</v>
          </cell>
          <cell r="N176">
            <v>4</v>
          </cell>
          <cell r="O176" t="str">
            <v>0</v>
          </cell>
          <cell r="P176">
            <v>1</v>
          </cell>
          <cell r="S176">
            <v>676</v>
          </cell>
          <cell r="T176">
            <v>48.75</v>
          </cell>
          <cell r="U176">
            <v>104</v>
          </cell>
          <cell r="V176">
            <v>0</v>
          </cell>
          <cell r="W176">
            <v>26</v>
          </cell>
          <cell r="X176">
            <v>0</v>
          </cell>
          <cell r="Z176">
            <v>0</v>
          </cell>
          <cell r="AA176">
            <v>854.75</v>
          </cell>
          <cell r="AC176">
            <v>68.38</v>
          </cell>
          <cell r="AD176">
            <v>21.368750000000002</v>
          </cell>
          <cell r="AE176">
            <v>11.111750000000001</v>
          </cell>
          <cell r="AG176">
            <v>100.8605</v>
          </cell>
          <cell r="AH176">
            <v>753.8895</v>
          </cell>
          <cell r="AI176">
            <v>76.927499999999995</v>
          </cell>
          <cell r="AJ176">
            <v>17.094999999999999</v>
          </cell>
          <cell r="AK176">
            <v>14.872649999999998</v>
          </cell>
          <cell r="AL176">
            <v>108.89514999999999</v>
          </cell>
          <cell r="AM176">
            <v>963.64514999999994</v>
          </cell>
        </row>
        <row r="177">
          <cell r="A177">
            <v>42</v>
          </cell>
          <cell r="B177" t="str">
            <v>Rodrigues Soto Gregorio</v>
          </cell>
          <cell r="C177" t="str">
            <v>PERFORISTA</v>
          </cell>
          <cell r="D177">
            <v>28</v>
          </cell>
          <cell r="G177">
            <v>37197</v>
          </cell>
          <cell r="I177" t="str">
            <v>INTEGRA</v>
          </cell>
          <cell r="L177">
            <v>26</v>
          </cell>
          <cell r="M177" t="str">
            <v>12</v>
          </cell>
          <cell r="N177">
            <v>4</v>
          </cell>
          <cell r="O177" t="str">
            <v>0</v>
          </cell>
          <cell r="P177">
            <v>1</v>
          </cell>
          <cell r="S177">
            <v>728</v>
          </cell>
          <cell r="T177">
            <v>52.5</v>
          </cell>
          <cell r="U177">
            <v>112</v>
          </cell>
          <cell r="V177">
            <v>0</v>
          </cell>
          <cell r="W177">
            <v>28</v>
          </cell>
          <cell r="X177">
            <v>0</v>
          </cell>
          <cell r="Z177">
            <v>0</v>
          </cell>
          <cell r="AA177">
            <v>920.5</v>
          </cell>
          <cell r="AC177">
            <v>73.64</v>
          </cell>
          <cell r="AD177">
            <v>21.63175</v>
          </cell>
          <cell r="AE177">
            <v>12.426750000000002</v>
          </cell>
          <cell r="AG177">
            <v>107.6985</v>
          </cell>
          <cell r="AH177">
            <v>812.80150000000003</v>
          </cell>
          <cell r="AI177">
            <v>82.844999999999999</v>
          </cell>
          <cell r="AJ177">
            <v>18.41</v>
          </cell>
          <cell r="AK177">
            <v>16.0167</v>
          </cell>
          <cell r="AL177">
            <v>117.2717</v>
          </cell>
          <cell r="AM177">
            <v>1037.7717</v>
          </cell>
        </row>
        <row r="178">
          <cell r="A178">
            <v>43</v>
          </cell>
          <cell r="B178" t="str">
            <v>Rosas Zuni Bernardo</v>
          </cell>
          <cell r="C178" t="str">
            <v>AYUDANTE</v>
          </cell>
          <cell r="D178">
            <v>26</v>
          </cell>
          <cell r="G178">
            <v>37269</v>
          </cell>
          <cell r="I178" t="str">
            <v>INTEGRA</v>
          </cell>
          <cell r="L178">
            <v>16</v>
          </cell>
          <cell r="M178">
            <v>0</v>
          </cell>
          <cell r="N178">
            <v>2</v>
          </cell>
          <cell r="O178">
            <v>0</v>
          </cell>
          <cell r="P178">
            <v>0</v>
          </cell>
          <cell r="S178">
            <v>416</v>
          </cell>
          <cell r="T178">
            <v>0</v>
          </cell>
          <cell r="U178">
            <v>52</v>
          </cell>
          <cell r="V178">
            <v>0</v>
          </cell>
          <cell r="W178">
            <v>0</v>
          </cell>
          <cell r="X178">
            <v>0</v>
          </cell>
          <cell r="Z178">
            <v>0</v>
          </cell>
          <cell r="AA178">
            <v>468</v>
          </cell>
          <cell r="AC178">
            <v>37.44</v>
          </cell>
          <cell r="AD178">
            <v>10.997999999999999</v>
          </cell>
          <cell r="AE178">
            <v>6.3180000000000005</v>
          </cell>
          <cell r="AG178">
            <v>54.755999999999993</v>
          </cell>
          <cell r="AH178">
            <v>413.24400000000003</v>
          </cell>
          <cell r="AI178">
            <v>42.12</v>
          </cell>
          <cell r="AJ178">
            <v>9.36</v>
          </cell>
          <cell r="AK178">
            <v>8.1432000000000002</v>
          </cell>
          <cell r="AL178">
            <v>59.623199999999997</v>
          </cell>
          <cell r="AM178">
            <v>527.6232</v>
          </cell>
        </row>
        <row r="179">
          <cell r="A179">
            <v>44</v>
          </cell>
          <cell r="B179" t="str">
            <v>Soto Mollo Jose</v>
          </cell>
          <cell r="C179" t="str">
            <v>PERFORISTA</v>
          </cell>
          <cell r="D179">
            <v>28</v>
          </cell>
          <cell r="G179">
            <v>36767</v>
          </cell>
          <cell r="I179" t="str">
            <v>UNION</v>
          </cell>
          <cell r="J179">
            <v>0</v>
          </cell>
          <cell r="L179">
            <v>26</v>
          </cell>
          <cell r="M179" t="str">
            <v>12</v>
          </cell>
          <cell r="N179">
            <v>4</v>
          </cell>
          <cell r="O179" t="str">
            <v>0</v>
          </cell>
          <cell r="P179">
            <v>1</v>
          </cell>
          <cell r="S179">
            <v>728</v>
          </cell>
          <cell r="T179">
            <v>55.068750000000001</v>
          </cell>
          <cell r="U179">
            <v>112</v>
          </cell>
          <cell r="V179">
            <v>0</v>
          </cell>
          <cell r="W179">
            <v>28</v>
          </cell>
          <cell r="X179">
            <v>0</v>
          </cell>
          <cell r="Z179">
            <v>41</v>
          </cell>
          <cell r="AA179">
            <v>964.06875000000002</v>
          </cell>
          <cell r="AC179">
            <v>77.125500000000002</v>
          </cell>
          <cell r="AD179">
            <v>23.041243125000001</v>
          </cell>
          <cell r="AE179">
            <v>12.34008</v>
          </cell>
          <cell r="AG179">
            <v>112.50682312500001</v>
          </cell>
          <cell r="AH179">
            <v>851.56192687500004</v>
          </cell>
          <cell r="AI179">
            <v>86.766187500000001</v>
          </cell>
          <cell r="AJ179">
            <v>19.281375000000001</v>
          </cell>
          <cell r="AK179">
            <v>16.774796249999998</v>
          </cell>
          <cell r="AL179">
            <v>122.82235874999999</v>
          </cell>
          <cell r="AM179">
            <v>1086.8911087500001</v>
          </cell>
        </row>
        <row r="180">
          <cell r="A180">
            <v>45</v>
          </cell>
          <cell r="B180" t="str">
            <v>Sullca Flores Mauro</v>
          </cell>
          <cell r="C180" t="str">
            <v>AYUDANTE</v>
          </cell>
          <cell r="D180">
            <v>26</v>
          </cell>
          <cell r="G180">
            <v>37262</v>
          </cell>
          <cell r="I180" t="str">
            <v>UNION</v>
          </cell>
          <cell r="L180">
            <v>21</v>
          </cell>
          <cell r="M180">
            <v>0</v>
          </cell>
          <cell r="N180">
            <v>3</v>
          </cell>
          <cell r="O180">
            <v>0</v>
          </cell>
          <cell r="P180">
            <v>0</v>
          </cell>
          <cell r="S180">
            <v>546</v>
          </cell>
          <cell r="T180">
            <v>0</v>
          </cell>
          <cell r="U180">
            <v>78</v>
          </cell>
          <cell r="V180">
            <v>0</v>
          </cell>
          <cell r="W180">
            <v>0</v>
          </cell>
          <cell r="X180">
            <v>0</v>
          </cell>
          <cell r="Z180">
            <v>0</v>
          </cell>
          <cell r="AA180">
            <v>624</v>
          </cell>
          <cell r="AC180">
            <v>49.92</v>
          </cell>
          <cell r="AD180">
            <v>14.913600000000001</v>
          </cell>
          <cell r="AE180">
            <v>7.9872000000000005</v>
          </cell>
          <cell r="AG180">
            <v>72.820800000000006</v>
          </cell>
          <cell r="AH180">
            <v>551.17920000000004</v>
          </cell>
          <cell r="AI180">
            <v>56.16</v>
          </cell>
          <cell r="AJ180">
            <v>12.48</v>
          </cell>
          <cell r="AK180">
            <v>10.8576</v>
          </cell>
          <cell r="AL180">
            <v>79.497600000000006</v>
          </cell>
          <cell r="AM180">
            <v>703.49760000000003</v>
          </cell>
        </row>
        <row r="181">
          <cell r="A181">
            <v>46</v>
          </cell>
          <cell r="B181" t="str">
            <v>Vargas Arangoitia Cosme</v>
          </cell>
          <cell r="C181" t="str">
            <v>BODEGUERO</v>
          </cell>
          <cell r="D181">
            <v>26</v>
          </cell>
          <cell r="G181">
            <v>36271</v>
          </cell>
          <cell r="I181" t="str">
            <v>ONP</v>
          </cell>
          <cell r="L181">
            <v>26</v>
          </cell>
          <cell r="M181" t="str">
            <v>12</v>
          </cell>
          <cell r="N181">
            <v>4</v>
          </cell>
          <cell r="O181" t="str">
            <v>0</v>
          </cell>
          <cell r="P181">
            <v>1</v>
          </cell>
          <cell r="S181">
            <v>676</v>
          </cell>
          <cell r="T181">
            <v>51.318750000000001</v>
          </cell>
          <cell r="U181">
            <v>104</v>
          </cell>
          <cell r="V181">
            <v>0</v>
          </cell>
          <cell r="W181">
            <v>26</v>
          </cell>
          <cell r="X181">
            <v>0</v>
          </cell>
          <cell r="Y181">
            <v>35.67</v>
          </cell>
          <cell r="Z181">
            <v>41</v>
          </cell>
          <cell r="AA181">
            <v>933.98874999999998</v>
          </cell>
          <cell r="AB181">
            <v>121.4185375</v>
          </cell>
          <cell r="AG181">
            <v>121.4185375</v>
          </cell>
          <cell r="AH181">
            <v>812.57021250000003</v>
          </cell>
          <cell r="AI181">
            <v>84.058987500000001</v>
          </cell>
          <cell r="AJ181">
            <v>18.679774999999999</v>
          </cell>
          <cell r="AK181">
            <v>16.25140425</v>
          </cell>
          <cell r="AL181">
            <v>118.99016675000001</v>
          </cell>
          <cell r="AM181">
            <v>1052.9789167500001</v>
          </cell>
        </row>
        <row r="182">
          <cell r="A182">
            <v>47</v>
          </cell>
          <cell r="B182" t="str">
            <v>Velasco Merma Venancio</v>
          </cell>
          <cell r="C182" t="str">
            <v>PERFORISTA</v>
          </cell>
          <cell r="D182">
            <v>28</v>
          </cell>
          <cell r="G182">
            <v>36997</v>
          </cell>
          <cell r="I182" t="str">
            <v>INTEGRA</v>
          </cell>
          <cell r="L182">
            <v>25</v>
          </cell>
          <cell r="M182" t="str">
            <v>9</v>
          </cell>
          <cell r="N182">
            <v>3</v>
          </cell>
          <cell r="O182">
            <v>0.83333333333333337</v>
          </cell>
          <cell r="P182">
            <v>1</v>
          </cell>
          <cell r="S182">
            <v>700</v>
          </cell>
          <cell r="T182">
            <v>41.301562499999996</v>
          </cell>
          <cell r="U182">
            <v>84</v>
          </cell>
          <cell r="V182">
            <v>3.8888888888888893</v>
          </cell>
          <cell r="W182">
            <v>28</v>
          </cell>
          <cell r="X182">
            <v>0</v>
          </cell>
          <cell r="Z182">
            <v>41</v>
          </cell>
          <cell r="AA182">
            <v>898.19045138888896</v>
          </cell>
          <cell r="AC182">
            <v>71.855236111111125</v>
          </cell>
          <cell r="AD182">
            <v>21.107475607638889</v>
          </cell>
          <cell r="AE182">
            <v>12.125571093750002</v>
          </cell>
          <cell r="AG182">
            <v>105.08828281250001</v>
          </cell>
          <cell r="AH182">
            <v>793.10216857638898</v>
          </cell>
          <cell r="AI182">
            <v>80.837140625000004</v>
          </cell>
          <cell r="AJ182">
            <v>17.963809027777781</v>
          </cell>
          <cell r="AK182">
            <v>15.628513854166666</v>
          </cell>
          <cell r="AL182">
            <v>114.42946350694446</v>
          </cell>
          <cell r="AM182">
            <v>1012.6199148958334</v>
          </cell>
        </row>
        <row r="183">
          <cell r="A183">
            <v>48</v>
          </cell>
          <cell r="B183" t="str">
            <v>Vilca Curisulla Noel</v>
          </cell>
          <cell r="C183" t="str">
            <v>PEON</v>
          </cell>
          <cell r="D183">
            <v>24</v>
          </cell>
          <cell r="G183">
            <v>37115</v>
          </cell>
          <cell r="I183" t="str">
            <v>HORIZONTE</v>
          </cell>
          <cell r="L183">
            <v>25</v>
          </cell>
          <cell r="M183" t="str">
            <v>9</v>
          </cell>
          <cell r="N183">
            <v>3</v>
          </cell>
          <cell r="O183">
            <v>0.83333333333333337</v>
          </cell>
          <cell r="P183">
            <v>1</v>
          </cell>
          <cell r="S183">
            <v>600</v>
          </cell>
          <cell r="T183">
            <v>33.75</v>
          </cell>
          <cell r="U183">
            <v>72</v>
          </cell>
          <cell r="V183">
            <v>3.3333333333333335</v>
          </cell>
          <cell r="W183">
            <v>24</v>
          </cell>
          <cell r="X183">
            <v>0</v>
          </cell>
          <cell r="Z183">
            <v>0</v>
          </cell>
          <cell r="AA183">
            <v>733.08333333333337</v>
          </cell>
          <cell r="AC183">
            <v>58.646666666666668</v>
          </cell>
          <cell r="AD183">
            <v>16.860916666666668</v>
          </cell>
          <cell r="AE183">
            <v>10.5564</v>
          </cell>
          <cell r="AG183">
            <v>86.06398333333334</v>
          </cell>
          <cell r="AH183">
            <v>647.01935000000003</v>
          </cell>
          <cell r="AI183">
            <v>65.977500000000006</v>
          </cell>
          <cell r="AJ183">
            <v>14.661666666666667</v>
          </cell>
          <cell r="AK183">
            <v>12.755649999999999</v>
          </cell>
          <cell r="AL183">
            <v>93.394816666666671</v>
          </cell>
          <cell r="AM183">
            <v>826.47815000000003</v>
          </cell>
        </row>
        <row r="184">
          <cell r="A184">
            <v>49</v>
          </cell>
          <cell r="B184" t="str">
            <v>Yana Calderon Franklin</v>
          </cell>
          <cell r="C184" t="str">
            <v>AYUDANTE</v>
          </cell>
          <cell r="D184">
            <v>26</v>
          </cell>
          <cell r="G184">
            <v>37109</v>
          </cell>
          <cell r="I184" t="str">
            <v>UNION</v>
          </cell>
          <cell r="L184">
            <v>15</v>
          </cell>
          <cell r="M184">
            <v>0</v>
          </cell>
          <cell r="N184">
            <v>2</v>
          </cell>
          <cell r="O184">
            <v>0</v>
          </cell>
          <cell r="P184">
            <v>1</v>
          </cell>
          <cell r="S184">
            <v>390</v>
          </cell>
          <cell r="T184">
            <v>0</v>
          </cell>
          <cell r="U184">
            <v>52</v>
          </cell>
          <cell r="V184">
            <v>0</v>
          </cell>
          <cell r="W184">
            <v>26</v>
          </cell>
          <cell r="X184">
            <v>0</v>
          </cell>
          <cell r="Z184">
            <v>41</v>
          </cell>
          <cell r="AA184">
            <v>509</v>
          </cell>
          <cell r="AC184">
            <v>40.72</v>
          </cell>
          <cell r="AD184">
            <v>12.165100000000001</v>
          </cell>
          <cell r="AE184">
            <v>6.5152000000000001</v>
          </cell>
          <cell r="AG184">
            <v>59.400300000000001</v>
          </cell>
          <cell r="AH184">
            <v>449.59969999999998</v>
          </cell>
          <cell r="AI184">
            <v>45.809999999999995</v>
          </cell>
          <cell r="AJ184">
            <v>10.18</v>
          </cell>
          <cell r="AK184">
            <v>8.8566000000000003</v>
          </cell>
          <cell r="AL184">
            <v>64.846599999999995</v>
          </cell>
          <cell r="AM184">
            <v>573.84659999999997</v>
          </cell>
        </row>
        <row r="185">
          <cell r="A185">
            <v>50</v>
          </cell>
          <cell r="B185" t="str">
            <v>Yapo Foroca Romulo</v>
          </cell>
          <cell r="C185" t="str">
            <v>Perforista</v>
          </cell>
          <cell r="D185">
            <v>28</v>
          </cell>
          <cell r="G185">
            <v>37269</v>
          </cell>
          <cell r="I185" t="str">
            <v>UNION</v>
          </cell>
          <cell r="L185">
            <v>15</v>
          </cell>
          <cell r="M185">
            <v>0</v>
          </cell>
          <cell r="N185">
            <v>1</v>
          </cell>
          <cell r="O185">
            <v>0.83333333333333337</v>
          </cell>
          <cell r="P185">
            <v>0</v>
          </cell>
          <cell r="S185">
            <v>420</v>
          </cell>
          <cell r="T185">
            <v>0</v>
          </cell>
          <cell r="U185">
            <v>28</v>
          </cell>
          <cell r="V185">
            <v>3.8888888888888893</v>
          </cell>
          <cell r="W185">
            <v>0</v>
          </cell>
          <cell r="X185">
            <v>0</v>
          </cell>
          <cell r="Z185">
            <v>0</v>
          </cell>
          <cell r="AA185">
            <v>451.88888888888891</v>
          </cell>
          <cell r="AC185">
            <v>36.151111111111113</v>
          </cell>
          <cell r="AD185">
            <v>10.800144444444445</v>
          </cell>
          <cell r="AE185">
            <v>5.7841777777777788</v>
          </cell>
          <cell r="AG185">
            <v>52.73543333333334</v>
          </cell>
          <cell r="AH185">
            <v>399.15345555555558</v>
          </cell>
          <cell r="AI185">
            <v>40.67</v>
          </cell>
          <cell r="AJ185">
            <v>9.0377777777777784</v>
          </cell>
          <cell r="AK185">
            <v>7.8628666666666662</v>
          </cell>
          <cell r="AL185">
            <v>57.570644444444447</v>
          </cell>
          <cell r="AM185">
            <v>509.45953333333335</v>
          </cell>
        </row>
        <row r="186">
          <cell r="A186">
            <v>51</v>
          </cell>
          <cell r="B186" t="str">
            <v>AGUILAR RENZO</v>
          </cell>
          <cell r="C186" t="str">
            <v>OPE. PIRAÑA</v>
          </cell>
          <cell r="D186">
            <v>28</v>
          </cell>
          <cell r="G186">
            <v>36318</v>
          </cell>
          <cell r="I186" t="str">
            <v>PROFUTURO</v>
          </cell>
          <cell r="J186">
            <v>0</v>
          </cell>
          <cell r="L186">
            <v>26</v>
          </cell>
          <cell r="M186">
            <v>48</v>
          </cell>
          <cell r="N186">
            <v>4</v>
          </cell>
          <cell r="O186">
            <v>3</v>
          </cell>
          <cell r="P186">
            <v>1</v>
          </cell>
          <cell r="Q186">
            <v>0</v>
          </cell>
          <cell r="R186">
            <v>0</v>
          </cell>
          <cell r="S186">
            <v>728</v>
          </cell>
          <cell r="T186">
            <v>220.27500000000001</v>
          </cell>
          <cell r="U186">
            <v>112</v>
          </cell>
          <cell r="V186">
            <v>14</v>
          </cell>
          <cell r="W186">
            <v>28</v>
          </cell>
          <cell r="X186">
            <v>0</v>
          </cell>
          <cell r="Z186">
            <v>41</v>
          </cell>
          <cell r="AA186">
            <v>1143.2750000000001</v>
          </cell>
          <cell r="AC186">
            <v>91.462000000000003</v>
          </cell>
          <cell r="AD186">
            <v>28.581875000000004</v>
          </cell>
          <cell r="AE186">
            <v>14.862575000000003</v>
          </cell>
          <cell r="AG186">
            <v>134.90645000000001</v>
          </cell>
          <cell r="AH186">
            <v>1008.3685500000001</v>
          </cell>
          <cell r="AI186">
            <v>102.89475</v>
          </cell>
          <cell r="AJ186">
            <v>22.865500000000001</v>
          </cell>
          <cell r="AK186">
            <v>19.892984999999999</v>
          </cell>
          <cell r="AL186">
            <v>145.653235</v>
          </cell>
          <cell r="AM186">
            <v>997.6217650000001</v>
          </cell>
        </row>
        <row r="187">
          <cell r="A187">
            <v>52</v>
          </cell>
          <cell r="B187" t="str">
            <v>ANCCANA LLAMOCCA, JOSE LUIS</v>
          </cell>
          <cell r="C187" t="str">
            <v>AYDTE. ALMACEN</v>
          </cell>
          <cell r="D187">
            <v>25</v>
          </cell>
          <cell r="G187">
            <v>36690</v>
          </cell>
          <cell r="I187" t="str">
            <v>UNION</v>
          </cell>
          <cell r="L187">
            <v>26</v>
          </cell>
          <cell r="M187">
            <v>92</v>
          </cell>
          <cell r="N187">
            <v>4</v>
          </cell>
          <cell r="O187">
            <v>0</v>
          </cell>
          <cell r="P187">
            <v>1</v>
          </cell>
          <cell r="S187">
            <v>650</v>
          </cell>
          <cell r="T187">
            <v>379.06875000000002</v>
          </cell>
          <cell r="U187">
            <v>100</v>
          </cell>
          <cell r="V187">
            <v>0</v>
          </cell>
          <cell r="W187">
            <v>25</v>
          </cell>
          <cell r="X187">
            <v>0</v>
          </cell>
          <cell r="Z187">
            <v>41</v>
          </cell>
          <cell r="AA187">
            <v>1195.0687499999999</v>
          </cell>
          <cell r="AC187">
            <v>95.605499999999992</v>
          </cell>
          <cell r="AD187">
            <v>28.562143124999999</v>
          </cell>
          <cell r="AE187">
            <v>15.29688</v>
          </cell>
          <cell r="AG187">
            <v>139.46452312499997</v>
          </cell>
          <cell r="AH187">
            <v>1055.604226875</v>
          </cell>
          <cell r="AI187">
            <v>107.55618749999999</v>
          </cell>
          <cell r="AJ187">
            <v>23.901374999999998</v>
          </cell>
          <cell r="AK187">
            <v>20.794196249999995</v>
          </cell>
          <cell r="AL187">
            <v>152.25175874999999</v>
          </cell>
          <cell r="AM187">
            <v>1042.81699125</v>
          </cell>
        </row>
        <row r="188">
          <cell r="A188">
            <v>53</v>
          </cell>
          <cell r="B188" t="str">
            <v>ASTOCAZA HUAMANI VICTOR</v>
          </cell>
          <cell r="C188" t="str">
            <v>PEON</v>
          </cell>
          <cell r="D188">
            <v>21</v>
          </cell>
          <cell r="G188">
            <v>37278</v>
          </cell>
          <cell r="I188" t="str">
            <v>UNION</v>
          </cell>
          <cell r="L188">
            <v>9</v>
          </cell>
          <cell r="M188">
            <v>0</v>
          </cell>
          <cell r="N188">
            <v>1</v>
          </cell>
          <cell r="O188">
            <v>0</v>
          </cell>
          <cell r="P188">
            <v>0</v>
          </cell>
          <cell r="S188">
            <v>189</v>
          </cell>
          <cell r="T188">
            <v>0</v>
          </cell>
          <cell r="U188">
            <v>21</v>
          </cell>
          <cell r="V188">
            <v>0</v>
          </cell>
          <cell r="W188">
            <v>0</v>
          </cell>
          <cell r="X188">
            <v>0</v>
          </cell>
          <cell r="Z188">
            <v>41</v>
          </cell>
          <cell r="AA188">
            <v>251</v>
          </cell>
          <cell r="AC188">
            <v>20.080000000000002</v>
          </cell>
          <cell r="AD188">
            <v>5.9988999999999999</v>
          </cell>
          <cell r="AE188">
            <v>3.2128000000000001</v>
          </cell>
          <cell r="AG188">
            <v>29.291700000000002</v>
          </cell>
          <cell r="AH188">
            <v>221.70830000000001</v>
          </cell>
          <cell r="AI188">
            <v>22.59</v>
          </cell>
          <cell r="AJ188">
            <v>5.0200000000000005</v>
          </cell>
          <cell r="AK188">
            <v>4.3673999999999999</v>
          </cell>
          <cell r="AL188">
            <v>31.977399999999999</v>
          </cell>
          <cell r="AM188">
            <v>219.02260000000001</v>
          </cell>
        </row>
        <row r="189">
          <cell r="A189">
            <v>54</v>
          </cell>
          <cell r="B189" t="str">
            <v>ASTOCAZA HUAMANI, RAUL FELIPE</v>
          </cell>
          <cell r="C189" t="str">
            <v>LUBRICADOR</v>
          </cell>
          <cell r="D189">
            <v>23</v>
          </cell>
          <cell r="G189">
            <v>37056</v>
          </cell>
          <cell r="I189" t="str">
            <v>UNION</v>
          </cell>
          <cell r="L189">
            <v>26</v>
          </cell>
          <cell r="M189">
            <v>15</v>
          </cell>
          <cell r="N189">
            <v>4</v>
          </cell>
          <cell r="O189">
            <v>0</v>
          </cell>
          <cell r="P189">
            <v>1</v>
          </cell>
          <cell r="S189">
            <v>598</v>
          </cell>
          <cell r="T189">
            <v>57.1171875</v>
          </cell>
          <cell r="U189">
            <v>92</v>
          </cell>
          <cell r="V189">
            <v>0</v>
          </cell>
          <cell r="W189">
            <v>23</v>
          </cell>
          <cell r="X189">
            <v>0</v>
          </cell>
          <cell r="Z189">
            <v>41</v>
          </cell>
          <cell r="AA189">
            <v>811.1171875</v>
          </cell>
          <cell r="AC189">
            <v>64.889375000000001</v>
          </cell>
          <cell r="AD189">
            <v>19.385700781250002</v>
          </cell>
          <cell r="AE189">
            <v>10.382300000000001</v>
          </cell>
          <cell r="AG189">
            <v>94.657375781249996</v>
          </cell>
          <cell r="AH189">
            <v>716.45981171874996</v>
          </cell>
          <cell r="AI189">
            <v>73.000546874999998</v>
          </cell>
          <cell r="AJ189">
            <v>16.22234375</v>
          </cell>
          <cell r="AK189">
            <v>14.113439062499999</v>
          </cell>
          <cell r="AL189">
            <v>103.33632968749998</v>
          </cell>
          <cell r="AM189">
            <v>707.78085781250002</v>
          </cell>
        </row>
        <row r="190">
          <cell r="A190">
            <v>55</v>
          </cell>
          <cell r="B190" t="str">
            <v>ATAUJE MARTINEZ PUBLIO</v>
          </cell>
          <cell r="C190" t="str">
            <v>COCINERO</v>
          </cell>
          <cell r="D190">
            <v>25</v>
          </cell>
          <cell r="G190">
            <v>37135</v>
          </cell>
          <cell r="I190" t="str">
            <v>HORIZONTE</v>
          </cell>
          <cell r="J190">
            <v>0</v>
          </cell>
          <cell r="L190">
            <v>26</v>
          </cell>
          <cell r="M190">
            <v>12</v>
          </cell>
          <cell r="N190">
            <v>4</v>
          </cell>
          <cell r="O190">
            <v>0</v>
          </cell>
          <cell r="P190">
            <v>1</v>
          </cell>
          <cell r="S190">
            <v>650</v>
          </cell>
          <cell r="T190">
            <v>49.443750000000001</v>
          </cell>
          <cell r="U190">
            <v>100</v>
          </cell>
          <cell r="V190">
            <v>0</v>
          </cell>
          <cell r="W190">
            <v>25</v>
          </cell>
          <cell r="X190">
            <v>0</v>
          </cell>
          <cell r="Z190">
            <v>41</v>
          </cell>
          <cell r="AA190">
            <v>865.44375000000002</v>
          </cell>
          <cell r="AC190">
            <v>69.235500000000002</v>
          </cell>
          <cell r="AD190">
            <v>19.905206249999999</v>
          </cell>
          <cell r="AE190">
            <v>12.462389999999999</v>
          </cell>
          <cell r="AG190">
            <v>101.60309624999999</v>
          </cell>
          <cell r="AH190">
            <v>763.84065375</v>
          </cell>
          <cell r="AI190">
            <v>77.889937500000002</v>
          </cell>
          <cell r="AJ190">
            <v>17.308875</v>
          </cell>
          <cell r="AK190">
            <v>15.05872125</v>
          </cell>
          <cell r="AL190">
            <v>110.25753375000001</v>
          </cell>
          <cell r="AM190">
            <v>755.18621625000003</v>
          </cell>
        </row>
        <row r="191">
          <cell r="A191">
            <v>56</v>
          </cell>
          <cell r="B191" t="str">
            <v>BATALLA MEDINA JUAN</v>
          </cell>
          <cell r="C191" t="str">
            <v>MUESTRERO</v>
          </cell>
          <cell r="D191">
            <v>28</v>
          </cell>
          <cell r="G191">
            <v>36315</v>
          </cell>
          <cell r="I191" t="str">
            <v>HORIZONTE</v>
          </cell>
          <cell r="L191">
            <v>26</v>
          </cell>
          <cell r="M191">
            <v>12</v>
          </cell>
          <cell r="N191">
            <v>4</v>
          </cell>
          <cell r="O191">
            <v>0</v>
          </cell>
          <cell r="P191">
            <v>1</v>
          </cell>
          <cell r="S191">
            <v>728</v>
          </cell>
          <cell r="T191">
            <v>55.068750000000001</v>
          </cell>
          <cell r="U191">
            <v>112</v>
          </cell>
          <cell r="V191">
            <v>0</v>
          </cell>
          <cell r="W191">
            <v>28</v>
          </cell>
          <cell r="X191">
            <v>0</v>
          </cell>
          <cell r="Z191">
            <v>41</v>
          </cell>
          <cell r="AA191">
            <v>964.06875000000002</v>
          </cell>
          <cell r="AC191">
            <v>77.125500000000002</v>
          </cell>
          <cell r="AD191">
            <v>22.173581250000002</v>
          </cell>
          <cell r="AE191">
            <v>13.88259</v>
          </cell>
          <cell r="AG191">
            <v>113.18167124999999</v>
          </cell>
          <cell r="AH191">
            <v>850.88707875</v>
          </cell>
          <cell r="AI191">
            <v>86.766187500000001</v>
          </cell>
          <cell r="AJ191">
            <v>19.281375000000001</v>
          </cell>
          <cell r="AK191">
            <v>16.774796249999998</v>
          </cell>
          <cell r="AL191">
            <v>122.82235874999999</v>
          </cell>
          <cell r="AM191">
            <v>841.24639124999999</v>
          </cell>
        </row>
        <row r="192">
          <cell r="A192">
            <v>57</v>
          </cell>
          <cell r="B192" t="str">
            <v>BENAVIDES CCALLO, CARLOS FRANCISCO</v>
          </cell>
          <cell r="C192" t="str">
            <v>AYT TOPOGRAFO</v>
          </cell>
          <cell r="D192">
            <v>26</v>
          </cell>
          <cell r="G192">
            <v>37000</v>
          </cell>
          <cell r="I192" t="str">
            <v>UNION</v>
          </cell>
          <cell r="L192">
            <v>26</v>
          </cell>
          <cell r="M192">
            <v>12</v>
          </cell>
          <cell r="N192">
            <v>4</v>
          </cell>
          <cell r="O192">
            <v>0</v>
          </cell>
          <cell r="P192">
            <v>1</v>
          </cell>
          <cell r="S192">
            <v>676</v>
          </cell>
          <cell r="T192">
            <v>51.318750000000001</v>
          </cell>
          <cell r="U192">
            <v>104</v>
          </cell>
          <cell r="V192">
            <v>0</v>
          </cell>
          <cell r="W192">
            <v>26</v>
          </cell>
          <cell r="X192">
            <v>0</v>
          </cell>
          <cell r="Z192">
            <v>41</v>
          </cell>
          <cell r="AA192">
            <v>898.31875000000002</v>
          </cell>
          <cell r="AC192">
            <v>71.865499999999997</v>
          </cell>
          <cell r="AD192">
            <v>21.469818125000003</v>
          </cell>
          <cell r="AE192">
            <v>11.498480000000001</v>
          </cell>
          <cell r="AG192">
            <v>104.833798125</v>
          </cell>
          <cell r="AH192">
            <v>793.48495187499998</v>
          </cell>
          <cell r="AI192">
            <v>80.848687499999997</v>
          </cell>
          <cell r="AJ192">
            <v>17.966374999999999</v>
          </cell>
          <cell r="AK192">
            <v>15.63074625</v>
          </cell>
          <cell r="AL192">
            <v>114.44580875</v>
          </cell>
          <cell r="AM192">
            <v>783.87294125000005</v>
          </cell>
        </row>
        <row r="193">
          <cell r="A193">
            <v>58</v>
          </cell>
          <cell r="B193" t="str">
            <v>BENAVIDES TEJADA, NATIVIDOR</v>
          </cell>
          <cell r="C193" t="str">
            <v>AYT TOPOGRAFO</v>
          </cell>
          <cell r="D193">
            <v>26</v>
          </cell>
          <cell r="G193">
            <v>36998</v>
          </cell>
          <cell r="I193" t="str">
            <v>ONP</v>
          </cell>
          <cell r="L193">
            <v>26</v>
          </cell>
          <cell r="M193">
            <v>12</v>
          </cell>
          <cell r="N193">
            <v>4</v>
          </cell>
          <cell r="O193">
            <v>0</v>
          </cell>
          <cell r="P193">
            <v>1</v>
          </cell>
          <cell r="S193">
            <v>676</v>
          </cell>
          <cell r="T193">
            <v>51.318750000000001</v>
          </cell>
          <cell r="U193">
            <v>104</v>
          </cell>
          <cell r="V193">
            <v>0</v>
          </cell>
          <cell r="W193">
            <v>26</v>
          </cell>
          <cell r="X193">
            <v>0</v>
          </cell>
          <cell r="Z193">
            <v>41</v>
          </cell>
          <cell r="AA193">
            <v>898.31875000000002</v>
          </cell>
          <cell r="AB193">
            <v>116.78143750000001</v>
          </cell>
          <cell r="AG193">
            <v>116.78143750000001</v>
          </cell>
          <cell r="AH193">
            <v>781.53731249999998</v>
          </cell>
          <cell r="AI193">
            <v>80.848687499999997</v>
          </cell>
          <cell r="AJ193">
            <v>17.966374999999999</v>
          </cell>
          <cell r="AK193">
            <v>15.63074625</v>
          </cell>
          <cell r="AL193">
            <v>114.44580875</v>
          </cell>
          <cell r="AM193">
            <v>783.87294125000005</v>
          </cell>
        </row>
        <row r="194">
          <cell r="A194">
            <v>59</v>
          </cell>
          <cell r="B194" t="str">
            <v>CAPACOILA MAMANI, EFRAIN</v>
          </cell>
          <cell r="C194" t="str">
            <v>MUESTRERO</v>
          </cell>
          <cell r="D194">
            <v>28</v>
          </cell>
          <cell r="G194">
            <v>36542</v>
          </cell>
          <cell r="I194" t="str">
            <v>UNION</v>
          </cell>
          <cell r="L194">
            <v>26</v>
          </cell>
          <cell r="M194">
            <v>12</v>
          </cell>
          <cell r="N194">
            <v>4</v>
          </cell>
          <cell r="O194">
            <v>0</v>
          </cell>
          <cell r="P194">
            <v>1</v>
          </cell>
          <cell r="S194">
            <v>728</v>
          </cell>
          <cell r="T194">
            <v>55.068750000000001</v>
          </cell>
          <cell r="U194">
            <v>112</v>
          </cell>
          <cell r="V194">
            <v>0</v>
          </cell>
          <cell r="W194">
            <v>28</v>
          </cell>
          <cell r="X194">
            <v>0</v>
          </cell>
          <cell r="Z194">
            <v>41</v>
          </cell>
          <cell r="AA194">
            <v>964.06875000000002</v>
          </cell>
          <cell r="AC194">
            <v>77.125500000000002</v>
          </cell>
          <cell r="AD194">
            <v>23.041243125000001</v>
          </cell>
          <cell r="AE194">
            <v>12.34008</v>
          </cell>
          <cell r="AG194">
            <v>112.50682312500001</v>
          </cell>
          <cell r="AH194">
            <v>851.56192687500004</v>
          </cell>
          <cell r="AI194">
            <v>86.766187500000001</v>
          </cell>
          <cell r="AJ194">
            <v>19.281375000000001</v>
          </cell>
          <cell r="AK194">
            <v>16.774796249999998</v>
          </cell>
          <cell r="AL194">
            <v>122.82235874999999</v>
          </cell>
          <cell r="AM194">
            <v>841.24639124999999</v>
          </cell>
        </row>
        <row r="195">
          <cell r="A195">
            <v>60</v>
          </cell>
          <cell r="B195" t="str">
            <v>CAPACOILA MAMANI, PERCY</v>
          </cell>
          <cell r="C195" t="str">
            <v>COMPRESORISTA</v>
          </cell>
          <cell r="D195">
            <v>23</v>
          </cell>
          <cell r="G195">
            <v>36543</v>
          </cell>
          <cell r="I195" t="str">
            <v>HORIZONTE</v>
          </cell>
          <cell r="L195">
            <v>26</v>
          </cell>
          <cell r="M195">
            <v>12</v>
          </cell>
          <cell r="N195">
            <v>4</v>
          </cell>
          <cell r="O195">
            <v>0</v>
          </cell>
          <cell r="P195">
            <v>1</v>
          </cell>
          <cell r="S195">
            <v>598</v>
          </cell>
          <cell r="T195">
            <v>45.693750000000001</v>
          </cell>
          <cell r="U195">
            <v>92</v>
          </cell>
          <cell r="V195">
            <v>0</v>
          </cell>
          <cell r="W195">
            <v>23</v>
          </cell>
          <cell r="X195">
            <v>0</v>
          </cell>
          <cell r="Z195">
            <v>41</v>
          </cell>
          <cell r="AA195">
            <v>799.69375000000002</v>
          </cell>
          <cell r="AC195">
            <v>63.975500000000004</v>
          </cell>
          <cell r="AD195">
            <v>18.392956250000001</v>
          </cell>
          <cell r="AE195">
            <v>11.51559</v>
          </cell>
          <cell r="AG195">
            <v>93.884046250000011</v>
          </cell>
          <cell r="AH195">
            <v>705.80970375000004</v>
          </cell>
          <cell r="AI195">
            <v>71.972437499999998</v>
          </cell>
          <cell r="AJ195">
            <v>15.993875000000001</v>
          </cell>
          <cell r="AK195">
            <v>13.91467125</v>
          </cell>
          <cell r="AL195">
            <v>101.88098375</v>
          </cell>
          <cell r="AM195">
            <v>697.81276624999998</v>
          </cell>
        </row>
        <row r="196">
          <cell r="A196">
            <v>61</v>
          </cell>
          <cell r="B196" t="str">
            <v>CASTILLO BENAVIDES JOSE</v>
          </cell>
          <cell r="C196" t="str">
            <v>AYTE TOPOGRAFO</v>
          </cell>
          <cell r="D196">
            <v>26</v>
          </cell>
          <cell r="G196">
            <v>36770</v>
          </cell>
          <cell r="I196" t="str">
            <v>PROFUTURO</v>
          </cell>
          <cell r="L196">
            <v>22</v>
          </cell>
          <cell r="M196">
            <v>0</v>
          </cell>
          <cell r="N196">
            <v>3</v>
          </cell>
          <cell r="O196">
            <v>0.33333333333333331</v>
          </cell>
          <cell r="P196">
            <v>1</v>
          </cell>
          <cell r="S196">
            <v>572</v>
          </cell>
          <cell r="T196">
            <v>0</v>
          </cell>
          <cell r="U196">
            <v>78</v>
          </cell>
          <cell r="V196">
            <v>1.4444444444444442</v>
          </cell>
          <cell r="W196">
            <v>26</v>
          </cell>
          <cell r="X196">
            <v>0</v>
          </cell>
          <cell r="Z196">
            <v>41</v>
          </cell>
          <cell r="AA196">
            <v>718.44444444444446</v>
          </cell>
          <cell r="AC196">
            <v>57.475555555555559</v>
          </cell>
          <cell r="AD196">
            <v>17.961111111111112</v>
          </cell>
          <cell r="AE196">
            <v>9.339777777777778</v>
          </cell>
          <cell r="AG196">
            <v>84.776444444444451</v>
          </cell>
          <cell r="AH196">
            <v>633.66800000000001</v>
          </cell>
          <cell r="AI196">
            <v>64.66</v>
          </cell>
          <cell r="AJ196">
            <v>14.36888888888889</v>
          </cell>
          <cell r="AK196">
            <v>12.500933333333332</v>
          </cell>
          <cell r="AL196">
            <v>91.529822222222222</v>
          </cell>
          <cell r="AM196">
            <v>626.91462222222219</v>
          </cell>
        </row>
        <row r="197">
          <cell r="A197">
            <v>62</v>
          </cell>
          <cell r="B197" t="str">
            <v>CUTIPA MOLLO ROLANDO  MAURO</v>
          </cell>
          <cell r="C197" t="str">
            <v>AYDTE. SEGURIDAD</v>
          </cell>
          <cell r="D197">
            <v>26</v>
          </cell>
          <cell r="G197">
            <v>36835</v>
          </cell>
          <cell r="I197" t="str">
            <v>UNION</v>
          </cell>
          <cell r="J197">
            <v>0</v>
          </cell>
          <cell r="L197">
            <v>4</v>
          </cell>
          <cell r="M197">
            <v>0</v>
          </cell>
          <cell r="N197">
            <v>0</v>
          </cell>
          <cell r="O197">
            <v>0.83333333333333337</v>
          </cell>
          <cell r="P197">
            <v>1</v>
          </cell>
          <cell r="S197">
            <v>104</v>
          </cell>
          <cell r="T197">
            <v>0</v>
          </cell>
          <cell r="U197">
            <v>0</v>
          </cell>
          <cell r="V197">
            <v>3.6111111111111112</v>
          </cell>
          <cell r="W197">
            <v>26</v>
          </cell>
          <cell r="X197">
            <v>0</v>
          </cell>
          <cell r="Z197">
            <v>41</v>
          </cell>
          <cell r="AA197">
            <v>174.61111111111111</v>
          </cell>
          <cell r="AC197">
            <v>13.968888888888889</v>
          </cell>
          <cell r="AD197">
            <v>4.1732055555555556</v>
          </cell>
          <cell r="AE197">
            <v>2.2350222222222222</v>
          </cell>
          <cell r="AG197">
            <v>20.377116666666669</v>
          </cell>
          <cell r="AH197">
            <v>154.23399444444445</v>
          </cell>
          <cell r="AI197">
            <v>15.715</v>
          </cell>
          <cell r="AJ197">
            <v>3.4922222222222223</v>
          </cell>
          <cell r="AK197">
            <v>3.0382333333333333</v>
          </cell>
          <cell r="AL197">
            <v>22.245455555555555</v>
          </cell>
          <cell r="AM197">
            <v>152.36565555555555</v>
          </cell>
        </row>
        <row r="198">
          <cell r="A198">
            <v>63</v>
          </cell>
          <cell r="B198" t="str">
            <v>CHOQUE MAURI, ESTEBAN</v>
          </cell>
          <cell r="C198" t="str">
            <v>MECANICO</v>
          </cell>
          <cell r="D198">
            <v>28</v>
          </cell>
          <cell r="G198">
            <v>37028</v>
          </cell>
          <cell r="I198" t="str">
            <v>ONP</v>
          </cell>
          <cell r="L198">
            <v>26</v>
          </cell>
          <cell r="M198">
            <v>19</v>
          </cell>
          <cell r="N198">
            <v>4</v>
          </cell>
          <cell r="O198">
            <v>0</v>
          </cell>
          <cell r="P198">
            <v>1</v>
          </cell>
          <cell r="S198">
            <v>728</v>
          </cell>
          <cell r="T198">
            <v>87.192187499999989</v>
          </cell>
          <cell r="U198">
            <v>112</v>
          </cell>
          <cell r="V198">
            <v>0</v>
          </cell>
          <cell r="W198">
            <v>28</v>
          </cell>
          <cell r="X198">
            <v>0</v>
          </cell>
          <cell r="Z198">
            <v>41</v>
          </cell>
          <cell r="AA198">
            <v>996.19218750000005</v>
          </cell>
          <cell r="AB198">
            <v>129.50498437500002</v>
          </cell>
          <cell r="AG198">
            <v>129.50498437500002</v>
          </cell>
          <cell r="AH198">
            <v>866.687203125</v>
          </cell>
          <cell r="AI198">
            <v>89.657296875</v>
          </cell>
          <cell r="AJ198">
            <v>19.92384375</v>
          </cell>
          <cell r="AK198">
            <v>17.333744062499999</v>
          </cell>
          <cell r="AL198">
            <v>126.91488468750001</v>
          </cell>
          <cell r="AM198">
            <v>869.27730281250001</v>
          </cell>
        </row>
        <row r="199">
          <cell r="A199">
            <v>64</v>
          </cell>
          <cell r="B199" t="str">
            <v>CHUMBES GALA , PERCY</v>
          </cell>
          <cell r="C199" t="str">
            <v>OPER PLANTA</v>
          </cell>
          <cell r="D199">
            <v>23</v>
          </cell>
          <cell r="G199">
            <v>36994</v>
          </cell>
          <cell r="I199" t="str">
            <v>UNION</v>
          </cell>
          <cell r="L199">
            <v>26</v>
          </cell>
          <cell r="M199">
            <v>12</v>
          </cell>
          <cell r="N199">
            <v>4</v>
          </cell>
          <cell r="O199">
            <v>0</v>
          </cell>
          <cell r="P199">
            <v>1</v>
          </cell>
          <cell r="S199">
            <v>598</v>
          </cell>
          <cell r="T199">
            <v>45.693750000000001</v>
          </cell>
          <cell r="U199">
            <v>92</v>
          </cell>
          <cell r="V199">
            <v>0</v>
          </cell>
          <cell r="W199">
            <v>23</v>
          </cell>
          <cell r="X199">
            <v>0</v>
          </cell>
          <cell r="Z199">
            <v>41</v>
          </cell>
          <cell r="AA199">
            <v>799.69375000000002</v>
          </cell>
          <cell r="AC199">
            <v>63.975500000000004</v>
          </cell>
          <cell r="AD199">
            <v>19.112680625000003</v>
          </cell>
          <cell r="AE199">
            <v>10.236080000000001</v>
          </cell>
          <cell r="AG199">
            <v>93.324260625000008</v>
          </cell>
          <cell r="AH199">
            <v>706.36948937500006</v>
          </cell>
          <cell r="AI199">
            <v>71.972437499999998</v>
          </cell>
          <cell r="AJ199">
            <v>15.993875000000001</v>
          </cell>
          <cell r="AK199">
            <v>13.91467125</v>
          </cell>
          <cell r="AL199">
            <v>101.88098375</v>
          </cell>
          <cell r="AM199">
            <v>697.81276624999998</v>
          </cell>
        </row>
        <row r="200">
          <cell r="A200">
            <v>65</v>
          </cell>
          <cell r="B200" t="str">
            <v>DUEÑAS BONIFACIO, VICTOR</v>
          </cell>
          <cell r="C200" t="str">
            <v>COCINERO</v>
          </cell>
          <cell r="D200">
            <v>23</v>
          </cell>
          <cell r="G200">
            <v>37125</v>
          </cell>
          <cell r="I200" t="str">
            <v>ONP</v>
          </cell>
          <cell r="L200">
            <v>26</v>
          </cell>
          <cell r="M200">
            <v>12</v>
          </cell>
          <cell r="N200">
            <v>4</v>
          </cell>
          <cell r="O200">
            <v>0</v>
          </cell>
          <cell r="P200">
            <v>1</v>
          </cell>
          <cell r="S200">
            <v>598</v>
          </cell>
          <cell r="T200">
            <v>45.693750000000001</v>
          </cell>
          <cell r="U200">
            <v>92</v>
          </cell>
          <cell r="V200">
            <v>0</v>
          </cell>
          <cell r="W200">
            <v>23</v>
          </cell>
          <cell r="X200">
            <v>0</v>
          </cell>
          <cell r="Z200">
            <v>41</v>
          </cell>
          <cell r="AA200">
            <v>799.69375000000002</v>
          </cell>
          <cell r="AB200">
            <v>103.9601875</v>
          </cell>
          <cell r="AG200">
            <v>103.9601875</v>
          </cell>
          <cell r="AH200">
            <v>695.73356250000006</v>
          </cell>
          <cell r="AI200">
            <v>71.972437499999998</v>
          </cell>
          <cell r="AJ200">
            <v>15.993875000000001</v>
          </cell>
          <cell r="AK200">
            <v>13.91467125</v>
          </cell>
          <cell r="AL200">
            <v>101.88098375</v>
          </cell>
          <cell r="AM200">
            <v>697.81276624999998</v>
          </cell>
        </row>
        <row r="201">
          <cell r="A201">
            <v>66</v>
          </cell>
          <cell r="B201" t="str">
            <v>ENRIQUEZ QUISPE ELEODORO</v>
          </cell>
          <cell r="C201" t="str">
            <v>ELECTRICISTA</v>
          </cell>
          <cell r="D201">
            <v>30</v>
          </cell>
          <cell r="G201">
            <v>36270</v>
          </cell>
          <cell r="I201" t="str">
            <v>UNION</v>
          </cell>
          <cell r="L201">
            <v>26</v>
          </cell>
          <cell r="M201">
            <v>12</v>
          </cell>
          <cell r="N201">
            <v>4</v>
          </cell>
          <cell r="O201">
            <v>0</v>
          </cell>
          <cell r="P201">
            <v>1</v>
          </cell>
          <cell r="S201">
            <v>780</v>
          </cell>
          <cell r="T201">
            <v>58.818750000000001</v>
          </cell>
          <cell r="U201">
            <v>120</v>
          </cell>
          <cell r="V201">
            <v>0</v>
          </cell>
          <cell r="W201">
            <v>30</v>
          </cell>
          <cell r="X201">
            <v>0</v>
          </cell>
          <cell r="Z201">
            <v>41</v>
          </cell>
          <cell r="AA201">
            <v>1029.8187499999999</v>
          </cell>
          <cell r="AC201">
            <v>82.385499999999993</v>
          </cell>
          <cell r="AD201">
            <v>24.612668124999999</v>
          </cell>
          <cell r="AE201">
            <v>13.18168</v>
          </cell>
          <cell r="AG201">
            <v>120.17984812499999</v>
          </cell>
          <cell r="AH201">
            <v>909.63890187499987</v>
          </cell>
          <cell r="AI201">
            <v>92.683687499999991</v>
          </cell>
          <cell r="AJ201">
            <v>20.596374999999998</v>
          </cell>
          <cell r="AK201">
            <v>17.918846249999998</v>
          </cell>
          <cell r="AL201">
            <v>131.19890874999999</v>
          </cell>
          <cell r="AM201">
            <v>898.61984124999992</v>
          </cell>
        </row>
        <row r="202">
          <cell r="A202">
            <v>67</v>
          </cell>
          <cell r="B202" t="str">
            <v>ESCOBAR QUISPE MAGNOLIA</v>
          </cell>
          <cell r="C202" t="str">
            <v>AUXILIAR DE ENF.</v>
          </cell>
          <cell r="D202">
            <v>25</v>
          </cell>
          <cell r="G202">
            <v>37118</v>
          </cell>
          <cell r="I202" t="str">
            <v>PROFUTURO</v>
          </cell>
          <cell r="L202">
            <v>26</v>
          </cell>
          <cell r="M202">
            <v>12</v>
          </cell>
          <cell r="N202">
            <v>4</v>
          </cell>
          <cell r="O202">
            <v>0</v>
          </cell>
          <cell r="P202">
            <v>1</v>
          </cell>
          <cell r="S202">
            <v>650</v>
          </cell>
          <cell r="T202">
            <v>49.443750000000001</v>
          </cell>
          <cell r="U202">
            <v>100</v>
          </cell>
          <cell r="V202">
            <v>0</v>
          </cell>
          <cell r="W202">
            <v>25</v>
          </cell>
          <cell r="X202">
            <v>0</v>
          </cell>
          <cell r="Z202">
            <v>41</v>
          </cell>
          <cell r="AA202">
            <v>865.44375000000002</v>
          </cell>
          <cell r="AC202">
            <v>69.235500000000002</v>
          </cell>
          <cell r="AD202">
            <v>21.636093750000001</v>
          </cell>
          <cell r="AE202">
            <v>11.250768750000001</v>
          </cell>
          <cell r="AG202">
            <v>102.12236250000001</v>
          </cell>
          <cell r="AH202">
            <v>763.32138750000001</v>
          </cell>
          <cell r="AI202">
            <v>77.889937500000002</v>
          </cell>
          <cell r="AJ202">
            <v>17.308875</v>
          </cell>
          <cell r="AK202">
            <v>15.05872125</v>
          </cell>
          <cell r="AL202">
            <v>110.25753375000001</v>
          </cell>
          <cell r="AM202">
            <v>755.18621625000003</v>
          </cell>
        </row>
        <row r="203">
          <cell r="A203">
            <v>68</v>
          </cell>
          <cell r="B203" t="str">
            <v>GARAY YACHI, RUBEN</v>
          </cell>
          <cell r="C203" t="str">
            <v>OPER PLANTA</v>
          </cell>
          <cell r="D203">
            <v>23</v>
          </cell>
          <cell r="G203">
            <v>37032</v>
          </cell>
          <cell r="I203" t="str">
            <v>HORIZONTE</v>
          </cell>
          <cell r="L203">
            <v>26</v>
          </cell>
          <cell r="M203">
            <v>12</v>
          </cell>
          <cell r="N203">
            <v>4</v>
          </cell>
          <cell r="O203">
            <v>0</v>
          </cell>
          <cell r="P203">
            <v>1</v>
          </cell>
          <cell r="S203">
            <v>598</v>
          </cell>
          <cell r="T203">
            <v>45.693750000000001</v>
          </cell>
          <cell r="U203">
            <v>92</v>
          </cell>
          <cell r="V203">
            <v>0</v>
          </cell>
          <cell r="W203">
            <v>23</v>
          </cell>
          <cell r="X203">
            <v>0</v>
          </cell>
          <cell r="Z203">
            <v>41</v>
          </cell>
          <cell r="AA203">
            <v>799.69375000000002</v>
          </cell>
          <cell r="AC203">
            <v>63.975500000000004</v>
          </cell>
          <cell r="AD203">
            <v>18.392956250000001</v>
          </cell>
          <cell r="AE203">
            <v>11.51559</v>
          </cell>
          <cell r="AG203">
            <v>93.884046250000011</v>
          </cell>
          <cell r="AH203">
            <v>705.80970375000004</v>
          </cell>
          <cell r="AI203">
            <v>71.972437499999998</v>
          </cell>
          <cell r="AJ203">
            <v>15.993875000000001</v>
          </cell>
          <cell r="AK203">
            <v>13.91467125</v>
          </cell>
          <cell r="AL203">
            <v>101.88098375</v>
          </cell>
          <cell r="AM203">
            <v>697.81276624999998</v>
          </cell>
        </row>
        <row r="204">
          <cell r="A204">
            <v>69</v>
          </cell>
          <cell r="B204" t="str">
            <v>GOMEZ ALMORA URBANO</v>
          </cell>
          <cell r="C204" t="str">
            <v>MUESTRERO</v>
          </cell>
          <cell r="D204">
            <v>28</v>
          </cell>
          <cell r="G204">
            <v>36168</v>
          </cell>
          <cell r="I204" t="str">
            <v>HORIZONTE</v>
          </cell>
          <cell r="L204">
            <v>26</v>
          </cell>
          <cell r="M204">
            <v>12</v>
          </cell>
          <cell r="N204">
            <v>4</v>
          </cell>
          <cell r="O204">
            <v>0</v>
          </cell>
          <cell r="P204">
            <v>1</v>
          </cell>
          <cell r="S204">
            <v>728</v>
          </cell>
          <cell r="T204">
            <v>55.068750000000001</v>
          </cell>
          <cell r="U204">
            <v>112</v>
          </cell>
          <cell r="V204">
            <v>0</v>
          </cell>
          <cell r="W204">
            <v>28</v>
          </cell>
          <cell r="X204">
            <v>0</v>
          </cell>
          <cell r="Z204">
            <v>41</v>
          </cell>
          <cell r="AA204">
            <v>964.06875000000002</v>
          </cell>
          <cell r="AC204">
            <v>77.125500000000002</v>
          </cell>
          <cell r="AD204">
            <v>22.173581250000002</v>
          </cell>
          <cell r="AE204">
            <v>13.88259</v>
          </cell>
          <cell r="AG204">
            <v>113.18167124999999</v>
          </cell>
          <cell r="AH204">
            <v>850.88707875</v>
          </cell>
          <cell r="AI204">
            <v>86.766187500000001</v>
          </cell>
          <cell r="AJ204">
            <v>19.281375000000001</v>
          </cell>
          <cell r="AK204">
            <v>16.774796249999998</v>
          </cell>
          <cell r="AL204">
            <v>122.82235874999999</v>
          </cell>
          <cell r="AM204">
            <v>841.24639124999999</v>
          </cell>
        </row>
        <row r="205">
          <cell r="A205">
            <v>70</v>
          </cell>
          <cell r="B205" t="str">
            <v>HUAMAN RAMOS, JUAN  SEBASTIAN</v>
          </cell>
          <cell r="C205" t="str">
            <v>MECANICO</v>
          </cell>
          <cell r="D205">
            <v>28</v>
          </cell>
          <cell r="G205">
            <v>37033</v>
          </cell>
          <cell r="I205" t="str">
            <v>ONP</v>
          </cell>
          <cell r="L205">
            <v>26</v>
          </cell>
          <cell r="M205">
            <v>12</v>
          </cell>
          <cell r="N205">
            <v>4</v>
          </cell>
          <cell r="O205">
            <v>0</v>
          </cell>
          <cell r="P205">
            <v>1</v>
          </cell>
          <cell r="S205">
            <v>728</v>
          </cell>
          <cell r="T205">
            <v>55.068750000000001</v>
          </cell>
          <cell r="U205">
            <v>112</v>
          </cell>
          <cell r="V205">
            <v>0</v>
          </cell>
          <cell r="W205">
            <v>28</v>
          </cell>
          <cell r="X205">
            <v>0</v>
          </cell>
          <cell r="Z205">
            <v>41</v>
          </cell>
          <cell r="AA205">
            <v>964.06875000000002</v>
          </cell>
          <cell r="AB205">
            <v>125.32893750000001</v>
          </cell>
          <cell r="AG205">
            <v>125.32893750000001</v>
          </cell>
          <cell r="AH205">
            <v>838.73981249999997</v>
          </cell>
          <cell r="AI205">
            <v>86.766187500000001</v>
          </cell>
          <cell r="AJ205">
            <v>19.281375000000001</v>
          </cell>
          <cell r="AK205">
            <v>16.774796249999998</v>
          </cell>
          <cell r="AL205">
            <v>122.82235874999999</v>
          </cell>
          <cell r="AM205">
            <v>841.24639124999999</v>
          </cell>
        </row>
        <row r="206">
          <cell r="A206">
            <v>71</v>
          </cell>
          <cell r="B206" t="str">
            <v>HUAMANI CAHUANA, ARMANDO</v>
          </cell>
          <cell r="C206" t="str">
            <v>MUESTRERO</v>
          </cell>
          <cell r="D206">
            <v>28</v>
          </cell>
          <cell r="G206">
            <v>37127</v>
          </cell>
          <cell r="I206" t="str">
            <v>ONP</v>
          </cell>
          <cell r="L206">
            <v>25</v>
          </cell>
          <cell r="M206">
            <v>9</v>
          </cell>
          <cell r="N206">
            <v>3</v>
          </cell>
          <cell r="O206">
            <v>0.83333333333333337</v>
          </cell>
          <cell r="P206">
            <v>1</v>
          </cell>
          <cell r="S206">
            <v>700</v>
          </cell>
          <cell r="T206">
            <v>41.301562499999996</v>
          </cell>
          <cell r="U206">
            <v>84</v>
          </cell>
          <cell r="V206">
            <v>3.8888888888888893</v>
          </cell>
          <cell r="W206">
            <v>28</v>
          </cell>
          <cell r="X206">
            <v>0</v>
          </cell>
          <cell r="Z206">
            <v>41</v>
          </cell>
          <cell r="AA206">
            <v>898.19045138888896</v>
          </cell>
          <cell r="AB206">
            <v>116.76475868055557</v>
          </cell>
          <cell r="AG206">
            <v>116.76475868055557</v>
          </cell>
          <cell r="AH206">
            <v>781.42569270833337</v>
          </cell>
          <cell r="AI206">
            <v>80.837140625000004</v>
          </cell>
          <cell r="AJ206">
            <v>17.963809027777781</v>
          </cell>
          <cell r="AK206">
            <v>15.628513854166666</v>
          </cell>
          <cell r="AL206">
            <v>114.42946350694446</v>
          </cell>
          <cell r="AM206">
            <v>783.76098788194452</v>
          </cell>
        </row>
        <row r="207">
          <cell r="A207">
            <v>72</v>
          </cell>
          <cell r="B207" t="str">
            <v>HUAMANI PINARES ZENON</v>
          </cell>
          <cell r="C207" t="str">
            <v>COMPRENSORA</v>
          </cell>
          <cell r="D207">
            <v>25</v>
          </cell>
          <cell r="G207">
            <v>35796</v>
          </cell>
          <cell r="I207" t="str">
            <v>INTEGRA</v>
          </cell>
          <cell r="L207">
            <v>26</v>
          </cell>
          <cell r="M207">
            <v>12</v>
          </cell>
          <cell r="N207">
            <v>4</v>
          </cell>
          <cell r="O207">
            <v>0</v>
          </cell>
          <cell r="P207">
            <v>1</v>
          </cell>
          <cell r="S207">
            <v>650</v>
          </cell>
          <cell r="T207">
            <v>49.443750000000001</v>
          </cell>
          <cell r="U207">
            <v>100</v>
          </cell>
          <cell r="V207">
            <v>0</v>
          </cell>
          <cell r="W207">
            <v>25</v>
          </cell>
          <cell r="X207">
            <v>0</v>
          </cell>
          <cell r="Z207">
            <v>41</v>
          </cell>
          <cell r="AA207">
            <v>865.44375000000002</v>
          </cell>
          <cell r="AC207">
            <v>69.235500000000002</v>
          </cell>
          <cell r="AD207">
            <v>20.337928125000001</v>
          </cell>
          <cell r="AE207">
            <v>11.683490625000001</v>
          </cell>
          <cell r="AG207">
            <v>101.25691875000001</v>
          </cell>
          <cell r="AH207">
            <v>764.18683125000007</v>
          </cell>
          <cell r="AI207">
            <v>77.889937500000002</v>
          </cell>
          <cell r="AJ207">
            <v>17.308875</v>
          </cell>
          <cell r="AK207">
            <v>15.05872125</v>
          </cell>
          <cell r="AL207">
            <v>110.25753375000001</v>
          </cell>
          <cell r="AM207">
            <v>755.18621625000003</v>
          </cell>
        </row>
        <row r="208">
          <cell r="A208">
            <v>73</v>
          </cell>
          <cell r="B208" t="str">
            <v>HUANACUNE ASENCIO, HUGO</v>
          </cell>
          <cell r="C208" t="str">
            <v>MUESTRERO</v>
          </cell>
          <cell r="D208">
            <v>26</v>
          </cell>
          <cell r="G208">
            <v>36567</v>
          </cell>
          <cell r="I208" t="str">
            <v>UNION</v>
          </cell>
          <cell r="L208">
            <v>26</v>
          </cell>
          <cell r="M208">
            <v>12</v>
          </cell>
          <cell r="N208">
            <v>4</v>
          </cell>
          <cell r="O208">
            <v>0</v>
          </cell>
          <cell r="P208">
            <v>1</v>
          </cell>
          <cell r="S208">
            <v>676</v>
          </cell>
          <cell r="T208">
            <v>51.318750000000001</v>
          </cell>
          <cell r="U208">
            <v>104</v>
          </cell>
          <cell r="V208">
            <v>0</v>
          </cell>
          <cell r="W208">
            <v>26</v>
          </cell>
          <cell r="X208">
            <v>0</v>
          </cell>
          <cell r="Z208">
            <v>41</v>
          </cell>
          <cell r="AA208">
            <v>898.31875000000002</v>
          </cell>
          <cell r="AC208">
            <v>71.865499999999997</v>
          </cell>
          <cell r="AD208">
            <v>21.469818125000003</v>
          </cell>
          <cell r="AE208">
            <v>11.498480000000001</v>
          </cell>
          <cell r="AG208">
            <v>104.833798125</v>
          </cell>
          <cell r="AH208">
            <v>793.48495187499998</v>
          </cell>
          <cell r="AI208">
            <v>80.848687499999997</v>
          </cell>
          <cell r="AJ208">
            <v>17.966374999999999</v>
          </cell>
          <cell r="AK208">
            <v>15.63074625</v>
          </cell>
          <cell r="AL208">
            <v>114.44580875</v>
          </cell>
          <cell r="AM208">
            <v>783.87294125000005</v>
          </cell>
        </row>
        <row r="209">
          <cell r="A209">
            <v>74</v>
          </cell>
          <cell r="B209" t="str">
            <v>LABRA MAMANI DAVID</v>
          </cell>
          <cell r="C209" t="str">
            <v>ELECTRICISTA</v>
          </cell>
          <cell r="D209">
            <v>28</v>
          </cell>
          <cell r="G209">
            <v>36800</v>
          </cell>
          <cell r="I209" t="str">
            <v>UNION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Z209">
            <v>0</v>
          </cell>
          <cell r="AA209">
            <v>0</v>
          </cell>
          <cell r="AC209">
            <v>0</v>
          </cell>
          <cell r="AD209">
            <v>0</v>
          </cell>
          <cell r="AE209">
            <v>0</v>
          </cell>
          <cell r="AG209">
            <v>0</v>
          </cell>
          <cell r="AH209">
            <v>0</v>
          </cell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</row>
        <row r="210">
          <cell r="A210">
            <v>75</v>
          </cell>
          <cell r="B210" t="str">
            <v>MAGUIÑA MELGAREJO, CESAR FELIX</v>
          </cell>
          <cell r="C210" t="str">
            <v>TOPOGRAFO</v>
          </cell>
          <cell r="D210">
            <v>28</v>
          </cell>
          <cell r="G210">
            <v>36404</v>
          </cell>
          <cell r="I210" t="str">
            <v>UNION</v>
          </cell>
          <cell r="L210">
            <v>26</v>
          </cell>
          <cell r="M210">
            <v>12</v>
          </cell>
          <cell r="N210">
            <v>4</v>
          </cell>
          <cell r="O210">
            <v>0</v>
          </cell>
          <cell r="P210">
            <v>1</v>
          </cell>
          <cell r="S210">
            <v>728</v>
          </cell>
          <cell r="T210">
            <v>55.068750000000001</v>
          </cell>
          <cell r="U210">
            <v>112</v>
          </cell>
          <cell r="V210">
            <v>0</v>
          </cell>
          <cell r="W210">
            <v>28</v>
          </cell>
          <cell r="X210">
            <v>0</v>
          </cell>
          <cell r="Z210">
            <v>41</v>
          </cell>
          <cell r="AA210">
            <v>964.06875000000002</v>
          </cell>
          <cell r="AC210">
            <v>77.125500000000002</v>
          </cell>
          <cell r="AD210">
            <v>23.041243125000001</v>
          </cell>
          <cell r="AE210">
            <v>12.34008</v>
          </cell>
          <cell r="AG210">
            <v>112.50682312500001</v>
          </cell>
          <cell r="AH210">
            <v>851.56192687500004</v>
          </cell>
          <cell r="AI210">
            <v>86.766187500000001</v>
          </cell>
          <cell r="AJ210">
            <v>19.281375000000001</v>
          </cell>
          <cell r="AK210">
            <v>16.774796249999998</v>
          </cell>
          <cell r="AL210">
            <v>122.82235874999999</v>
          </cell>
          <cell r="AM210">
            <v>841.24639124999999</v>
          </cell>
        </row>
        <row r="211">
          <cell r="A211">
            <v>76</v>
          </cell>
          <cell r="B211" t="str">
            <v>MARTINEZ QUISPE, VICTOR MARCELINO</v>
          </cell>
          <cell r="C211" t="str">
            <v>OPER  SULZER</v>
          </cell>
          <cell r="D211">
            <v>28</v>
          </cell>
          <cell r="G211">
            <v>37032</v>
          </cell>
          <cell r="I211" t="str">
            <v>UNION</v>
          </cell>
          <cell r="L211">
            <v>26</v>
          </cell>
          <cell r="M211">
            <v>12</v>
          </cell>
          <cell r="N211">
            <v>4</v>
          </cell>
          <cell r="O211">
            <v>0</v>
          </cell>
          <cell r="P211">
            <v>1</v>
          </cell>
          <cell r="S211">
            <v>728</v>
          </cell>
          <cell r="T211">
            <v>55.068750000000001</v>
          </cell>
          <cell r="U211">
            <v>112</v>
          </cell>
          <cell r="V211">
            <v>0</v>
          </cell>
          <cell r="W211">
            <v>28</v>
          </cell>
          <cell r="X211">
            <v>0</v>
          </cell>
          <cell r="Z211">
            <v>41</v>
          </cell>
          <cell r="AA211">
            <v>964.06875000000002</v>
          </cell>
          <cell r="AC211">
            <v>77.125500000000002</v>
          </cell>
          <cell r="AD211">
            <v>23.041243125000001</v>
          </cell>
          <cell r="AE211">
            <v>12.34008</v>
          </cell>
          <cell r="AG211">
            <v>112.50682312500001</v>
          </cell>
          <cell r="AH211">
            <v>851.56192687500004</v>
          </cell>
          <cell r="AI211">
            <v>86.766187500000001</v>
          </cell>
          <cell r="AJ211">
            <v>19.281375000000001</v>
          </cell>
          <cell r="AK211">
            <v>16.774796249999998</v>
          </cell>
          <cell r="AL211">
            <v>122.82235874999999</v>
          </cell>
          <cell r="AM211">
            <v>841.24639124999999</v>
          </cell>
        </row>
        <row r="212">
          <cell r="A212">
            <v>77</v>
          </cell>
          <cell r="B212" t="str">
            <v>MESARINA JARAMILLO ISAIAS RICARDO</v>
          </cell>
          <cell r="C212" t="str">
            <v>COMPRESORISTA</v>
          </cell>
          <cell r="D212">
            <v>25</v>
          </cell>
          <cell r="G212">
            <v>36088</v>
          </cell>
          <cell r="I212" t="str">
            <v>UNION</v>
          </cell>
          <cell r="L212">
            <v>26</v>
          </cell>
          <cell r="M212">
            <v>12</v>
          </cell>
          <cell r="N212">
            <v>4</v>
          </cell>
          <cell r="O212">
            <v>0</v>
          </cell>
          <cell r="P212">
            <v>1</v>
          </cell>
          <cell r="S212">
            <v>650</v>
          </cell>
          <cell r="T212">
            <v>49.443750000000001</v>
          </cell>
          <cell r="U212">
            <v>100</v>
          </cell>
          <cell r="V212">
            <v>0</v>
          </cell>
          <cell r="W212">
            <v>25</v>
          </cell>
          <cell r="X212">
            <v>0</v>
          </cell>
          <cell r="Z212">
            <v>41</v>
          </cell>
          <cell r="AA212">
            <v>865.44375000000002</v>
          </cell>
          <cell r="AC212">
            <v>69.235500000000002</v>
          </cell>
          <cell r="AD212">
            <v>20.684105625000001</v>
          </cell>
          <cell r="AE212">
            <v>11.077680000000001</v>
          </cell>
          <cell r="AG212">
            <v>100.997285625</v>
          </cell>
          <cell r="AH212">
            <v>764.44646437500001</v>
          </cell>
          <cell r="AI212">
            <v>77.889937500000002</v>
          </cell>
          <cell r="AJ212">
            <v>17.308875</v>
          </cell>
          <cell r="AK212">
            <v>15.05872125</v>
          </cell>
          <cell r="AL212">
            <v>110.25753375000001</v>
          </cell>
          <cell r="AM212">
            <v>755.18621625000003</v>
          </cell>
        </row>
        <row r="213">
          <cell r="A213">
            <v>78</v>
          </cell>
          <cell r="B213" t="str">
            <v>OSORIO CHAMORRO ROGER</v>
          </cell>
          <cell r="C213" t="str">
            <v>SUPERVISOR</v>
          </cell>
          <cell r="D213">
            <v>30</v>
          </cell>
          <cell r="G213">
            <v>37209</v>
          </cell>
          <cell r="I213" t="str">
            <v>UNION</v>
          </cell>
          <cell r="L213">
            <v>26</v>
          </cell>
          <cell r="M213">
            <v>24</v>
          </cell>
          <cell r="N213">
            <v>4</v>
          </cell>
          <cell r="O213">
            <v>0</v>
          </cell>
          <cell r="P213">
            <v>1</v>
          </cell>
          <cell r="S213">
            <v>780</v>
          </cell>
          <cell r="T213">
            <v>112.5</v>
          </cell>
          <cell r="U213">
            <v>120</v>
          </cell>
          <cell r="V213">
            <v>0</v>
          </cell>
          <cell r="W213">
            <v>30</v>
          </cell>
          <cell r="X213">
            <v>0</v>
          </cell>
          <cell r="Z213">
            <v>0</v>
          </cell>
          <cell r="AA213">
            <v>1042.5</v>
          </cell>
          <cell r="AC213">
            <v>83.4</v>
          </cell>
          <cell r="AD213">
            <v>24.498750000000001</v>
          </cell>
          <cell r="AE213">
            <v>14.073750000000002</v>
          </cell>
          <cell r="AG213">
            <v>121.97250000000001</v>
          </cell>
          <cell r="AH213">
            <v>920.52750000000003</v>
          </cell>
          <cell r="AI213">
            <v>93.825000000000003</v>
          </cell>
          <cell r="AJ213">
            <v>20.85</v>
          </cell>
          <cell r="AK213">
            <v>18.139499999999998</v>
          </cell>
          <cell r="AL213">
            <v>132.81450000000001</v>
          </cell>
          <cell r="AM213">
            <v>909.68550000000005</v>
          </cell>
        </row>
        <row r="214">
          <cell r="A214">
            <v>79</v>
          </cell>
          <cell r="B214" t="str">
            <v>PACHECO COAQUIRA BUENAV</v>
          </cell>
          <cell r="C214" t="str">
            <v>OP. PIRAÑA</v>
          </cell>
          <cell r="D214">
            <v>28</v>
          </cell>
          <cell r="G214">
            <v>36105</v>
          </cell>
          <cell r="I214" t="str">
            <v>HORIZONTE</v>
          </cell>
          <cell r="L214">
            <v>26</v>
          </cell>
          <cell r="M214">
            <v>12</v>
          </cell>
          <cell r="N214">
            <v>4</v>
          </cell>
          <cell r="O214">
            <v>0</v>
          </cell>
          <cell r="P214">
            <v>1</v>
          </cell>
          <cell r="S214">
            <v>728</v>
          </cell>
          <cell r="T214">
            <v>55.068750000000001</v>
          </cell>
          <cell r="U214">
            <v>112</v>
          </cell>
          <cell r="V214">
            <v>0</v>
          </cell>
          <cell r="W214">
            <v>28</v>
          </cell>
          <cell r="X214">
            <v>0</v>
          </cell>
          <cell r="Z214">
            <v>0</v>
          </cell>
          <cell r="AA214">
            <v>923.06875000000002</v>
          </cell>
          <cell r="AC214">
            <v>73.845500000000001</v>
          </cell>
          <cell r="AD214">
            <v>21.23058125</v>
          </cell>
          <cell r="AE214">
            <v>13.29219</v>
          </cell>
          <cell r="AG214">
            <v>108.36827125000001</v>
          </cell>
          <cell r="AH214">
            <v>814.70047875</v>
          </cell>
          <cell r="AI214">
            <v>83.076187500000003</v>
          </cell>
          <cell r="AJ214">
            <v>18.461375</v>
          </cell>
          <cell r="AK214">
            <v>16.061396249999998</v>
          </cell>
          <cell r="AL214">
            <v>117.59895875000001</v>
          </cell>
          <cell r="AM214">
            <v>805.46979125000007</v>
          </cell>
        </row>
        <row r="215">
          <cell r="A215">
            <v>80</v>
          </cell>
          <cell r="B215" t="str">
            <v>PAQUIYAURI TOVAR, CESAR</v>
          </cell>
          <cell r="C215" t="str">
            <v>AYDTE. TRINCHERA</v>
          </cell>
          <cell r="D215">
            <v>26</v>
          </cell>
          <cell r="G215">
            <v>37028</v>
          </cell>
          <cell r="I215" t="str">
            <v>PROFUTURO</v>
          </cell>
          <cell r="L215">
            <v>19</v>
          </cell>
          <cell r="M215">
            <v>0</v>
          </cell>
          <cell r="N215">
            <v>3</v>
          </cell>
          <cell r="O215">
            <v>0.16666666666666666</v>
          </cell>
          <cell r="P215">
            <v>1</v>
          </cell>
          <cell r="S215">
            <v>494</v>
          </cell>
          <cell r="T215">
            <v>0</v>
          </cell>
          <cell r="U215">
            <v>78</v>
          </cell>
          <cell r="V215">
            <v>0.7222222222222221</v>
          </cell>
          <cell r="W215">
            <v>26</v>
          </cell>
          <cell r="X215">
            <v>0</v>
          </cell>
          <cell r="Z215">
            <v>0</v>
          </cell>
          <cell r="AA215">
            <v>598.72222222222217</v>
          </cell>
          <cell r="AC215">
            <v>47.897777777777776</v>
          </cell>
          <cell r="AD215">
            <v>14.968055555555555</v>
          </cell>
          <cell r="AE215">
            <v>7.7833888888888891</v>
          </cell>
          <cell r="AG215">
            <v>70.649222222222221</v>
          </cell>
          <cell r="AH215">
            <v>528.07299999999998</v>
          </cell>
          <cell r="AI215">
            <v>53.884999999999991</v>
          </cell>
          <cell r="AJ215">
            <v>11.974444444444444</v>
          </cell>
          <cell r="AK215">
            <v>10.417766666666665</v>
          </cell>
          <cell r="AL215">
            <v>76.2772111111111</v>
          </cell>
          <cell r="AM215">
            <v>522.44501111111106</v>
          </cell>
        </row>
        <row r="216">
          <cell r="A216">
            <v>81</v>
          </cell>
          <cell r="B216" t="str">
            <v>PARIENTE MAMANI ROSENDO</v>
          </cell>
          <cell r="C216" t="str">
            <v>MECANICO</v>
          </cell>
          <cell r="D216">
            <v>30</v>
          </cell>
          <cell r="G216">
            <v>36366</v>
          </cell>
          <cell r="I216" t="str">
            <v>ONP</v>
          </cell>
          <cell r="L216">
            <v>26</v>
          </cell>
          <cell r="M216">
            <v>18</v>
          </cell>
          <cell r="N216">
            <v>4</v>
          </cell>
          <cell r="O216">
            <v>0</v>
          </cell>
          <cell r="P216">
            <v>1</v>
          </cell>
          <cell r="S216">
            <v>780</v>
          </cell>
          <cell r="T216">
            <v>88.228124999999991</v>
          </cell>
          <cell r="U216">
            <v>120</v>
          </cell>
          <cell r="V216">
            <v>0</v>
          </cell>
          <cell r="W216">
            <v>30</v>
          </cell>
          <cell r="X216">
            <v>0</v>
          </cell>
          <cell r="Z216">
            <v>41</v>
          </cell>
          <cell r="AA216">
            <v>1059.2281250000001</v>
          </cell>
          <cell r="AB216">
            <v>137.69965625</v>
          </cell>
          <cell r="AG216">
            <v>137.69965625</v>
          </cell>
          <cell r="AH216">
            <v>921.52846875000012</v>
          </cell>
          <cell r="AI216">
            <v>95.330531250000007</v>
          </cell>
          <cell r="AJ216">
            <v>21.184562500000002</v>
          </cell>
          <cell r="AK216">
            <v>18.430569375000001</v>
          </cell>
          <cell r="AL216">
            <v>134.94566312500001</v>
          </cell>
          <cell r="AM216">
            <v>924.28246187500008</v>
          </cell>
        </row>
        <row r="217">
          <cell r="A217">
            <v>82</v>
          </cell>
          <cell r="B217" t="str">
            <v>ROQUE BRAVO, ELIAS DAVID</v>
          </cell>
          <cell r="C217" t="str">
            <v>OPERAOR PLANTA</v>
          </cell>
          <cell r="D217">
            <v>23</v>
          </cell>
          <cell r="G217">
            <v>37028</v>
          </cell>
          <cell r="I217" t="str">
            <v>UNION</v>
          </cell>
          <cell r="L217">
            <v>26</v>
          </cell>
          <cell r="M217">
            <v>12</v>
          </cell>
          <cell r="N217">
            <v>4</v>
          </cell>
          <cell r="O217">
            <v>0</v>
          </cell>
          <cell r="P217">
            <v>1</v>
          </cell>
          <cell r="S217">
            <v>598</v>
          </cell>
          <cell r="T217">
            <v>45.693750000000001</v>
          </cell>
          <cell r="U217">
            <v>92</v>
          </cell>
          <cell r="V217">
            <v>0</v>
          </cell>
          <cell r="W217">
            <v>23</v>
          </cell>
          <cell r="X217">
            <v>0</v>
          </cell>
          <cell r="Z217">
            <v>41</v>
          </cell>
          <cell r="AA217">
            <v>799.69375000000002</v>
          </cell>
          <cell r="AC217">
            <v>63.975500000000004</v>
          </cell>
          <cell r="AD217">
            <v>19.112680625000003</v>
          </cell>
          <cell r="AE217">
            <v>10.236080000000001</v>
          </cell>
          <cell r="AG217">
            <v>93.324260625000008</v>
          </cell>
          <cell r="AH217">
            <v>706.36948937500006</v>
          </cell>
          <cell r="AI217">
            <v>71.972437499999998</v>
          </cell>
          <cell r="AJ217">
            <v>15.993875000000001</v>
          </cell>
          <cell r="AK217">
            <v>13.91467125</v>
          </cell>
          <cell r="AL217">
            <v>101.88098375</v>
          </cell>
          <cell r="AM217">
            <v>697.81276624999998</v>
          </cell>
        </row>
        <row r="218">
          <cell r="A218">
            <v>83</v>
          </cell>
          <cell r="B218" t="str">
            <v>SEDANO MEZA JOSE</v>
          </cell>
          <cell r="C218" t="str">
            <v>AYUDANTE</v>
          </cell>
          <cell r="D218">
            <v>23</v>
          </cell>
          <cell r="G218">
            <v>37271</v>
          </cell>
          <cell r="I218" t="str">
            <v>UNION</v>
          </cell>
          <cell r="L218">
            <v>16</v>
          </cell>
          <cell r="M218">
            <v>0</v>
          </cell>
          <cell r="N218">
            <v>2</v>
          </cell>
          <cell r="O218">
            <v>0.66666666666666663</v>
          </cell>
          <cell r="P218">
            <v>0</v>
          </cell>
          <cell r="S218">
            <v>368</v>
          </cell>
          <cell r="T218">
            <v>0</v>
          </cell>
          <cell r="U218">
            <v>46</v>
          </cell>
          <cell r="V218">
            <v>2.5555555555555554</v>
          </cell>
          <cell r="W218">
            <v>0</v>
          </cell>
          <cell r="X218">
            <v>0</v>
          </cell>
          <cell r="Z218">
            <v>0</v>
          </cell>
          <cell r="AA218">
            <v>416.55555555555554</v>
          </cell>
          <cell r="AC218">
            <v>33.324444444444445</v>
          </cell>
          <cell r="AD218">
            <v>9.9556777777777778</v>
          </cell>
          <cell r="AE218">
            <v>5.3319111111111113</v>
          </cell>
          <cell r="AG218">
            <v>48.612033333333336</v>
          </cell>
          <cell r="AH218">
            <v>367.94352222222221</v>
          </cell>
          <cell r="AI218">
            <v>37.489999999999995</v>
          </cell>
          <cell r="AJ218">
            <v>8.3311111111111114</v>
          </cell>
          <cell r="AK218">
            <v>7.2480666666666655</v>
          </cell>
          <cell r="AL218">
            <v>53.069177777777774</v>
          </cell>
          <cell r="AM218">
            <v>363.48637777777776</v>
          </cell>
        </row>
        <row r="219">
          <cell r="A219">
            <v>84</v>
          </cell>
          <cell r="B219" t="str">
            <v>SULCA GUTIERREZ, LUCAS WILFREDO</v>
          </cell>
          <cell r="C219" t="str">
            <v>AYDTE. TRINCHERA</v>
          </cell>
          <cell r="D219">
            <v>21</v>
          </cell>
          <cell r="G219">
            <v>37033</v>
          </cell>
          <cell r="I219" t="str">
            <v>HORIZONTE</v>
          </cell>
          <cell r="L219">
            <v>26</v>
          </cell>
          <cell r="M219">
            <v>12</v>
          </cell>
          <cell r="N219">
            <v>4</v>
          </cell>
          <cell r="O219">
            <v>0</v>
          </cell>
          <cell r="P219">
            <v>1</v>
          </cell>
          <cell r="S219">
            <v>546</v>
          </cell>
          <cell r="T219">
            <v>41.943750000000001</v>
          </cell>
          <cell r="U219">
            <v>84</v>
          </cell>
          <cell r="V219">
            <v>0</v>
          </cell>
          <cell r="W219">
            <v>21</v>
          </cell>
          <cell r="X219">
            <v>0</v>
          </cell>
          <cell r="Z219">
            <v>0</v>
          </cell>
          <cell r="AA219">
            <v>692.94375000000002</v>
          </cell>
          <cell r="AC219">
            <v>55.435500000000005</v>
          </cell>
          <cell r="AD219">
            <v>15.93770625</v>
          </cell>
          <cell r="AE219">
            <v>9.9783899999999992</v>
          </cell>
          <cell r="AG219">
            <v>81.351596250000014</v>
          </cell>
          <cell r="AH219">
            <v>611.59215374999997</v>
          </cell>
          <cell r="AI219">
            <v>62.364937499999996</v>
          </cell>
          <cell r="AJ219">
            <v>13.858875000000001</v>
          </cell>
          <cell r="AK219">
            <v>12.05722125</v>
          </cell>
          <cell r="AL219">
            <v>88.281033749999992</v>
          </cell>
          <cell r="AM219">
            <v>604.66271625000002</v>
          </cell>
        </row>
        <row r="220">
          <cell r="A220">
            <v>85</v>
          </cell>
          <cell r="B220" t="str">
            <v>SULCA MALLMA, LUIS ALBERTO</v>
          </cell>
          <cell r="C220" t="str">
            <v>OPER BOMBERO</v>
          </cell>
          <cell r="D220">
            <v>23</v>
          </cell>
          <cell r="G220">
            <v>37086</v>
          </cell>
          <cell r="I220" t="str">
            <v>PROFUTURO</v>
          </cell>
          <cell r="L220">
            <v>26</v>
          </cell>
          <cell r="M220">
            <v>12</v>
          </cell>
          <cell r="N220">
            <v>4</v>
          </cell>
          <cell r="O220">
            <v>0</v>
          </cell>
          <cell r="P220">
            <v>1</v>
          </cell>
          <cell r="S220">
            <v>598</v>
          </cell>
          <cell r="T220">
            <v>45.693750000000001</v>
          </cell>
          <cell r="U220">
            <v>92</v>
          </cell>
          <cell r="V220">
            <v>0</v>
          </cell>
          <cell r="W220">
            <v>23</v>
          </cell>
          <cell r="X220">
            <v>0</v>
          </cell>
          <cell r="Z220">
            <v>41</v>
          </cell>
          <cell r="AA220">
            <v>799.69375000000002</v>
          </cell>
          <cell r="AC220">
            <v>63.975500000000004</v>
          </cell>
          <cell r="AD220">
            <v>19.992343750000003</v>
          </cell>
          <cell r="AE220">
            <v>10.396018750000001</v>
          </cell>
          <cell r="AG220">
            <v>94.36386250000001</v>
          </cell>
          <cell r="AH220">
            <v>705.32988750000004</v>
          </cell>
          <cell r="AI220">
            <v>71.972437499999998</v>
          </cell>
          <cell r="AJ220">
            <v>15.993875000000001</v>
          </cell>
          <cell r="AK220">
            <v>13.91467125</v>
          </cell>
          <cell r="AL220">
            <v>101.88098375</v>
          </cell>
          <cell r="AM220">
            <v>697.81276624999998</v>
          </cell>
        </row>
        <row r="221">
          <cell r="A221">
            <v>86</v>
          </cell>
          <cell r="B221" t="str">
            <v>SUMARIA ALPACA, APOLINAR</v>
          </cell>
          <cell r="C221" t="str">
            <v>ELECTRICISTA</v>
          </cell>
          <cell r="D221">
            <v>26</v>
          </cell>
          <cell r="G221">
            <v>37073</v>
          </cell>
          <cell r="I221" t="str">
            <v>PROFUTURO</v>
          </cell>
          <cell r="L221">
            <v>26</v>
          </cell>
          <cell r="M221">
            <v>12</v>
          </cell>
          <cell r="N221">
            <v>4</v>
          </cell>
          <cell r="O221">
            <v>0</v>
          </cell>
          <cell r="P221">
            <v>1</v>
          </cell>
          <cell r="S221">
            <v>676</v>
          </cell>
          <cell r="T221">
            <v>51.318750000000001</v>
          </cell>
          <cell r="U221">
            <v>104</v>
          </cell>
          <cell r="V221">
            <v>0</v>
          </cell>
          <cell r="W221">
            <v>26</v>
          </cell>
          <cell r="X221">
            <v>0</v>
          </cell>
          <cell r="Z221">
            <v>41</v>
          </cell>
          <cell r="AA221">
            <v>898.31875000000002</v>
          </cell>
          <cell r="AC221">
            <v>71.865499999999997</v>
          </cell>
          <cell r="AD221">
            <v>22.457968750000003</v>
          </cell>
          <cell r="AE221">
            <v>11.678143750000002</v>
          </cell>
          <cell r="AG221">
            <v>106.00161250000001</v>
          </cell>
          <cell r="AH221">
            <v>792.31713750000006</v>
          </cell>
          <cell r="AI221">
            <v>80.848687499999997</v>
          </cell>
          <cell r="AJ221">
            <v>17.966374999999999</v>
          </cell>
          <cell r="AK221">
            <v>15.63074625</v>
          </cell>
          <cell r="AL221">
            <v>114.44580875</v>
          </cell>
          <cell r="AM221">
            <v>783.87294125000005</v>
          </cell>
        </row>
        <row r="222">
          <cell r="A222">
            <v>87</v>
          </cell>
          <cell r="B222" t="str">
            <v>YANAPA TICONA JULIO</v>
          </cell>
          <cell r="C222" t="str">
            <v>INSP. SEGURIDAD</v>
          </cell>
          <cell r="D222">
            <v>30</v>
          </cell>
          <cell r="G222">
            <v>36808</v>
          </cell>
          <cell r="I222" t="str">
            <v>INTEGRA</v>
          </cell>
          <cell r="L222">
            <v>26</v>
          </cell>
          <cell r="M222">
            <v>12</v>
          </cell>
          <cell r="N222">
            <v>4</v>
          </cell>
          <cell r="O222">
            <v>0</v>
          </cell>
          <cell r="P222">
            <v>1</v>
          </cell>
          <cell r="S222">
            <v>780</v>
          </cell>
          <cell r="T222">
            <v>58.818750000000001</v>
          </cell>
          <cell r="U222">
            <v>120</v>
          </cell>
          <cell r="V222">
            <v>0</v>
          </cell>
          <cell r="W222">
            <v>30</v>
          </cell>
          <cell r="X222">
            <v>0</v>
          </cell>
          <cell r="Z222">
            <v>41</v>
          </cell>
          <cell r="AA222">
            <v>1029.8187499999999</v>
          </cell>
          <cell r="AC222">
            <v>82.385499999999993</v>
          </cell>
          <cell r="AD222">
            <v>24.200740624999998</v>
          </cell>
          <cell r="AE222">
            <v>13.902553125000001</v>
          </cell>
          <cell r="AG222">
            <v>120.48879374999999</v>
          </cell>
          <cell r="AH222">
            <v>909.3299562499999</v>
          </cell>
          <cell r="AI222">
            <v>92.683687499999991</v>
          </cell>
          <cell r="AJ222">
            <v>20.596374999999998</v>
          </cell>
          <cell r="AK222">
            <v>17.918846249999998</v>
          </cell>
          <cell r="AL222">
            <v>131.19890874999999</v>
          </cell>
          <cell r="AM222">
            <v>898.61984124999992</v>
          </cell>
        </row>
        <row r="223">
          <cell r="A223">
            <v>88</v>
          </cell>
          <cell r="B223" t="str">
            <v>YANARICO MAMANI ALEX</v>
          </cell>
          <cell r="C223" t="str">
            <v>AYUDANTE</v>
          </cell>
          <cell r="D223">
            <v>26</v>
          </cell>
          <cell r="G223">
            <v>37270</v>
          </cell>
          <cell r="I223" t="str">
            <v>UNION</v>
          </cell>
          <cell r="L223">
            <v>26</v>
          </cell>
          <cell r="M223">
            <v>12</v>
          </cell>
          <cell r="N223">
            <v>4</v>
          </cell>
          <cell r="O223">
            <v>0</v>
          </cell>
          <cell r="P223">
            <v>1</v>
          </cell>
          <cell r="S223">
            <v>676</v>
          </cell>
          <cell r="T223">
            <v>48.75</v>
          </cell>
          <cell r="U223">
            <v>104</v>
          </cell>
          <cell r="V223">
            <v>0</v>
          </cell>
          <cell r="W223">
            <v>26</v>
          </cell>
          <cell r="X223">
            <v>0</v>
          </cell>
          <cell r="Z223">
            <v>0</v>
          </cell>
          <cell r="AA223">
            <v>854.75</v>
          </cell>
          <cell r="AC223">
            <v>68.38</v>
          </cell>
          <cell r="AD223">
            <v>20.428525</v>
          </cell>
          <cell r="AE223">
            <v>10.940800000000001</v>
          </cell>
          <cell r="AG223">
            <v>99.749324999999999</v>
          </cell>
          <cell r="AH223">
            <v>755.000675</v>
          </cell>
          <cell r="AI223">
            <v>76.927499999999995</v>
          </cell>
          <cell r="AJ223">
            <v>17.094999999999999</v>
          </cell>
          <cell r="AK223">
            <v>14.872649999999998</v>
          </cell>
          <cell r="AL223">
            <v>108.89514999999999</v>
          </cell>
          <cell r="AM223">
            <v>745.85485000000006</v>
          </cell>
        </row>
        <row r="224">
          <cell r="A224">
            <v>89</v>
          </cell>
          <cell r="B224" t="str">
            <v>AYALA SULCA EDWIN</v>
          </cell>
          <cell r="C224" t="str">
            <v>SEGURIDAD</v>
          </cell>
          <cell r="D224">
            <v>2500</v>
          </cell>
          <cell r="G224">
            <v>37208</v>
          </cell>
          <cell r="I224" t="str">
            <v>UNION</v>
          </cell>
          <cell r="L224">
            <v>31</v>
          </cell>
          <cell r="S224">
            <v>2500</v>
          </cell>
          <cell r="U224">
            <v>2500</v>
          </cell>
          <cell r="X224">
            <v>2500</v>
          </cell>
          <cell r="AA224">
            <v>2500</v>
          </cell>
          <cell r="AC224">
            <v>200</v>
          </cell>
          <cell r="AD224">
            <v>59.75</v>
          </cell>
          <cell r="AE224">
            <v>32</v>
          </cell>
          <cell r="AF224">
            <v>0</v>
          </cell>
          <cell r="AG224">
            <v>291.75</v>
          </cell>
          <cell r="AH224">
            <v>2208.25</v>
          </cell>
          <cell r="AI224">
            <v>225</v>
          </cell>
          <cell r="AJ224">
            <v>50</v>
          </cell>
          <cell r="AK224">
            <v>43.5</v>
          </cell>
          <cell r="AL224">
            <v>318.5</v>
          </cell>
          <cell r="AM224">
            <v>2181.5</v>
          </cell>
        </row>
        <row r="225">
          <cell r="A225">
            <v>90</v>
          </cell>
          <cell r="B225" t="str">
            <v>MISARI CAMARELA LINO</v>
          </cell>
          <cell r="C225" t="str">
            <v>RESIDENTE</v>
          </cell>
          <cell r="D225">
            <v>3000</v>
          </cell>
          <cell r="G225">
            <v>37210</v>
          </cell>
          <cell r="I225" t="str">
            <v>UNION</v>
          </cell>
          <cell r="L225">
            <v>31</v>
          </cell>
          <cell r="S225">
            <v>3000</v>
          </cell>
          <cell r="U225">
            <v>3000</v>
          </cell>
          <cell r="X225">
            <v>3000</v>
          </cell>
          <cell r="AA225">
            <v>3000</v>
          </cell>
          <cell r="AC225">
            <v>240</v>
          </cell>
          <cell r="AD225">
            <v>71.7</v>
          </cell>
          <cell r="AE225">
            <v>38.4</v>
          </cell>
          <cell r="AF225">
            <v>225</v>
          </cell>
          <cell r="AG225">
            <v>575.09999999999991</v>
          </cell>
          <cell r="AH225">
            <v>2424.9</v>
          </cell>
          <cell r="AI225">
            <v>270</v>
          </cell>
          <cell r="AJ225">
            <v>60</v>
          </cell>
          <cell r="AK225">
            <v>52.199999999999996</v>
          </cell>
          <cell r="AL225">
            <v>382.2</v>
          </cell>
          <cell r="AM225">
            <v>2617.8000000000002</v>
          </cell>
        </row>
        <row r="226">
          <cell r="A226">
            <v>91</v>
          </cell>
          <cell r="B226" t="str">
            <v>YALLICO RAYMUNDO BETTY</v>
          </cell>
          <cell r="C226" t="str">
            <v>ADMINISTRADORA</v>
          </cell>
          <cell r="D226">
            <v>1500</v>
          </cell>
          <cell r="G226">
            <v>37171</v>
          </cell>
          <cell r="I226" t="str">
            <v>PROFUTURO</v>
          </cell>
          <cell r="L226">
            <v>31</v>
          </cell>
          <cell r="S226">
            <v>690</v>
          </cell>
          <cell r="U226">
            <v>1500</v>
          </cell>
          <cell r="X226">
            <v>1500</v>
          </cell>
          <cell r="AA226">
            <v>1500</v>
          </cell>
          <cell r="AC226">
            <v>120</v>
          </cell>
          <cell r="AD226">
            <v>37.5</v>
          </cell>
          <cell r="AE226">
            <v>19.5</v>
          </cell>
          <cell r="AF226">
            <v>0</v>
          </cell>
          <cell r="AG226">
            <v>177</v>
          </cell>
          <cell r="AH226">
            <v>1323</v>
          </cell>
          <cell r="AI226">
            <v>135</v>
          </cell>
          <cell r="AJ226">
            <v>30</v>
          </cell>
          <cell r="AK226">
            <v>26.099999999999998</v>
          </cell>
          <cell r="AL226">
            <v>191.1</v>
          </cell>
          <cell r="AM226">
            <v>1308.9000000000001</v>
          </cell>
        </row>
        <row r="227">
          <cell r="A227">
            <v>92</v>
          </cell>
          <cell r="L227">
            <v>31</v>
          </cell>
          <cell r="M227">
            <v>12</v>
          </cell>
          <cell r="S227">
            <v>0</v>
          </cell>
          <cell r="T227">
            <v>2.5687500000000001</v>
          </cell>
          <cell r="Z227">
            <v>41</v>
          </cell>
          <cell r="AA227">
            <v>43.568750000000001</v>
          </cell>
          <cell r="AC227">
            <v>3.4855</v>
          </cell>
          <cell r="AG227">
            <v>3.4855</v>
          </cell>
          <cell r="AH227">
            <v>40.08325</v>
          </cell>
          <cell r="AI227">
            <v>3.9211874999999998</v>
          </cell>
          <cell r="AJ227">
            <v>0.87137500000000001</v>
          </cell>
          <cell r="AK227">
            <v>0.75809625000000003</v>
          </cell>
          <cell r="AL227">
            <v>5.5506587500000002</v>
          </cell>
          <cell r="AM227">
            <v>34.532591249999996</v>
          </cell>
        </row>
        <row r="228">
          <cell r="A228">
            <v>93</v>
          </cell>
          <cell r="L228">
            <v>31</v>
          </cell>
          <cell r="M228">
            <v>12</v>
          </cell>
          <cell r="S228">
            <v>0</v>
          </cell>
          <cell r="T228">
            <v>2.5687500000000001</v>
          </cell>
          <cell r="Z228">
            <v>41</v>
          </cell>
          <cell r="AA228">
            <v>43.568750000000001</v>
          </cell>
          <cell r="AC228">
            <v>3.4855</v>
          </cell>
          <cell r="AG228">
            <v>3.4855</v>
          </cell>
          <cell r="AH228">
            <v>40.08325</v>
          </cell>
          <cell r="AI228">
            <v>3.9211874999999998</v>
          </cell>
          <cell r="AJ228">
            <v>0.87137500000000001</v>
          </cell>
          <cell r="AK228">
            <v>0.75809625000000003</v>
          </cell>
          <cell r="AL228">
            <v>5.5506587500000002</v>
          </cell>
          <cell r="AM228">
            <v>34.532591249999996</v>
          </cell>
        </row>
        <row r="229">
          <cell r="A229">
            <v>94</v>
          </cell>
          <cell r="L229">
            <v>31</v>
          </cell>
          <cell r="M229">
            <v>12</v>
          </cell>
          <cell r="S229">
            <v>0</v>
          </cell>
          <cell r="T229">
            <v>2.5687500000000001</v>
          </cell>
          <cell r="Z229">
            <v>41</v>
          </cell>
          <cell r="AA229">
            <v>43.568750000000001</v>
          </cell>
          <cell r="AC229">
            <v>3.4855</v>
          </cell>
          <cell r="AD229">
            <v>0</v>
          </cell>
          <cell r="AG229">
            <v>3.4855</v>
          </cell>
          <cell r="AH229">
            <v>40.08325</v>
          </cell>
          <cell r="AI229">
            <v>3.9211874999999998</v>
          </cell>
          <cell r="AJ229">
            <v>0.87137500000000001</v>
          </cell>
          <cell r="AK229">
            <v>0.75809625000000003</v>
          </cell>
          <cell r="AL229">
            <v>5.5506587500000002</v>
          </cell>
          <cell r="AM229">
            <v>34.532591249999996</v>
          </cell>
        </row>
        <row r="230">
          <cell r="A230">
            <v>95</v>
          </cell>
          <cell r="B230" t="str">
            <v>CUTIPA MOLLO ROLANDO  MAURO</v>
          </cell>
          <cell r="C230" t="str">
            <v>AYDTE. SEGURIDAD</v>
          </cell>
          <cell r="D230">
            <v>26</v>
          </cell>
          <cell r="G230">
            <v>36835</v>
          </cell>
          <cell r="I230" t="str">
            <v>UNION</v>
          </cell>
        </row>
        <row r="231">
          <cell r="A231">
            <v>96</v>
          </cell>
          <cell r="B231" t="str">
            <v>Gutierrez Huaroto Jorge</v>
          </cell>
          <cell r="C231" t="str">
            <v>SECRETARIO</v>
          </cell>
          <cell r="D231">
            <v>30</v>
          </cell>
          <cell r="G231">
            <v>37202</v>
          </cell>
          <cell r="I231" t="str">
            <v>UNION</v>
          </cell>
        </row>
        <row r="232">
          <cell r="A232">
            <v>97</v>
          </cell>
          <cell r="B232" t="str">
            <v>Quispe Ito Ismael</v>
          </cell>
          <cell r="C232" t="str">
            <v>PERFORISTA</v>
          </cell>
          <cell r="D232">
            <v>28</v>
          </cell>
          <cell r="G232">
            <v>37126</v>
          </cell>
          <cell r="I232" t="str">
            <v>INTEGRA</v>
          </cell>
        </row>
        <row r="233">
          <cell r="A233">
            <v>98</v>
          </cell>
          <cell r="B233" t="str">
            <v>PAQUIYAURI TOVAR CESAR</v>
          </cell>
        </row>
        <row r="234">
          <cell r="A234">
            <v>99</v>
          </cell>
          <cell r="B234" t="str">
            <v>AYALA SULCA EDWIN</v>
          </cell>
        </row>
        <row r="235">
          <cell r="A235">
            <v>100</v>
          </cell>
          <cell r="B235" t="str">
            <v>MISARI CAMARENA LINO</v>
          </cell>
        </row>
        <row r="236">
          <cell r="A236">
            <v>101</v>
          </cell>
          <cell r="B236" t="str">
            <v>Yana Calderon Franklin</v>
          </cell>
          <cell r="C236" t="str">
            <v>AYUDANTE</v>
          </cell>
          <cell r="D236">
            <v>26</v>
          </cell>
          <cell r="G236">
            <v>37109</v>
          </cell>
          <cell r="I236" t="str">
            <v>UNION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1">
          <cell r="H1" t="str">
            <v>PLANILLA  DE GRATIFICACION HUARON  MES  DE JULIO DEL 2,004</v>
          </cell>
        </row>
        <row r="3">
          <cell r="B3" t="str">
            <v xml:space="preserve">No </v>
          </cell>
          <cell r="C3" t="str">
            <v>APELLIDOS Y NOMBRES</v>
          </cell>
          <cell r="D3" t="str">
            <v>CARGO</v>
          </cell>
          <cell r="E3" t="str">
            <v>SISTEMA</v>
          </cell>
          <cell r="F3" t="str">
            <v>SUELDO</v>
          </cell>
          <cell r="G3" t="str">
            <v>FECHA INGRESO</v>
          </cell>
          <cell r="H3" t="str">
            <v>TIEMPO COMPUT</v>
          </cell>
          <cell r="I3" t="str">
            <v>DIAS NO</v>
          </cell>
          <cell r="J3" t="str">
            <v>BASICO</v>
          </cell>
          <cell r="K3" t="str">
            <v>ASIGNACION</v>
          </cell>
          <cell r="L3" t="str">
            <v>BASE</v>
          </cell>
          <cell r="M3" t="str">
            <v>PROMEDIO</v>
          </cell>
          <cell r="N3" t="str">
            <v>PROMEDIO</v>
          </cell>
          <cell r="O3" t="str">
            <v>DSCTO</v>
          </cell>
          <cell r="P3" t="str">
            <v>TOTAL</v>
          </cell>
          <cell r="Q3" t="str">
            <v xml:space="preserve">                 APORTES DEL TRABAJADOR</v>
          </cell>
          <cell r="V3" t="str">
            <v>TOTAL</v>
          </cell>
          <cell r="W3" t="str">
            <v xml:space="preserve">NETO A </v>
          </cell>
          <cell r="X3" t="str">
            <v xml:space="preserve">      TRIBUTOS Y APORTES DEL EMPLEADOR</v>
          </cell>
          <cell r="AC3" t="str">
            <v>COSTO PLANILLA S/BS</v>
          </cell>
          <cell r="AD3" t="str">
            <v>CTS</v>
          </cell>
        </row>
        <row r="4">
          <cell r="F4" t="str">
            <v>JORNAL</v>
          </cell>
          <cell r="I4" t="str">
            <v>COMPUTAB</v>
          </cell>
          <cell r="K4" t="str">
            <v>FAMILIAR</v>
          </cell>
          <cell r="L4" t="str">
            <v>CALCULO</v>
          </cell>
          <cell r="M4" t="str">
            <v>GRATIFICAC.</v>
          </cell>
          <cell r="N4" t="str">
            <v>HRAS EXTRAS</v>
          </cell>
          <cell r="O4" t="str">
            <v>POR FALTAS</v>
          </cell>
          <cell r="P4" t="str">
            <v>REMUNERAC.</v>
          </cell>
          <cell r="Q4" t="str">
            <v>S.N.P</v>
          </cell>
          <cell r="R4" t="str">
            <v>AFP 8%</v>
          </cell>
          <cell r="S4" t="str">
            <v>SIS</v>
          </cell>
          <cell r="T4" t="str">
            <v>COM. VAR</v>
          </cell>
          <cell r="U4" t="str">
            <v>5TA CAT</v>
          </cell>
          <cell r="V4" t="str">
            <v>DSCTO</v>
          </cell>
          <cell r="W4" t="str">
            <v>PAGAR</v>
          </cell>
          <cell r="X4" t="str">
            <v>ESSALUD 9%</v>
          </cell>
          <cell r="Y4" t="str">
            <v>IES 1.70%</v>
          </cell>
          <cell r="Z4" t="str">
            <v>SCTR 1.74%</v>
          </cell>
          <cell r="AA4" t="str">
            <v>R.  5.667%</v>
          </cell>
          <cell r="AB4" t="str">
            <v>TOTAL APORTES</v>
          </cell>
        </row>
        <row r="5">
          <cell r="C5" t="str">
            <v>EMPLEADOS</v>
          </cell>
        </row>
        <row r="6">
          <cell r="A6">
            <v>1</v>
          </cell>
          <cell r="B6">
            <v>1</v>
          </cell>
          <cell r="C6" t="str">
            <v>CARHUANCHO CAMARENA YONEL</v>
          </cell>
          <cell r="D6" t="str">
            <v>ALMACENERO</v>
          </cell>
          <cell r="E6" t="str">
            <v>PROFUTURO</v>
          </cell>
          <cell r="F6">
            <v>30</v>
          </cell>
          <cell r="G6">
            <v>38122</v>
          </cell>
          <cell r="H6">
            <v>1</v>
          </cell>
          <cell r="J6">
            <v>900</v>
          </cell>
          <cell r="L6">
            <v>900</v>
          </cell>
          <cell r="M6">
            <v>150</v>
          </cell>
          <cell r="P6">
            <v>150</v>
          </cell>
          <cell r="Q6">
            <v>0</v>
          </cell>
          <cell r="R6">
            <v>12</v>
          </cell>
          <cell r="S6">
            <v>1.53</v>
          </cell>
          <cell r="T6">
            <v>3.6750000000000003</v>
          </cell>
          <cell r="V6">
            <v>17.204999999999998</v>
          </cell>
          <cell r="W6">
            <v>132.79500000000002</v>
          </cell>
          <cell r="X6">
            <v>13.5</v>
          </cell>
          <cell r="Z6">
            <v>2.61</v>
          </cell>
          <cell r="AA6">
            <v>8.5004999999999988</v>
          </cell>
          <cell r="AB6">
            <v>24.610499999999998</v>
          </cell>
          <cell r="AC6">
            <v>174.6105</v>
          </cell>
          <cell r="AD6">
            <v>12.494999999999999</v>
          </cell>
        </row>
        <row r="7">
          <cell r="A7">
            <v>2</v>
          </cell>
          <cell r="B7">
            <v>2</v>
          </cell>
          <cell r="C7" t="str">
            <v>LOPEZ RICRA MARIBEL</v>
          </cell>
          <cell r="D7" t="str">
            <v>SECRETARIA</v>
          </cell>
          <cell r="E7" t="str">
            <v>HORIZONTE</v>
          </cell>
          <cell r="F7">
            <v>460</v>
          </cell>
          <cell r="G7">
            <v>37135</v>
          </cell>
          <cell r="H7">
            <v>6</v>
          </cell>
          <cell r="J7">
            <v>460</v>
          </cell>
          <cell r="L7">
            <v>460</v>
          </cell>
          <cell r="M7">
            <v>460</v>
          </cell>
          <cell r="N7">
            <v>340</v>
          </cell>
          <cell r="P7">
            <v>800</v>
          </cell>
          <cell r="Q7">
            <v>0</v>
          </cell>
          <cell r="R7">
            <v>64</v>
          </cell>
          <cell r="S7">
            <v>7.12</v>
          </cell>
          <cell r="T7">
            <v>18</v>
          </cell>
          <cell r="V7">
            <v>89.12</v>
          </cell>
          <cell r="W7">
            <v>710.88</v>
          </cell>
          <cell r="X7">
            <v>72</v>
          </cell>
          <cell r="Z7">
            <v>13.919999999999998</v>
          </cell>
          <cell r="AA7">
            <v>45.335999999999999</v>
          </cell>
          <cell r="AB7">
            <v>131.256</v>
          </cell>
          <cell r="AC7">
            <v>931.25599999999997</v>
          </cell>
          <cell r="AD7">
            <v>66.64</v>
          </cell>
        </row>
        <row r="8">
          <cell r="A8">
            <v>3</v>
          </cell>
          <cell r="B8">
            <v>3</v>
          </cell>
          <cell r="C8" t="str">
            <v>PEREZ SAUÑI JORGE</v>
          </cell>
          <cell r="D8" t="str">
            <v>ING. RESIDENTE</v>
          </cell>
          <cell r="E8" t="str">
            <v>ONP</v>
          </cell>
          <cell r="F8">
            <v>2000</v>
          </cell>
          <cell r="G8">
            <v>38146</v>
          </cell>
          <cell r="H8">
            <v>0</v>
          </cell>
          <cell r="J8">
            <v>2000</v>
          </cell>
          <cell r="L8">
            <v>2000</v>
          </cell>
          <cell r="M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V8">
            <v>0</v>
          </cell>
          <cell r="W8">
            <v>0</v>
          </cell>
          <cell r="X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</row>
        <row r="9">
          <cell r="A9">
            <v>4</v>
          </cell>
          <cell r="B9">
            <v>4</v>
          </cell>
          <cell r="C9" t="str">
            <v>VILLANUEVA NUEVO MARLON PERCY</v>
          </cell>
          <cell r="D9" t="str">
            <v xml:space="preserve">ASISTENTE </v>
          </cell>
          <cell r="E9" t="str">
            <v>ONP</v>
          </cell>
          <cell r="F9">
            <v>1000</v>
          </cell>
          <cell r="G9">
            <v>38149</v>
          </cell>
          <cell r="H9">
            <v>0</v>
          </cell>
          <cell r="J9">
            <v>1000</v>
          </cell>
          <cell r="L9">
            <v>1000</v>
          </cell>
          <cell r="M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V9">
            <v>0</v>
          </cell>
          <cell r="W9">
            <v>0</v>
          </cell>
          <cell r="X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</row>
        <row r="10">
          <cell r="J10">
            <v>4360</v>
          </cell>
          <cell r="K10">
            <v>0</v>
          </cell>
          <cell r="L10">
            <v>4360</v>
          </cell>
          <cell r="M10">
            <v>610</v>
          </cell>
          <cell r="N10">
            <v>340</v>
          </cell>
          <cell r="P10">
            <v>950</v>
          </cell>
          <cell r="Q10">
            <v>0</v>
          </cell>
          <cell r="R10">
            <v>76</v>
          </cell>
          <cell r="S10">
            <v>8.65</v>
          </cell>
          <cell r="T10">
            <v>21.675000000000001</v>
          </cell>
          <cell r="U10">
            <v>0</v>
          </cell>
          <cell r="V10">
            <v>106.325</v>
          </cell>
          <cell r="W10">
            <v>843.67499999999995</v>
          </cell>
          <cell r="X10">
            <v>85.5</v>
          </cell>
          <cell r="Y10">
            <v>0</v>
          </cell>
          <cell r="Z10">
            <v>16.529999999999998</v>
          </cell>
          <cell r="AA10">
            <v>53.836500000000001</v>
          </cell>
          <cell r="AB10">
            <v>155.8665</v>
          </cell>
          <cell r="AC10">
            <v>1105.8665000000001</v>
          </cell>
          <cell r="AD10">
            <v>79.135000000000005</v>
          </cell>
        </row>
        <row r="11">
          <cell r="C11" t="str">
            <v>CHOFERES</v>
          </cell>
        </row>
        <row r="12">
          <cell r="A12">
            <v>5</v>
          </cell>
          <cell r="B12">
            <v>1</v>
          </cell>
          <cell r="C12" t="str">
            <v>BAZAN MATEO DIONICIO</v>
          </cell>
          <cell r="D12" t="str">
            <v>CHOFER</v>
          </cell>
          <cell r="E12" t="str">
            <v>ONP</v>
          </cell>
          <cell r="F12">
            <v>26</v>
          </cell>
          <cell r="G12">
            <v>38139</v>
          </cell>
          <cell r="H12">
            <v>1</v>
          </cell>
          <cell r="J12">
            <v>780</v>
          </cell>
          <cell r="L12">
            <v>780</v>
          </cell>
          <cell r="M12">
            <v>130</v>
          </cell>
          <cell r="P12">
            <v>130</v>
          </cell>
          <cell r="Q12">
            <v>16.900000000000002</v>
          </cell>
          <cell r="R12">
            <v>0</v>
          </cell>
          <cell r="S12">
            <v>0</v>
          </cell>
          <cell r="T12">
            <v>0</v>
          </cell>
          <cell r="V12">
            <v>16.900000000000002</v>
          </cell>
          <cell r="W12">
            <v>113.1</v>
          </cell>
          <cell r="X12">
            <v>11.7</v>
          </cell>
          <cell r="Z12">
            <v>2.262</v>
          </cell>
          <cell r="AA12">
            <v>7.3670999999999998</v>
          </cell>
          <cell r="AB12">
            <v>21.3291</v>
          </cell>
          <cell r="AC12">
            <v>151.32910000000001</v>
          </cell>
          <cell r="AD12">
            <v>10.829000000000001</v>
          </cell>
        </row>
        <row r="13">
          <cell r="A13">
            <v>6</v>
          </cell>
          <cell r="B13">
            <v>2</v>
          </cell>
          <cell r="C13" t="str">
            <v>CABRERA MALLMA CESAR</v>
          </cell>
          <cell r="D13" t="str">
            <v>CHOFER</v>
          </cell>
          <cell r="E13" t="str">
            <v>ONP</v>
          </cell>
          <cell r="F13">
            <v>26</v>
          </cell>
          <cell r="G13">
            <v>37783</v>
          </cell>
          <cell r="H13">
            <v>6</v>
          </cell>
          <cell r="I13">
            <v>4</v>
          </cell>
          <cell r="J13">
            <v>780</v>
          </cell>
          <cell r="K13">
            <v>46</v>
          </cell>
          <cell r="L13">
            <v>826</v>
          </cell>
          <cell r="M13">
            <v>826</v>
          </cell>
          <cell r="N13">
            <v>174.42</v>
          </cell>
          <cell r="O13">
            <v>-18.36</v>
          </cell>
          <cell r="P13">
            <v>982.06</v>
          </cell>
          <cell r="Q13">
            <v>127.6678</v>
          </cell>
          <cell r="R13">
            <v>0</v>
          </cell>
          <cell r="S13">
            <v>0</v>
          </cell>
          <cell r="T13">
            <v>0</v>
          </cell>
          <cell r="V13">
            <v>127.6678</v>
          </cell>
          <cell r="W13">
            <v>854.3922</v>
          </cell>
          <cell r="X13">
            <v>88.38539999999999</v>
          </cell>
          <cell r="Z13">
            <v>17.087843999999997</v>
          </cell>
          <cell r="AA13">
            <v>55.653340199999995</v>
          </cell>
          <cell r="AB13">
            <v>161.1265842</v>
          </cell>
          <cell r="AC13">
            <v>1143.1865842</v>
          </cell>
          <cell r="AD13">
            <v>81.805597999999989</v>
          </cell>
        </row>
        <row r="14">
          <cell r="A14">
            <v>7</v>
          </cell>
          <cell r="B14">
            <v>3</v>
          </cell>
          <cell r="C14" t="str">
            <v>CACERES RUIZ MOISES PELAYO</v>
          </cell>
          <cell r="D14" t="str">
            <v>OPERADOR EQUIPO</v>
          </cell>
          <cell r="E14" t="str">
            <v>ONP</v>
          </cell>
          <cell r="F14">
            <v>30</v>
          </cell>
          <cell r="G14">
            <v>36752</v>
          </cell>
          <cell r="H14">
            <v>6</v>
          </cell>
          <cell r="I14">
            <v>1</v>
          </cell>
          <cell r="J14">
            <v>900</v>
          </cell>
          <cell r="L14">
            <v>900</v>
          </cell>
          <cell r="M14">
            <v>900</v>
          </cell>
          <cell r="N14">
            <v>212.88</v>
          </cell>
          <cell r="O14">
            <v>-5</v>
          </cell>
          <cell r="P14">
            <v>1107.8800000000001</v>
          </cell>
          <cell r="Q14">
            <v>144.02440000000001</v>
          </cell>
          <cell r="R14">
            <v>0</v>
          </cell>
          <cell r="S14">
            <v>0</v>
          </cell>
          <cell r="T14">
            <v>0</v>
          </cell>
          <cell r="V14">
            <v>144.02440000000001</v>
          </cell>
          <cell r="W14">
            <v>963.85560000000009</v>
          </cell>
          <cell r="X14">
            <v>99.70920000000001</v>
          </cell>
          <cell r="Z14">
            <v>19.277111999999999</v>
          </cell>
          <cell r="AA14">
            <v>62.783559600000004</v>
          </cell>
          <cell r="AB14">
            <v>181.76987160000002</v>
          </cell>
          <cell r="AC14">
            <v>1289.6498716000001</v>
          </cell>
          <cell r="AD14">
            <v>92.286404000000005</v>
          </cell>
        </row>
        <row r="15">
          <cell r="A15">
            <v>8</v>
          </cell>
          <cell r="B15">
            <v>4</v>
          </cell>
          <cell r="C15" t="str">
            <v>CAJACURI PANDURO RUBEN</v>
          </cell>
          <cell r="D15" t="str">
            <v>CHOFER</v>
          </cell>
          <cell r="E15" t="str">
            <v>PROFUTURO</v>
          </cell>
          <cell r="F15">
            <v>26</v>
          </cell>
          <cell r="G15">
            <v>37257</v>
          </cell>
          <cell r="H15">
            <v>6</v>
          </cell>
          <cell r="I15">
            <v>7</v>
          </cell>
          <cell r="J15">
            <v>780</v>
          </cell>
          <cell r="K15">
            <v>46</v>
          </cell>
          <cell r="L15">
            <v>826</v>
          </cell>
          <cell r="M15">
            <v>826</v>
          </cell>
          <cell r="N15">
            <v>140.29</v>
          </cell>
          <cell r="O15">
            <v>-32.119999999999997</v>
          </cell>
          <cell r="P15">
            <v>934.17</v>
          </cell>
          <cell r="Q15">
            <v>0</v>
          </cell>
          <cell r="R15">
            <v>74.733599999999996</v>
          </cell>
          <cell r="S15">
            <v>9.5285340000000005</v>
          </cell>
          <cell r="T15">
            <v>22.887165</v>
          </cell>
          <cell r="V15">
            <v>107.149299</v>
          </cell>
          <cell r="W15">
            <v>827.02070099999992</v>
          </cell>
          <cell r="X15">
            <v>84.075299999999999</v>
          </cell>
          <cell r="Z15">
            <v>16.254557999999999</v>
          </cell>
          <cell r="AA15">
            <v>52.939413899999998</v>
          </cell>
          <cell r="AB15">
            <v>153.26927190000001</v>
          </cell>
          <cell r="AC15">
            <v>1087.4392719</v>
          </cell>
          <cell r="AD15">
            <v>77.816361000000001</v>
          </cell>
        </row>
        <row r="16">
          <cell r="A16">
            <v>9</v>
          </cell>
          <cell r="B16">
            <v>5</v>
          </cell>
          <cell r="C16" t="str">
            <v>CUADROS SOTOMAYOR HERNAN</v>
          </cell>
          <cell r="D16" t="str">
            <v>CHOFER</v>
          </cell>
          <cell r="E16" t="str">
            <v>ONP</v>
          </cell>
          <cell r="F16">
            <v>26</v>
          </cell>
          <cell r="G16">
            <v>37803</v>
          </cell>
          <cell r="H16">
            <v>6</v>
          </cell>
          <cell r="I16">
            <v>15</v>
          </cell>
          <cell r="J16">
            <v>780</v>
          </cell>
          <cell r="L16">
            <v>780</v>
          </cell>
          <cell r="M16">
            <v>780</v>
          </cell>
          <cell r="N16">
            <v>103.24</v>
          </cell>
          <cell r="O16">
            <v>-65</v>
          </cell>
          <cell r="P16">
            <v>818.24</v>
          </cell>
          <cell r="Q16">
            <v>106.3712</v>
          </cell>
          <cell r="R16">
            <v>0</v>
          </cell>
          <cell r="S16">
            <v>0</v>
          </cell>
          <cell r="T16">
            <v>0</v>
          </cell>
          <cell r="V16">
            <v>106.3712</v>
          </cell>
          <cell r="W16">
            <v>711.86879999999996</v>
          </cell>
          <cell r="X16">
            <v>73.641599999999997</v>
          </cell>
          <cell r="Z16">
            <v>14.237375999999999</v>
          </cell>
          <cell r="AA16">
            <v>46.369660799999998</v>
          </cell>
          <cell r="AB16">
            <v>134.24863679999999</v>
          </cell>
          <cell r="AC16">
            <v>952.48863679999999</v>
          </cell>
          <cell r="AD16">
            <v>68.159391999999997</v>
          </cell>
        </row>
        <row r="17">
          <cell r="A17">
            <v>10</v>
          </cell>
          <cell r="B17">
            <v>6</v>
          </cell>
          <cell r="C17" t="str">
            <v>DURAN CRISOSTOMO WILFREDO</v>
          </cell>
          <cell r="D17" t="str">
            <v>CHOFER</v>
          </cell>
          <cell r="E17" t="str">
            <v>UNION</v>
          </cell>
          <cell r="F17">
            <v>26</v>
          </cell>
          <cell r="G17">
            <v>37752</v>
          </cell>
          <cell r="H17">
            <v>6</v>
          </cell>
          <cell r="I17">
            <v>6</v>
          </cell>
          <cell r="J17">
            <v>780</v>
          </cell>
          <cell r="L17">
            <v>780</v>
          </cell>
          <cell r="M17">
            <v>780</v>
          </cell>
          <cell r="N17">
            <v>208.81</v>
          </cell>
          <cell r="O17">
            <v>-26</v>
          </cell>
          <cell r="P17">
            <v>962.81</v>
          </cell>
          <cell r="Q17">
            <v>0</v>
          </cell>
          <cell r="R17">
            <v>77.024799999999999</v>
          </cell>
          <cell r="S17">
            <v>8.6652900000000006</v>
          </cell>
          <cell r="T17">
            <v>21.855786999999999</v>
          </cell>
          <cell r="V17">
            <v>107.54587699999999</v>
          </cell>
          <cell r="W17">
            <v>855.26412299999993</v>
          </cell>
          <cell r="X17">
            <v>86.652899999999988</v>
          </cell>
          <cell r="Z17">
            <v>16.752893999999998</v>
          </cell>
          <cell r="AA17">
            <v>54.562442699999998</v>
          </cell>
          <cell r="AB17">
            <v>157.96823669999998</v>
          </cell>
          <cell r="AC17">
            <v>1120.7782367</v>
          </cell>
          <cell r="AD17">
            <v>80.202072999999999</v>
          </cell>
        </row>
        <row r="18">
          <cell r="A18">
            <v>11</v>
          </cell>
          <cell r="B18">
            <v>7</v>
          </cell>
          <cell r="C18" t="str">
            <v>ESPADA MEJIA  GABRIEL EDUARDO</v>
          </cell>
          <cell r="D18" t="str">
            <v>CHOFER</v>
          </cell>
          <cell r="E18" t="str">
            <v>PROFUTURO</v>
          </cell>
          <cell r="F18">
            <v>30</v>
          </cell>
          <cell r="G18">
            <v>37681</v>
          </cell>
          <cell r="H18">
            <v>6</v>
          </cell>
          <cell r="I18">
            <v>19</v>
          </cell>
          <cell r="J18">
            <v>900</v>
          </cell>
          <cell r="K18">
            <v>46</v>
          </cell>
          <cell r="L18">
            <v>946</v>
          </cell>
          <cell r="M18">
            <v>946</v>
          </cell>
          <cell r="N18">
            <v>77.5</v>
          </cell>
          <cell r="O18">
            <v>-99.86</v>
          </cell>
          <cell r="P18">
            <v>923.64</v>
          </cell>
          <cell r="Q18">
            <v>0</v>
          </cell>
          <cell r="R18">
            <v>73.891199999999998</v>
          </cell>
          <cell r="S18">
            <v>9.4211280000000013</v>
          </cell>
          <cell r="T18">
            <v>22.629180000000002</v>
          </cell>
          <cell r="V18">
            <v>105.941508</v>
          </cell>
          <cell r="W18">
            <v>817.69849199999999</v>
          </cell>
          <cell r="X18">
            <v>83.127600000000001</v>
          </cell>
          <cell r="Z18">
            <v>16.071335999999999</v>
          </cell>
          <cell r="AA18">
            <v>52.342678799999995</v>
          </cell>
          <cell r="AB18">
            <v>151.54161479999999</v>
          </cell>
          <cell r="AC18">
            <v>1075.1816148</v>
          </cell>
          <cell r="AD18">
            <v>76.939211999999998</v>
          </cell>
        </row>
        <row r="19">
          <cell r="A19">
            <v>12</v>
          </cell>
          <cell r="B19">
            <v>8</v>
          </cell>
          <cell r="C19" t="str">
            <v>HUAYNAPICHO GARCIA FREY WILMER</v>
          </cell>
          <cell r="D19" t="str">
            <v>CHOFER</v>
          </cell>
          <cell r="E19" t="str">
            <v>UNION</v>
          </cell>
          <cell r="F19">
            <v>26</v>
          </cell>
          <cell r="G19">
            <v>38026</v>
          </cell>
          <cell r="H19">
            <v>4</v>
          </cell>
          <cell r="I19">
            <v>1</v>
          </cell>
          <cell r="J19">
            <v>780</v>
          </cell>
          <cell r="L19">
            <v>780</v>
          </cell>
          <cell r="M19">
            <v>520</v>
          </cell>
          <cell r="N19">
            <v>125.32</v>
          </cell>
          <cell r="O19">
            <v>-4.33</v>
          </cell>
          <cell r="P19">
            <v>640.9899999999999</v>
          </cell>
          <cell r="Q19">
            <v>0</v>
          </cell>
          <cell r="R19">
            <v>51.279199999999996</v>
          </cell>
          <cell r="S19">
            <v>5.76891</v>
          </cell>
          <cell r="T19">
            <v>14.550472999999998</v>
          </cell>
          <cell r="V19">
            <v>71.598582999999991</v>
          </cell>
          <cell r="W19">
            <v>569.39141699999993</v>
          </cell>
          <cell r="X19">
            <v>57.689099999999989</v>
          </cell>
          <cell r="Z19">
            <v>11.153225999999997</v>
          </cell>
          <cell r="AA19">
            <v>36.324903299999995</v>
          </cell>
          <cell r="AB19">
            <v>105.16722929999997</v>
          </cell>
          <cell r="AC19">
            <v>746.15722929999993</v>
          </cell>
          <cell r="AD19">
            <v>53.394466999999992</v>
          </cell>
        </row>
        <row r="20">
          <cell r="A20">
            <v>13</v>
          </cell>
          <cell r="B20">
            <v>9</v>
          </cell>
          <cell r="C20" t="str">
            <v>HUIZA ESPINOZA SANTIAGO FERNANDO</v>
          </cell>
          <cell r="D20" t="str">
            <v>CHOFER</v>
          </cell>
          <cell r="E20" t="str">
            <v>ONP</v>
          </cell>
          <cell r="F20">
            <v>26</v>
          </cell>
          <cell r="G20">
            <v>37746</v>
          </cell>
          <cell r="H20">
            <v>6</v>
          </cell>
          <cell r="I20">
            <v>3</v>
          </cell>
          <cell r="J20">
            <v>780</v>
          </cell>
          <cell r="L20">
            <v>780</v>
          </cell>
          <cell r="M20">
            <v>780</v>
          </cell>
          <cell r="N20">
            <v>324.14</v>
          </cell>
          <cell r="O20">
            <v>-13</v>
          </cell>
          <cell r="P20">
            <v>1091.1399999999999</v>
          </cell>
          <cell r="Q20">
            <v>141.84819999999999</v>
          </cell>
          <cell r="R20">
            <v>0</v>
          </cell>
          <cell r="S20">
            <v>0</v>
          </cell>
          <cell r="T20">
            <v>0</v>
          </cell>
          <cell r="V20">
            <v>141.84819999999999</v>
          </cell>
          <cell r="W20">
            <v>949.29179999999985</v>
          </cell>
          <cell r="X20">
            <v>98.20259999999999</v>
          </cell>
          <cell r="Z20">
            <v>18.985835999999995</v>
          </cell>
          <cell r="AA20">
            <v>61.834903799999992</v>
          </cell>
          <cell r="AB20">
            <v>179.02333979999997</v>
          </cell>
          <cell r="AC20">
            <v>1270.1633397999999</v>
          </cell>
          <cell r="AD20">
            <v>90.891961999999992</v>
          </cell>
        </row>
        <row r="21">
          <cell r="A21">
            <v>14</v>
          </cell>
          <cell r="B21">
            <v>10</v>
          </cell>
          <cell r="C21" t="str">
            <v>LAUREANO TORIBIO MISAEL EZAU</v>
          </cell>
          <cell r="D21" t="str">
            <v>CHOFER</v>
          </cell>
          <cell r="E21" t="str">
            <v>UNION</v>
          </cell>
          <cell r="F21">
            <v>26</v>
          </cell>
          <cell r="G21">
            <v>37487</v>
          </cell>
          <cell r="H21">
            <v>6</v>
          </cell>
          <cell r="I21">
            <v>6</v>
          </cell>
          <cell r="J21">
            <v>780</v>
          </cell>
          <cell r="K21">
            <v>46</v>
          </cell>
          <cell r="L21">
            <v>826</v>
          </cell>
          <cell r="M21">
            <v>826</v>
          </cell>
          <cell r="N21">
            <v>227.5</v>
          </cell>
          <cell r="O21">
            <v>-27.53</v>
          </cell>
          <cell r="P21">
            <v>1025.97</v>
          </cell>
          <cell r="Q21">
            <v>0</v>
          </cell>
          <cell r="R21">
            <v>82.077600000000004</v>
          </cell>
          <cell r="S21">
            <v>9.2337300000000013</v>
          </cell>
          <cell r="T21">
            <v>23.289519000000002</v>
          </cell>
          <cell r="V21">
            <v>114.600849</v>
          </cell>
          <cell r="W21">
            <v>911.36915099999999</v>
          </cell>
          <cell r="X21">
            <v>92.337299999999999</v>
          </cell>
          <cell r="Z21">
            <v>17.851877999999999</v>
          </cell>
          <cell r="AA21">
            <v>58.141719899999998</v>
          </cell>
          <cell r="AB21">
            <v>168.3308979</v>
          </cell>
          <cell r="AC21">
            <v>1194.3008979000001</v>
          </cell>
          <cell r="AD21">
            <v>85.463301000000001</v>
          </cell>
        </row>
        <row r="22">
          <cell r="A22">
            <v>15</v>
          </cell>
          <cell r="B22">
            <v>11</v>
          </cell>
          <cell r="C22" t="str">
            <v>LAUREANO TORIBIO ULISES</v>
          </cell>
          <cell r="D22" t="str">
            <v>CHOFER</v>
          </cell>
          <cell r="E22" t="str">
            <v>HORIZONTE</v>
          </cell>
          <cell r="F22">
            <v>26</v>
          </cell>
          <cell r="G22">
            <v>37138</v>
          </cell>
          <cell r="H22">
            <v>6</v>
          </cell>
          <cell r="I22">
            <v>1</v>
          </cell>
          <cell r="J22">
            <v>780</v>
          </cell>
          <cell r="L22">
            <v>780</v>
          </cell>
          <cell r="M22">
            <v>780</v>
          </cell>
          <cell r="N22">
            <v>149.77000000000001</v>
          </cell>
          <cell r="O22">
            <v>-4.33</v>
          </cell>
          <cell r="P22">
            <v>925.43999999999994</v>
          </cell>
          <cell r="Q22">
            <v>0</v>
          </cell>
          <cell r="R22">
            <v>74.035200000000003</v>
          </cell>
          <cell r="S22">
            <v>8.2364160000000002</v>
          </cell>
          <cell r="T22">
            <v>20.822399999999998</v>
          </cell>
          <cell r="V22">
            <v>103.09401600000001</v>
          </cell>
          <cell r="W22">
            <v>822.34598399999993</v>
          </cell>
          <cell r="X22">
            <v>83.289599999999993</v>
          </cell>
          <cell r="Z22">
            <v>16.102656</v>
          </cell>
          <cell r="AA22">
            <v>52.444684799999997</v>
          </cell>
          <cell r="AB22">
            <v>151.83694079999998</v>
          </cell>
          <cell r="AC22">
            <v>1077.2769407999999</v>
          </cell>
          <cell r="AD22">
            <v>77.089151999999999</v>
          </cell>
        </row>
        <row r="23">
          <cell r="A23">
            <v>16</v>
          </cell>
          <cell r="B23">
            <v>12</v>
          </cell>
          <cell r="C23" t="str">
            <v>MENA MERCADO WALTER MARTIN</v>
          </cell>
          <cell r="D23" t="str">
            <v>CHOFER</v>
          </cell>
          <cell r="E23" t="str">
            <v>UNION</v>
          </cell>
          <cell r="F23">
            <v>26</v>
          </cell>
          <cell r="G23">
            <v>38024</v>
          </cell>
          <cell r="H23">
            <v>4</v>
          </cell>
          <cell r="I23">
            <v>1</v>
          </cell>
          <cell r="J23">
            <v>780</v>
          </cell>
          <cell r="K23">
            <v>46</v>
          </cell>
          <cell r="L23">
            <v>826</v>
          </cell>
          <cell r="M23">
            <v>550.66666666666663</v>
          </cell>
          <cell r="N23">
            <v>121.66</v>
          </cell>
          <cell r="O23">
            <v>-4.59</v>
          </cell>
          <cell r="P23">
            <v>667.73666666666657</v>
          </cell>
          <cell r="Q23">
            <v>0</v>
          </cell>
          <cell r="R23">
            <v>53.418933333333328</v>
          </cell>
          <cell r="S23">
            <v>6.0096299999999996</v>
          </cell>
          <cell r="T23">
            <v>15.157622333333332</v>
          </cell>
          <cell r="V23">
            <v>74.586185666666665</v>
          </cell>
          <cell r="W23">
            <v>593.1504809999999</v>
          </cell>
          <cell r="X23">
            <v>60.096299999999985</v>
          </cell>
          <cell r="Z23">
            <v>11.618617999999998</v>
          </cell>
          <cell r="AA23">
            <v>37.840636899999993</v>
          </cell>
          <cell r="AB23">
            <v>109.55555489999998</v>
          </cell>
          <cell r="AC23">
            <v>777.29222156666651</v>
          </cell>
          <cell r="AD23">
            <v>55.622464333333326</v>
          </cell>
        </row>
        <row r="24">
          <cell r="A24">
            <v>17</v>
          </cell>
          <cell r="B24">
            <v>13</v>
          </cell>
          <cell r="C24" t="str">
            <v>PEREZ ROMANI DAVID</v>
          </cell>
          <cell r="D24" t="str">
            <v>CHOFER</v>
          </cell>
          <cell r="E24" t="str">
            <v>ONP</v>
          </cell>
          <cell r="F24">
            <v>26</v>
          </cell>
          <cell r="G24">
            <v>38161</v>
          </cell>
          <cell r="H24">
            <v>0</v>
          </cell>
          <cell r="J24">
            <v>780</v>
          </cell>
          <cell r="L24">
            <v>780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V24">
            <v>0</v>
          </cell>
          <cell r="W24">
            <v>0</v>
          </cell>
          <cell r="X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</row>
        <row r="25">
          <cell r="A25">
            <v>18</v>
          </cell>
          <cell r="B25">
            <v>14</v>
          </cell>
          <cell r="C25" t="str">
            <v>PONCIANO INGUZA ROBERTO</v>
          </cell>
          <cell r="D25" t="str">
            <v>CHOFER</v>
          </cell>
          <cell r="E25" t="str">
            <v>HORIZONTE</v>
          </cell>
          <cell r="F25">
            <v>26</v>
          </cell>
          <cell r="G25">
            <v>37671</v>
          </cell>
          <cell r="H25">
            <v>6</v>
          </cell>
          <cell r="I25">
            <v>3</v>
          </cell>
          <cell r="J25">
            <v>780</v>
          </cell>
          <cell r="K25">
            <v>46</v>
          </cell>
          <cell r="L25">
            <v>826</v>
          </cell>
          <cell r="M25">
            <v>826</v>
          </cell>
          <cell r="N25">
            <v>247.46</v>
          </cell>
          <cell r="O25">
            <v>-13.77</v>
          </cell>
          <cell r="P25">
            <v>1059.69</v>
          </cell>
          <cell r="Q25">
            <v>0</v>
          </cell>
          <cell r="R25">
            <v>84.775200000000012</v>
          </cell>
          <cell r="S25">
            <v>9.431241</v>
          </cell>
          <cell r="T25">
            <v>23.843025000000001</v>
          </cell>
          <cell r="V25">
            <v>118.04946600000001</v>
          </cell>
          <cell r="W25">
            <v>941.640534</v>
          </cell>
          <cell r="X25">
            <v>95.372100000000003</v>
          </cell>
          <cell r="Z25">
            <v>18.438606</v>
          </cell>
          <cell r="AA25">
            <v>60.052632299999999</v>
          </cell>
          <cell r="AB25">
            <v>173.86333830000001</v>
          </cell>
          <cell r="AC25">
            <v>1233.5533383000002</v>
          </cell>
          <cell r="AD25">
            <v>88.272176999999999</v>
          </cell>
        </row>
        <row r="26">
          <cell r="A26">
            <v>19</v>
          </cell>
          <cell r="B26">
            <v>15</v>
          </cell>
          <cell r="C26" t="str">
            <v>QUILLAY FUENTES LENIN ALBERTO</v>
          </cell>
          <cell r="D26" t="str">
            <v>CHOFER</v>
          </cell>
          <cell r="E26" t="str">
            <v>ONP</v>
          </cell>
          <cell r="F26">
            <v>26</v>
          </cell>
          <cell r="G26">
            <v>37956</v>
          </cell>
          <cell r="H26">
            <v>6</v>
          </cell>
          <cell r="I26">
            <v>3</v>
          </cell>
          <cell r="J26">
            <v>780</v>
          </cell>
          <cell r="K26">
            <v>46</v>
          </cell>
          <cell r="L26">
            <v>826</v>
          </cell>
          <cell r="M26">
            <v>826</v>
          </cell>
          <cell r="N26">
            <v>171.03</v>
          </cell>
          <cell r="O26">
            <v>-13.77</v>
          </cell>
          <cell r="P26">
            <v>983.26</v>
          </cell>
          <cell r="Q26">
            <v>127.82380000000001</v>
          </cell>
          <cell r="R26">
            <v>0</v>
          </cell>
          <cell r="S26">
            <v>0</v>
          </cell>
          <cell r="T26">
            <v>0</v>
          </cell>
          <cell r="V26">
            <v>127.82380000000001</v>
          </cell>
          <cell r="W26">
            <v>855.43619999999999</v>
          </cell>
          <cell r="X26">
            <v>88.493399999999994</v>
          </cell>
          <cell r="Z26">
            <v>17.108723999999999</v>
          </cell>
          <cell r="AA26">
            <v>55.721344199999997</v>
          </cell>
          <cell r="AB26">
            <v>161.32346819999998</v>
          </cell>
          <cell r="AC26">
            <v>1144.5834682</v>
          </cell>
          <cell r="AD26">
            <v>81.905557999999999</v>
          </cell>
        </row>
        <row r="27">
          <cell r="A27">
            <v>20</v>
          </cell>
          <cell r="B27">
            <v>16</v>
          </cell>
          <cell r="C27" t="str">
            <v>ROMERO JINES CARLOS</v>
          </cell>
          <cell r="D27" t="str">
            <v>CHOFER</v>
          </cell>
          <cell r="E27" t="str">
            <v>ONP</v>
          </cell>
          <cell r="F27">
            <v>26</v>
          </cell>
          <cell r="G27">
            <v>38062</v>
          </cell>
          <cell r="H27">
            <v>3</v>
          </cell>
          <cell r="I27">
            <v>3</v>
          </cell>
          <cell r="J27">
            <v>780</v>
          </cell>
          <cell r="L27">
            <v>780</v>
          </cell>
          <cell r="M27">
            <v>390</v>
          </cell>
          <cell r="N27">
            <v>123.5</v>
          </cell>
          <cell r="O27">
            <v>-13</v>
          </cell>
          <cell r="P27">
            <v>500.5</v>
          </cell>
          <cell r="Q27">
            <v>65.064999999999998</v>
          </cell>
          <cell r="R27">
            <v>0</v>
          </cell>
          <cell r="S27">
            <v>0</v>
          </cell>
          <cell r="T27">
            <v>0</v>
          </cell>
          <cell r="V27">
            <v>65.064999999999998</v>
          </cell>
          <cell r="W27">
            <v>435.435</v>
          </cell>
          <cell r="X27">
            <v>45.045000000000002</v>
          </cell>
          <cell r="Z27">
            <v>8.7086999999999986</v>
          </cell>
          <cell r="AA27">
            <v>28.363334999999999</v>
          </cell>
          <cell r="AB27">
            <v>82.117035000000001</v>
          </cell>
          <cell r="AC27">
            <v>582.61703499999999</v>
          </cell>
          <cell r="AD27">
            <v>41.691650000000003</v>
          </cell>
        </row>
        <row r="28">
          <cell r="A28">
            <v>21</v>
          </cell>
          <cell r="B28">
            <v>17</v>
          </cell>
          <cell r="C28" t="str">
            <v>ZARATE VILLAR CARLOS ALBERTO</v>
          </cell>
          <cell r="D28" t="str">
            <v>CHOFER</v>
          </cell>
          <cell r="E28" t="str">
            <v>ONP</v>
          </cell>
          <cell r="F28">
            <v>26</v>
          </cell>
          <cell r="G28">
            <v>38161</v>
          </cell>
          <cell r="H28">
            <v>0</v>
          </cell>
          <cell r="J28">
            <v>780</v>
          </cell>
          <cell r="L28">
            <v>780</v>
          </cell>
          <cell r="M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V28">
            <v>0</v>
          </cell>
          <cell r="W28">
            <v>0</v>
          </cell>
          <cell r="X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</row>
        <row r="29">
          <cell r="J29">
            <v>13500</v>
          </cell>
          <cell r="K29">
            <v>322</v>
          </cell>
          <cell r="L29">
            <v>13822</v>
          </cell>
          <cell r="M29">
            <v>10686.666666666666</v>
          </cell>
          <cell r="N29">
            <v>2407.52</v>
          </cell>
          <cell r="O29">
            <v>-340.65999999999985</v>
          </cell>
          <cell r="P29">
            <v>12753.526666666667</v>
          </cell>
          <cell r="Q29">
            <v>729.70039999999995</v>
          </cell>
          <cell r="R29">
            <v>571.23573333333331</v>
          </cell>
          <cell r="S29">
            <v>66.294879000000009</v>
          </cell>
          <cell r="T29">
            <v>165.03517133333335</v>
          </cell>
          <cell r="U29">
            <v>0</v>
          </cell>
          <cell r="V29">
            <v>1532.2661836666666</v>
          </cell>
          <cell r="W29">
            <v>11221.260483</v>
          </cell>
          <cell r="X29">
            <v>1147.8174000000001</v>
          </cell>
          <cell r="Y29">
            <v>0</v>
          </cell>
          <cell r="Z29">
            <v>221.91136399999996</v>
          </cell>
          <cell r="AA29">
            <v>722.74235620000002</v>
          </cell>
          <cell r="AB29">
            <v>2092.4711202000003</v>
          </cell>
          <cell r="AC29">
            <v>14845.997786866667</v>
          </cell>
          <cell r="AD29">
            <v>1062.3687713333336</v>
          </cell>
        </row>
        <row r="30">
          <cell r="C30" t="str">
            <v>OPERADORES:</v>
          </cell>
        </row>
        <row r="31">
          <cell r="A31">
            <v>22</v>
          </cell>
          <cell r="B31">
            <v>1</v>
          </cell>
          <cell r="C31" t="str">
            <v>AVILA LLANOS EMERSON</v>
          </cell>
          <cell r="D31" t="str">
            <v>OPERADOR MOTONIVELADORA</v>
          </cell>
          <cell r="E31" t="str">
            <v>PROFUTURO</v>
          </cell>
          <cell r="F31">
            <v>26</v>
          </cell>
          <cell r="G31">
            <v>36955</v>
          </cell>
          <cell r="H31">
            <v>6</v>
          </cell>
          <cell r="I31">
            <v>1</v>
          </cell>
          <cell r="J31">
            <v>780</v>
          </cell>
          <cell r="K31">
            <v>46</v>
          </cell>
          <cell r="L31">
            <v>826</v>
          </cell>
          <cell r="M31">
            <v>826</v>
          </cell>
          <cell r="N31">
            <v>357.61</v>
          </cell>
          <cell r="O31">
            <v>-4.59</v>
          </cell>
          <cell r="P31">
            <v>1179.0200000000002</v>
          </cell>
          <cell r="Q31">
            <v>0</v>
          </cell>
          <cell r="R31">
            <v>94.321600000000018</v>
          </cell>
          <cell r="S31">
            <v>12.026004000000002</v>
          </cell>
          <cell r="T31">
            <v>28.885990000000007</v>
          </cell>
          <cell r="V31">
            <v>135.23359400000004</v>
          </cell>
          <cell r="W31">
            <v>1043.7864060000002</v>
          </cell>
          <cell r="X31">
            <v>106.11180000000002</v>
          </cell>
          <cell r="Z31">
            <v>20.514948000000004</v>
          </cell>
          <cell r="AA31">
            <v>66.815063400000014</v>
          </cell>
          <cell r="AB31">
            <v>193.44181140000003</v>
          </cell>
          <cell r="AC31">
            <v>1372.4618114000002</v>
          </cell>
          <cell r="AD31">
            <v>98.212366000000017</v>
          </cell>
        </row>
        <row r="32">
          <cell r="A32">
            <v>23</v>
          </cell>
          <cell r="B32">
            <v>2</v>
          </cell>
          <cell r="C32" t="str">
            <v xml:space="preserve">ACEVEDO  EGUSQUIZA RUBEN </v>
          </cell>
          <cell r="D32" t="str">
            <v>OPERADOR SCOOP</v>
          </cell>
          <cell r="E32" t="str">
            <v>ONP</v>
          </cell>
          <cell r="F32">
            <v>26</v>
          </cell>
          <cell r="G32">
            <v>38062</v>
          </cell>
          <cell r="H32">
            <v>3</v>
          </cell>
          <cell r="J32">
            <v>780</v>
          </cell>
          <cell r="L32">
            <v>780</v>
          </cell>
          <cell r="M32">
            <v>390</v>
          </cell>
          <cell r="N32">
            <v>63.51</v>
          </cell>
          <cell r="O32">
            <v>0</v>
          </cell>
          <cell r="P32">
            <v>453.51</v>
          </cell>
          <cell r="Q32">
            <v>58.956299999999999</v>
          </cell>
          <cell r="R32">
            <v>0</v>
          </cell>
          <cell r="S32">
            <v>0</v>
          </cell>
          <cell r="T32">
            <v>0</v>
          </cell>
          <cell r="V32">
            <v>58.956299999999999</v>
          </cell>
          <cell r="W32">
            <v>394.55369999999999</v>
          </cell>
          <cell r="X32">
            <v>40.815899999999999</v>
          </cell>
          <cell r="Z32">
            <v>7.8910739999999997</v>
          </cell>
          <cell r="AA32">
            <v>25.7004117</v>
          </cell>
          <cell r="AB32">
            <v>74.407385700000006</v>
          </cell>
          <cell r="AC32">
            <v>527.91738569999995</v>
          </cell>
          <cell r="AD32">
            <v>37.777383</v>
          </cell>
        </row>
        <row r="33">
          <cell r="A33">
            <v>24</v>
          </cell>
          <cell r="B33">
            <v>3</v>
          </cell>
          <cell r="C33" t="str">
            <v>TRISTAN ORE UBER</v>
          </cell>
          <cell r="D33" t="str">
            <v>OPERADOR SCOOP</v>
          </cell>
          <cell r="E33" t="str">
            <v>UNION</v>
          </cell>
          <cell r="F33">
            <v>26</v>
          </cell>
          <cell r="G33">
            <v>38109</v>
          </cell>
          <cell r="H33">
            <v>1</v>
          </cell>
          <cell r="J33">
            <v>780</v>
          </cell>
          <cell r="K33">
            <v>46</v>
          </cell>
          <cell r="L33">
            <v>826</v>
          </cell>
          <cell r="M33">
            <v>137.66666666666666</v>
          </cell>
          <cell r="O33">
            <v>0</v>
          </cell>
          <cell r="P33">
            <v>137.66666666666666</v>
          </cell>
          <cell r="Q33">
            <v>0</v>
          </cell>
          <cell r="R33">
            <v>11.013333333333334</v>
          </cell>
          <cell r="S33">
            <v>1.2390000000000001</v>
          </cell>
          <cell r="T33">
            <v>3.1250333333333331</v>
          </cell>
          <cell r="V33">
            <v>15.377366666666667</v>
          </cell>
          <cell r="W33">
            <v>122.2893</v>
          </cell>
          <cell r="X33">
            <v>12.389999999999999</v>
          </cell>
          <cell r="Z33">
            <v>2.3953999999999995</v>
          </cell>
          <cell r="AA33">
            <v>7.801569999999999</v>
          </cell>
          <cell r="AB33">
            <v>22.586969999999997</v>
          </cell>
          <cell r="AC33">
            <v>160.25363666666667</v>
          </cell>
          <cell r="AD33">
            <v>11.467633333333332</v>
          </cell>
        </row>
        <row r="34">
          <cell r="A34">
            <v>25</v>
          </cell>
          <cell r="B34">
            <v>4</v>
          </cell>
          <cell r="C34" t="str">
            <v>ZEVALLOS LAUREANO WILFREDO RAUL</v>
          </cell>
          <cell r="D34" t="str">
            <v>OPERADOR TRACTOR</v>
          </cell>
          <cell r="E34" t="str">
            <v>UNION</v>
          </cell>
          <cell r="F34">
            <v>26</v>
          </cell>
          <cell r="G34">
            <v>37779</v>
          </cell>
          <cell r="H34">
            <v>6</v>
          </cell>
          <cell r="I34">
            <v>1</v>
          </cell>
          <cell r="J34">
            <v>780</v>
          </cell>
          <cell r="L34">
            <v>780</v>
          </cell>
          <cell r="M34">
            <v>780</v>
          </cell>
          <cell r="N34">
            <v>182.91</v>
          </cell>
          <cell r="O34">
            <v>-4.33</v>
          </cell>
          <cell r="P34">
            <v>958.57999999999993</v>
          </cell>
          <cell r="Q34">
            <v>0</v>
          </cell>
          <cell r="R34">
            <v>76.686399999999992</v>
          </cell>
          <cell r="S34">
            <v>8.6272200000000012</v>
          </cell>
          <cell r="T34">
            <v>21.759765999999999</v>
          </cell>
          <cell r="V34">
            <v>107.07338599999999</v>
          </cell>
          <cell r="W34">
            <v>851.5066139999999</v>
          </cell>
          <cell r="X34">
            <v>86.272199999999984</v>
          </cell>
          <cell r="Z34">
            <v>16.679291999999997</v>
          </cell>
          <cell r="AA34">
            <v>54.322728599999991</v>
          </cell>
          <cell r="AB34">
            <v>157.27422059999998</v>
          </cell>
          <cell r="AC34">
            <v>1115.8542206</v>
          </cell>
          <cell r="AD34">
            <v>79.849713999999992</v>
          </cell>
        </row>
        <row r="35">
          <cell r="J35">
            <v>3120</v>
          </cell>
          <cell r="K35">
            <v>92</v>
          </cell>
          <cell r="L35">
            <v>3212</v>
          </cell>
          <cell r="M35">
            <v>2133.666666666667</v>
          </cell>
          <cell r="N35">
            <v>604.03</v>
          </cell>
          <cell r="O35">
            <v>-8.92</v>
          </cell>
          <cell r="P35">
            <v>2728.7766666666666</v>
          </cell>
          <cell r="Q35">
            <v>58.956299999999999</v>
          </cell>
          <cell r="R35">
            <v>182.02133333333336</v>
          </cell>
          <cell r="S35">
            <v>21.892224000000006</v>
          </cell>
          <cell r="T35">
            <v>53.77078933333334</v>
          </cell>
          <cell r="U35">
            <v>0</v>
          </cell>
          <cell r="V35">
            <v>316.64064666666667</v>
          </cell>
          <cell r="W35">
            <v>2412.1360199999999</v>
          </cell>
          <cell r="X35">
            <v>245.5899</v>
          </cell>
          <cell r="Y35">
            <v>0</v>
          </cell>
          <cell r="Z35">
            <v>47.480713999999999</v>
          </cell>
          <cell r="AA35">
            <v>154.63977370000001</v>
          </cell>
          <cell r="AB35">
            <v>447.71038770000001</v>
          </cell>
          <cell r="AC35">
            <v>3176.4870543666666</v>
          </cell>
          <cell r="AD35">
            <v>227.30709633333333</v>
          </cell>
        </row>
        <row r="36">
          <cell r="C36" t="str">
            <v>TALLER</v>
          </cell>
        </row>
        <row r="37">
          <cell r="A37">
            <v>26</v>
          </cell>
          <cell r="B37">
            <v>1</v>
          </cell>
          <cell r="C37" t="str">
            <v>CASTILLO CHOQUEHUANCA APULINAR</v>
          </cell>
          <cell r="D37" t="str">
            <v>SOLDADOR</v>
          </cell>
          <cell r="E37" t="str">
            <v>INTEGRA</v>
          </cell>
          <cell r="F37">
            <v>25</v>
          </cell>
          <cell r="G37">
            <v>38109</v>
          </cell>
          <cell r="H37">
            <v>1</v>
          </cell>
          <cell r="J37">
            <v>750</v>
          </cell>
          <cell r="K37">
            <v>46</v>
          </cell>
          <cell r="L37">
            <v>796</v>
          </cell>
          <cell r="M37">
            <v>132.66666666666666</v>
          </cell>
          <cell r="O37">
            <v>0</v>
          </cell>
          <cell r="P37">
            <v>132.66666666666666</v>
          </cell>
          <cell r="Q37">
            <v>0</v>
          </cell>
          <cell r="R37">
            <v>10.613333333333333</v>
          </cell>
          <cell r="S37">
            <v>1.1674666666666667</v>
          </cell>
          <cell r="T37">
            <v>2.786</v>
          </cell>
          <cell r="V37">
            <v>14.566799999999999</v>
          </cell>
          <cell r="W37">
            <v>118.09986666666666</v>
          </cell>
          <cell r="X37">
            <v>11.94</v>
          </cell>
          <cell r="Z37">
            <v>2.3083999999999998</v>
          </cell>
          <cell r="AA37">
            <v>7.5182199999999995</v>
          </cell>
          <cell r="AB37">
            <v>21.76662</v>
          </cell>
          <cell r="AC37">
            <v>154.43328666666665</v>
          </cell>
          <cell r="AD37">
            <v>11.051133333333333</v>
          </cell>
        </row>
        <row r="38">
          <cell r="A38">
            <v>27</v>
          </cell>
          <cell r="B38">
            <v>2</v>
          </cell>
          <cell r="C38" t="str">
            <v>ESPINOZA PEÑA LUIS BELTRAN</v>
          </cell>
          <cell r="D38" t="str">
            <v>OPERADOR SCOOP</v>
          </cell>
          <cell r="E38" t="str">
            <v>ONP</v>
          </cell>
          <cell r="F38">
            <v>26</v>
          </cell>
          <cell r="G38">
            <v>38062</v>
          </cell>
          <cell r="H38">
            <v>3</v>
          </cell>
          <cell r="J38">
            <v>780</v>
          </cell>
          <cell r="L38">
            <v>780</v>
          </cell>
          <cell r="M38">
            <v>390</v>
          </cell>
          <cell r="N38">
            <v>116.32</v>
          </cell>
          <cell r="O38">
            <v>0</v>
          </cell>
          <cell r="P38">
            <v>506.32</v>
          </cell>
          <cell r="Q38">
            <v>65.821600000000004</v>
          </cell>
          <cell r="R38">
            <v>0</v>
          </cell>
          <cell r="S38">
            <v>0</v>
          </cell>
          <cell r="T38">
            <v>0</v>
          </cell>
          <cell r="V38">
            <v>65.821600000000004</v>
          </cell>
          <cell r="W38">
            <v>440.4984</v>
          </cell>
          <cell r="X38">
            <v>45.568799999999996</v>
          </cell>
          <cell r="Z38">
            <v>8.8099679999999996</v>
          </cell>
          <cell r="AA38">
            <v>28.693154399999997</v>
          </cell>
          <cell r="AB38">
            <v>83.071922399999991</v>
          </cell>
          <cell r="AC38">
            <v>589.3919224</v>
          </cell>
          <cell r="AD38">
            <v>42.176456000000002</v>
          </cell>
        </row>
        <row r="39">
          <cell r="A39">
            <v>28</v>
          </cell>
          <cell r="B39">
            <v>3</v>
          </cell>
          <cell r="C39" t="str">
            <v>HUIZA ESPINOZA SANTIAGO</v>
          </cell>
          <cell r="D39" t="str">
            <v>OPERADOR TRACKLES</v>
          </cell>
          <cell r="E39" t="str">
            <v>ONP</v>
          </cell>
          <cell r="F39">
            <v>30</v>
          </cell>
          <cell r="G39">
            <v>36586</v>
          </cell>
          <cell r="H39">
            <v>6</v>
          </cell>
          <cell r="I39">
            <v>4</v>
          </cell>
          <cell r="J39">
            <v>900</v>
          </cell>
          <cell r="K39">
            <v>46</v>
          </cell>
          <cell r="L39">
            <v>946</v>
          </cell>
          <cell r="M39">
            <v>946</v>
          </cell>
          <cell r="N39">
            <v>389.19</v>
          </cell>
          <cell r="O39">
            <v>-21.02</v>
          </cell>
          <cell r="P39">
            <v>1314.17</v>
          </cell>
          <cell r="Q39">
            <v>170.84210000000002</v>
          </cell>
          <cell r="R39">
            <v>0</v>
          </cell>
          <cell r="S39">
            <v>0</v>
          </cell>
          <cell r="T39">
            <v>0</v>
          </cell>
          <cell r="V39">
            <v>170.84210000000002</v>
          </cell>
          <cell r="W39">
            <v>1143.3279</v>
          </cell>
          <cell r="X39">
            <v>118.2753</v>
          </cell>
          <cell r="Z39">
            <v>22.866558000000001</v>
          </cell>
          <cell r="AA39">
            <v>74.474013900000003</v>
          </cell>
          <cell r="AB39">
            <v>215.6158719</v>
          </cell>
          <cell r="AC39">
            <v>1529.7858719000001</v>
          </cell>
          <cell r="AD39">
            <v>109.47036100000001</v>
          </cell>
        </row>
        <row r="40">
          <cell r="A40">
            <v>29</v>
          </cell>
          <cell r="B40">
            <v>4</v>
          </cell>
          <cell r="C40" t="str">
            <v>LAUREANO VICTORIO JAFET</v>
          </cell>
          <cell r="D40" t="str">
            <v>LLANTERO</v>
          </cell>
          <cell r="E40" t="str">
            <v>ONP</v>
          </cell>
          <cell r="F40">
            <v>21.5</v>
          </cell>
          <cell r="G40">
            <v>38108</v>
          </cell>
          <cell r="H40">
            <v>2</v>
          </cell>
          <cell r="J40">
            <v>645</v>
          </cell>
          <cell r="L40">
            <v>645</v>
          </cell>
          <cell r="M40">
            <v>215</v>
          </cell>
          <cell r="O40">
            <v>0</v>
          </cell>
          <cell r="P40">
            <v>215</v>
          </cell>
          <cell r="Q40">
            <v>27.95</v>
          </cell>
          <cell r="R40">
            <v>0</v>
          </cell>
          <cell r="S40">
            <v>0</v>
          </cell>
          <cell r="T40">
            <v>0</v>
          </cell>
          <cell r="V40">
            <v>27.95</v>
          </cell>
          <cell r="W40">
            <v>187.05</v>
          </cell>
          <cell r="X40">
            <v>19.349999999999998</v>
          </cell>
          <cell r="Z40">
            <v>3.7409999999999997</v>
          </cell>
          <cell r="AA40">
            <v>12.184049999999999</v>
          </cell>
          <cell r="AB40">
            <v>35.275049999999993</v>
          </cell>
          <cell r="AC40">
            <v>250.27504999999999</v>
          </cell>
          <cell r="AD40">
            <v>17.909500000000001</v>
          </cell>
        </row>
        <row r="41">
          <cell r="A41">
            <v>30</v>
          </cell>
          <cell r="B41">
            <v>5</v>
          </cell>
          <cell r="C41" t="str">
            <v>QUISPE AGUILAR PELAYO</v>
          </cell>
          <cell r="D41" t="str">
            <v>SOLDADOR</v>
          </cell>
          <cell r="E41" t="str">
            <v>INTEGRA</v>
          </cell>
          <cell r="F41">
            <v>30</v>
          </cell>
          <cell r="G41">
            <v>37898</v>
          </cell>
          <cell r="H41">
            <v>6</v>
          </cell>
          <cell r="I41">
            <v>1</v>
          </cell>
          <cell r="J41">
            <v>900</v>
          </cell>
          <cell r="L41">
            <v>900</v>
          </cell>
          <cell r="M41">
            <v>900</v>
          </cell>
          <cell r="O41">
            <v>-5</v>
          </cell>
          <cell r="P41">
            <v>895</v>
          </cell>
          <cell r="Q41">
            <v>0</v>
          </cell>
          <cell r="R41">
            <v>71.600000000000009</v>
          </cell>
          <cell r="S41">
            <v>7.8760000000000003</v>
          </cell>
          <cell r="T41">
            <v>18.795000000000002</v>
          </cell>
          <cell r="V41">
            <v>98.271000000000015</v>
          </cell>
          <cell r="W41">
            <v>796.72900000000004</v>
          </cell>
          <cell r="X41">
            <v>80.55</v>
          </cell>
          <cell r="Z41">
            <v>15.572999999999999</v>
          </cell>
          <cell r="AA41">
            <v>50.719650000000001</v>
          </cell>
          <cell r="AB41">
            <v>146.84264999999999</v>
          </cell>
          <cell r="AC41">
            <v>1041.84265</v>
          </cell>
          <cell r="AD41">
            <v>74.5535</v>
          </cell>
        </row>
        <row r="42">
          <cell r="A42">
            <v>31</v>
          </cell>
          <cell r="B42">
            <v>6</v>
          </cell>
          <cell r="C42" t="str">
            <v>RAMIREZ VERA WILFREDO</v>
          </cell>
          <cell r="D42" t="str">
            <v>MECANICO</v>
          </cell>
          <cell r="E42" t="str">
            <v>UNION</v>
          </cell>
          <cell r="F42">
            <v>30</v>
          </cell>
          <cell r="G42">
            <v>37623</v>
          </cell>
          <cell r="H42">
            <v>6</v>
          </cell>
          <cell r="I42">
            <v>3</v>
          </cell>
          <cell r="J42">
            <v>900</v>
          </cell>
          <cell r="K42">
            <v>46</v>
          </cell>
          <cell r="L42">
            <v>946</v>
          </cell>
          <cell r="M42">
            <v>946</v>
          </cell>
          <cell r="O42">
            <v>-15.77</v>
          </cell>
          <cell r="P42">
            <v>930.23</v>
          </cell>
          <cell r="Q42">
            <v>0</v>
          </cell>
          <cell r="R42">
            <v>74.418400000000005</v>
          </cell>
          <cell r="S42">
            <v>8.3720700000000008</v>
          </cell>
          <cell r="T42">
            <v>21.116221000000003</v>
          </cell>
          <cell r="V42">
            <v>103.906691</v>
          </cell>
          <cell r="W42">
            <v>826.32330899999999</v>
          </cell>
          <cell r="X42">
            <v>83.720699999999994</v>
          </cell>
          <cell r="Z42">
            <v>16.186001999999998</v>
          </cell>
          <cell r="AA42">
            <v>52.716134099999998</v>
          </cell>
          <cell r="AB42">
            <v>152.6228361</v>
          </cell>
          <cell r="AC42">
            <v>1082.8528361000001</v>
          </cell>
          <cell r="AD42">
            <v>77.488158999999996</v>
          </cell>
        </row>
        <row r="43">
          <cell r="A43">
            <v>32</v>
          </cell>
          <cell r="B43">
            <v>7</v>
          </cell>
          <cell r="C43" t="str">
            <v>RIOS PONCE  JIMMY</v>
          </cell>
          <cell r="D43" t="str">
            <v>AYUD. MECANICO</v>
          </cell>
          <cell r="E43" t="str">
            <v>HORIZONTE</v>
          </cell>
          <cell r="F43">
            <v>22</v>
          </cell>
          <cell r="G43">
            <v>37926</v>
          </cell>
          <cell r="H43">
            <v>6</v>
          </cell>
          <cell r="J43">
            <v>660</v>
          </cell>
          <cell r="L43">
            <v>660</v>
          </cell>
          <cell r="M43">
            <v>660</v>
          </cell>
          <cell r="N43">
            <v>226.3</v>
          </cell>
          <cell r="O43">
            <v>0</v>
          </cell>
          <cell r="P43">
            <v>886.3</v>
          </cell>
          <cell r="Q43">
            <v>0</v>
          </cell>
          <cell r="R43">
            <v>70.903999999999996</v>
          </cell>
          <cell r="S43">
            <v>7.8880699999999999</v>
          </cell>
          <cell r="T43">
            <v>19.941749999999999</v>
          </cell>
          <cell r="V43">
            <v>98.733819999999994</v>
          </cell>
          <cell r="W43">
            <v>787.56617999999992</v>
          </cell>
          <cell r="X43">
            <v>79.766999999999996</v>
          </cell>
          <cell r="Z43">
            <v>15.421619999999999</v>
          </cell>
          <cell r="AA43">
            <v>50.226620999999994</v>
          </cell>
          <cell r="AB43">
            <v>145.41524099999998</v>
          </cell>
          <cell r="AC43">
            <v>1031.7152409999999</v>
          </cell>
          <cell r="AD43">
            <v>73.828789999999998</v>
          </cell>
        </row>
        <row r="44">
          <cell r="A44">
            <v>33</v>
          </cell>
          <cell r="B44">
            <v>8</v>
          </cell>
          <cell r="C44" t="str">
            <v>SILVESTRE LAUREANO NOE PITER</v>
          </cell>
          <cell r="D44" t="str">
            <v>LLANTERO</v>
          </cell>
          <cell r="E44" t="str">
            <v>ONP</v>
          </cell>
          <cell r="F44">
            <v>21.5</v>
          </cell>
          <cell r="G44">
            <v>38078</v>
          </cell>
          <cell r="H44">
            <v>3</v>
          </cell>
          <cell r="J44">
            <v>645</v>
          </cell>
          <cell r="K44">
            <v>46</v>
          </cell>
          <cell r="L44">
            <v>691</v>
          </cell>
          <cell r="M44">
            <v>345.5</v>
          </cell>
          <cell r="O44">
            <v>0</v>
          </cell>
          <cell r="P44">
            <v>345.5</v>
          </cell>
          <cell r="Q44">
            <v>44.914999999999999</v>
          </cell>
          <cell r="R44">
            <v>0</v>
          </cell>
          <cell r="S44">
            <v>0</v>
          </cell>
          <cell r="T44">
            <v>0</v>
          </cell>
          <cell r="V44">
            <v>44.914999999999999</v>
          </cell>
          <cell r="W44">
            <v>300.58499999999998</v>
          </cell>
          <cell r="X44">
            <v>31.094999999999999</v>
          </cell>
          <cell r="Z44">
            <v>6.0116999999999994</v>
          </cell>
          <cell r="AA44">
            <v>19.579484999999998</v>
          </cell>
          <cell r="AB44">
            <v>56.686184999999995</v>
          </cell>
          <cell r="AC44">
            <v>402.18618500000002</v>
          </cell>
          <cell r="AD44">
            <v>28.780149999999999</v>
          </cell>
        </row>
        <row r="45">
          <cell r="J45">
            <v>6180</v>
          </cell>
          <cell r="K45">
            <v>184</v>
          </cell>
          <cell r="L45">
            <v>6364</v>
          </cell>
          <cell r="M45">
            <v>4535.1666666666661</v>
          </cell>
          <cell r="N45">
            <v>731.81</v>
          </cell>
          <cell r="O45">
            <v>-41.79</v>
          </cell>
          <cell r="P45">
            <v>5225.1866666666665</v>
          </cell>
          <cell r="Q45">
            <v>309.52870000000001</v>
          </cell>
          <cell r="R45">
            <v>227.53573333333333</v>
          </cell>
          <cell r="S45">
            <v>25.303606666666667</v>
          </cell>
          <cell r="T45">
            <v>62.638971000000005</v>
          </cell>
          <cell r="U45">
            <v>0</v>
          </cell>
          <cell r="V45">
            <v>625.00701100000003</v>
          </cell>
          <cell r="W45">
            <v>4600.1796556666668</v>
          </cell>
          <cell r="X45">
            <v>470.26679999999999</v>
          </cell>
          <cell r="Y45">
            <v>0</v>
          </cell>
          <cell r="Z45">
            <v>90.918248000000006</v>
          </cell>
          <cell r="AA45">
            <v>296.11132839999999</v>
          </cell>
          <cell r="AB45">
            <v>857.2963764000001</v>
          </cell>
          <cell r="AC45">
            <v>6082.4830430666661</v>
          </cell>
          <cell r="AD45">
            <v>435.2580493333333</v>
          </cell>
        </row>
        <row r="46">
          <cell r="C46" t="str">
            <v>TOTAL PLANILLA</v>
          </cell>
          <cell r="J46">
            <v>27160</v>
          </cell>
          <cell r="K46">
            <v>598</v>
          </cell>
          <cell r="L46">
            <v>27758</v>
          </cell>
          <cell r="M46">
            <v>17965.5</v>
          </cell>
          <cell r="N46">
            <v>4083.3599999999997</v>
          </cell>
          <cell r="O46">
            <v>-391.36999999999983</v>
          </cell>
          <cell r="P46">
            <v>21657.489999999998</v>
          </cell>
          <cell r="Q46">
            <v>1098.1853999999998</v>
          </cell>
          <cell r="R46">
            <v>1056.7927999999999</v>
          </cell>
          <cell r="S46">
            <v>122.14070966666668</v>
          </cell>
          <cell r="T46">
            <v>303.11993166666667</v>
          </cell>
          <cell r="U46">
            <v>0</v>
          </cell>
          <cell r="V46">
            <v>2580.2388413333329</v>
          </cell>
          <cell r="W46">
            <v>19077.251158666666</v>
          </cell>
          <cell r="X46">
            <v>1949.1741000000002</v>
          </cell>
          <cell r="Y46">
            <v>0</v>
          </cell>
          <cell r="Z46">
            <v>376.84032599999995</v>
          </cell>
          <cell r="AA46">
            <v>1227.3299582999998</v>
          </cell>
          <cell r="AB46">
            <v>3553.3443843000005</v>
          </cell>
          <cell r="AC46">
            <v>25210.8343843</v>
          </cell>
          <cell r="AD46">
            <v>1804.0689170000003</v>
          </cell>
        </row>
        <row r="47">
          <cell r="C47" t="str">
            <v>OPERADORES SCOOP TORO Y WAGNER</v>
          </cell>
        </row>
        <row r="48">
          <cell r="A48">
            <v>34</v>
          </cell>
          <cell r="B48">
            <v>1</v>
          </cell>
          <cell r="C48" t="str">
            <v>ALBORNOZ VEGA JULIO</v>
          </cell>
          <cell r="D48" t="str">
            <v>OPERADOR SCOOP</v>
          </cell>
          <cell r="E48" t="str">
            <v>ONP</v>
          </cell>
          <cell r="F48">
            <v>30</v>
          </cell>
          <cell r="G48">
            <v>37386</v>
          </cell>
          <cell r="H48">
            <v>6</v>
          </cell>
          <cell r="I48">
            <v>1</v>
          </cell>
          <cell r="J48">
            <v>900</v>
          </cell>
          <cell r="K48">
            <v>46</v>
          </cell>
          <cell r="L48">
            <v>946</v>
          </cell>
          <cell r="M48">
            <v>946</v>
          </cell>
          <cell r="O48">
            <v>-5.26</v>
          </cell>
          <cell r="P48">
            <v>940.74</v>
          </cell>
          <cell r="Q48">
            <v>122.2962</v>
          </cell>
          <cell r="R48">
            <v>0</v>
          </cell>
          <cell r="S48">
            <v>0</v>
          </cell>
          <cell r="T48">
            <v>0</v>
          </cell>
          <cell r="V48">
            <v>122.2962</v>
          </cell>
          <cell r="W48">
            <v>818.44380000000001</v>
          </cell>
          <cell r="X48">
            <v>84.666600000000003</v>
          </cell>
          <cell r="Z48">
            <v>16.368876</v>
          </cell>
          <cell r="AB48">
            <v>101.035476</v>
          </cell>
          <cell r="AC48">
            <v>1041.775476</v>
          </cell>
          <cell r="AD48">
            <v>78.363641999999999</v>
          </cell>
        </row>
        <row r="49">
          <cell r="A49">
            <v>35</v>
          </cell>
          <cell r="B49">
            <v>2</v>
          </cell>
          <cell r="C49" t="str">
            <v xml:space="preserve">ALVAREZ DEXTRE MAGLORIO MARCOS </v>
          </cell>
          <cell r="D49" t="str">
            <v>OPERADOR SCOOP</v>
          </cell>
          <cell r="E49" t="str">
            <v>ONP</v>
          </cell>
          <cell r="F49">
            <v>26</v>
          </cell>
          <cell r="G49">
            <v>38117</v>
          </cell>
          <cell r="H49">
            <v>1</v>
          </cell>
          <cell r="I49">
            <v>6</v>
          </cell>
          <cell r="J49">
            <v>780</v>
          </cell>
          <cell r="L49">
            <v>780</v>
          </cell>
          <cell r="M49">
            <v>130</v>
          </cell>
          <cell r="O49">
            <v>-26</v>
          </cell>
          <cell r="P49">
            <v>104</v>
          </cell>
          <cell r="Q49">
            <v>13.52</v>
          </cell>
          <cell r="R49">
            <v>0</v>
          </cell>
          <cell r="S49">
            <v>0</v>
          </cell>
          <cell r="T49">
            <v>0</v>
          </cell>
          <cell r="V49">
            <v>13.52</v>
          </cell>
          <cell r="W49">
            <v>90.48</v>
          </cell>
          <cell r="X49">
            <v>9.36</v>
          </cell>
          <cell r="Z49">
            <v>1.8095999999999999</v>
          </cell>
          <cell r="AB49">
            <v>11.169599999999999</v>
          </cell>
          <cell r="AC49">
            <v>115.1696</v>
          </cell>
          <cell r="AD49">
            <v>8.6631999999999998</v>
          </cell>
        </row>
        <row r="50">
          <cell r="A50">
            <v>36</v>
          </cell>
          <cell r="B50">
            <v>3</v>
          </cell>
          <cell r="C50" t="str">
            <v>CADILLO PAUCAR HILARIO MAXIMO</v>
          </cell>
          <cell r="D50" t="str">
            <v>OPERADOR SCOOP</v>
          </cell>
          <cell r="E50" t="str">
            <v>PROFUTURO</v>
          </cell>
          <cell r="F50">
            <v>26</v>
          </cell>
          <cell r="G50">
            <v>38139</v>
          </cell>
          <cell r="H50">
            <v>1</v>
          </cell>
          <cell r="J50">
            <v>780</v>
          </cell>
          <cell r="L50">
            <v>780</v>
          </cell>
          <cell r="M50">
            <v>130</v>
          </cell>
          <cell r="O50">
            <v>0</v>
          </cell>
          <cell r="P50">
            <v>130</v>
          </cell>
          <cell r="Q50">
            <v>0</v>
          </cell>
          <cell r="R50">
            <v>10.4</v>
          </cell>
          <cell r="S50">
            <v>1.3260000000000001</v>
          </cell>
          <cell r="T50">
            <v>3.1850000000000001</v>
          </cell>
          <cell r="V50">
            <v>14.911000000000001</v>
          </cell>
          <cell r="W50">
            <v>115.089</v>
          </cell>
          <cell r="X50">
            <v>11.7</v>
          </cell>
          <cell r="Z50">
            <v>2.262</v>
          </cell>
          <cell r="AB50">
            <v>13.962</v>
          </cell>
          <cell r="AC50">
            <v>143.96199999999999</v>
          </cell>
          <cell r="AD50">
            <v>10.829000000000001</v>
          </cell>
        </row>
        <row r="51">
          <cell r="A51">
            <v>37</v>
          </cell>
          <cell r="B51">
            <v>4</v>
          </cell>
          <cell r="C51" t="str">
            <v>CERNA TREJO RIGOBERTO</v>
          </cell>
          <cell r="D51" t="str">
            <v>OPERADOR SCOOP</v>
          </cell>
          <cell r="E51" t="str">
            <v>ONP</v>
          </cell>
          <cell r="F51">
            <v>30</v>
          </cell>
          <cell r="G51">
            <v>37386</v>
          </cell>
          <cell r="H51">
            <v>6</v>
          </cell>
          <cell r="I51">
            <v>1</v>
          </cell>
          <cell r="J51">
            <v>900</v>
          </cell>
          <cell r="K51">
            <v>46</v>
          </cell>
          <cell r="L51">
            <v>946</v>
          </cell>
          <cell r="M51">
            <v>946</v>
          </cell>
          <cell r="O51">
            <v>-5.26</v>
          </cell>
          <cell r="P51">
            <v>940.74</v>
          </cell>
          <cell r="Q51">
            <v>122.2962</v>
          </cell>
          <cell r="R51">
            <v>0</v>
          </cell>
          <cell r="S51">
            <v>0</v>
          </cell>
          <cell r="T51">
            <v>0</v>
          </cell>
          <cell r="V51">
            <v>122.2962</v>
          </cell>
          <cell r="W51">
            <v>818.44380000000001</v>
          </cell>
          <cell r="X51">
            <v>84.666600000000003</v>
          </cell>
          <cell r="Z51">
            <v>16.368876</v>
          </cell>
          <cell r="AB51">
            <v>101.035476</v>
          </cell>
          <cell r="AC51">
            <v>1041.775476</v>
          </cell>
          <cell r="AD51">
            <v>78.363641999999999</v>
          </cell>
        </row>
        <row r="52">
          <cell r="A52">
            <v>38</v>
          </cell>
          <cell r="B52">
            <v>5</v>
          </cell>
          <cell r="C52" t="str">
            <v>SANTILLAN  ESPINOZA ISAC FELIX</v>
          </cell>
          <cell r="D52" t="str">
            <v>OPERADOR SCOOP</v>
          </cell>
          <cell r="E52" t="str">
            <v>ONP</v>
          </cell>
          <cell r="F52">
            <v>26</v>
          </cell>
          <cell r="G52">
            <v>38143</v>
          </cell>
          <cell r="H52">
            <v>0</v>
          </cell>
          <cell r="J52">
            <v>780</v>
          </cell>
          <cell r="L52">
            <v>780</v>
          </cell>
          <cell r="M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V52">
            <v>0</v>
          </cell>
          <cell r="W52">
            <v>0</v>
          </cell>
          <cell r="X52">
            <v>0</v>
          </cell>
          <cell r="Z52">
            <v>0</v>
          </cell>
          <cell r="AB52">
            <v>0</v>
          </cell>
          <cell r="AC52">
            <v>0</v>
          </cell>
          <cell r="AD52">
            <v>0</v>
          </cell>
        </row>
        <row r="53">
          <cell r="J53">
            <v>4140</v>
          </cell>
          <cell r="K53">
            <v>92</v>
          </cell>
          <cell r="L53">
            <v>4232</v>
          </cell>
          <cell r="M53">
            <v>2152</v>
          </cell>
          <cell r="N53">
            <v>0</v>
          </cell>
          <cell r="O53">
            <v>-36.519999999999996</v>
          </cell>
          <cell r="P53">
            <v>2115.48</v>
          </cell>
          <cell r="Q53">
            <v>258.11239999999998</v>
          </cell>
          <cell r="R53">
            <v>10.4</v>
          </cell>
          <cell r="S53">
            <v>1.3260000000000001</v>
          </cell>
          <cell r="T53">
            <v>3.1850000000000001</v>
          </cell>
          <cell r="U53">
            <v>0</v>
          </cell>
          <cell r="V53">
            <v>273.02340000000004</v>
          </cell>
          <cell r="W53">
            <v>1842.4566</v>
          </cell>
          <cell r="X53">
            <v>190.39320000000001</v>
          </cell>
          <cell r="Y53">
            <v>0</v>
          </cell>
          <cell r="Z53">
            <v>36.809352000000004</v>
          </cell>
          <cell r="AA53">
            <v>0</v>
          </cell>
          <cell r="AB53">
            <v>227.20255200000003</v>
          </cell>
          <cell r="AC53">
            <v>2342.6825520000002</v>
          </cell>
          <cell r="AD53">
            <v>176.21948399999999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RTA 5TA"/>
      <sheetName val="GENERAL"/>
      <sheetName val="TAREOS"/>
      <sheetName val="PLANILLA OBREROS"/>
      <sheetName val="BOLETAS OBREROS"/>
      <sheetName val="PLANILLA EMPLEADOS"/>
      <sheetName val="BOLETAS EMPLEADOS"/>
      <sheetName val="RESUMEN PLANILLAS"/>
      <sheetName val="CONCESIONARIOS"/>
      <sheetName val="ADELANTO VACACIONES"/>
      <sheetName val="CONTROL DE TAREAS"/>
      <sheetName val="PROVISION agosto"/>
      <sheetName val="PROVISION"/>
      <sheetName val="PLANILLA NOMINAL"/>
      <sheetName val="VIDALEYEMP"/>
      <sheetName val="VIDALEYOBR"/>
      <sheetName val="SCTRPEN"/>
      <sheetName val="SCTRSAL"/>
    </sheetNames>
    <sheetDataSet>
      <sheetData sheetId="0" refreshError="1"/>
      <sheetData sheetId="1" refreshError="1"/>
      <sheetData sheetId="2" refreshError="1">
        <row r="9">
          <cell r="A9">
            <v>1</v>
          </cell>
          <cell r="B9" t="str">
            <v>ADVINCULA CRISTOBAL AURELIO</v>
          </cell>
          <cell r="C9" t="str">
            <v>ONP</v>
          </cell>
          <cell r="D9">
            <v>0.13</v>
          </cell>
          <cell r="E9">
            <v>39647</v>
          </cell>
          <cell r="F9">
            <v>39716</v>
          </cell>
          <cell r="G9" t="str">
            <v>8108151AICSA00</v>
          </cell>
          <cell r="H9" t="str">
            <v>PERFORISTA</v>
          </cell>
          <cell r="I9">
            <v>54.15</v>
          </cell>
          <cell r="J9" t="str">
            <v>SI</v>
          </cell>
          <cell r="K9">
            <v>1.8333333333333333</v>
          </cell>
          <cell r="L9" t="str">
            <v>43526711</v>
          </cell>
          <cell r="N9">
            <v>0</v>
          </cell>
          <cell r="O9" t="str">
            <v>ONP</v>
          </cell>
          <cell r="P9">
            <v>29813</v>
          </cell>
          <cell r="Q9">
            <v>0</v>
          </cell>
          <cell r="R9">
            <v>0</v>
          </cell>
          <cell r="W9" t="str">
            <v>04-324-030226</v>
          </cell>
          <cell r="X9">
            <v>0</v>
          </cell>
          <cell r="Z9">
            <v>0</v>
          </cell>
          <cell r="AC9" t="str">
            <v>CONVIVIENTE</v>
          </cell>
          <cell r="AD9" t="str">
            <v>PASCO</v>
          </cell>
          <cell r="AE9">
            <v>2</v>
          </cell>
        </row>
        <row r="10">
          <cell r="A10">
            <v>2</v>
          </cell>
          <cell r="B10" t="str">
            <v>AGUILAR DEUDOR ALFREDO EDUARDO</v>
          </cell>
          <cell r="C10" t="str">
            <v>ONP</v>
          </cell>
          <cell r="D10">
            <v>0.13</v>
          </cell>
          <cell r="E10">
            <v>39345</v>
          </cell>
          <cell r="F10">
            <v>39716</v>
          </cell>
          <cell r="G10" t="str">
            <v>7311111AIDDA00</v>
          </cell>
          <cell r="H10" t="str">
            <v>OP. SCOOP</v>
          </cell>
          <cell r="I10">
            <v>59.65</v>
          </cell>
          <cell r="J10" t="str">
            <v>SI</v>
          </cell>
          <cell r="K10">
            <v>1.8333333333333333</v>
          </cell>
          <cell r="L10" t="str">
            <v>04069999</v>
          </cell>
          <cell r="N10">
            <v>0</v>
          </cell>
          <cell r="O10" t="str">
            <v>ONP</v>
          </cell>
          <cell r="P10">
            <v>26979</v>
          </cell>
          <cell r="Q10">
            <v>5</v>
          </cell>
          <cell r="R10">
            <v>0</v>
          </cell>
          <cell r="W10" t="str">
            <v>04-324-041619</v>
          </cell>
          <cell r="X10">
            <v>22.55</v>
          </cell>
          <cell r="Z10">
            <v>0</v>
          </cell>
          <cell r="AC10" t="str">
            <v>CONVIVIENTE</v>
          </cell>
          <cell r="AD10" t="str">
            <v>PASCO</v>
          </cell>
          <cell r="AE10">
            <v>8</v>
          </cell>
        </row>
        <row r="11">
          <cell r="A11">
            <v>3</v>
          </cell>
          <cell r="B11" t="str">
            <v>AGUIRRE BASILIO ZOSIMO DANIEL</v>
          </cell>
          <cell r="C11" t="str">
            <v>HR</v>
          </cell>
          <cell r="D11">
            <v>0.14829999999999999</v>
          </cell>
          <cell r="E11">
            <v>38173</v>
          </cell>
          <cell r="F11">
            <v>39716</v>
          </cell>
          <cell r="G11" t="str">
            <v>7512261AIBIZ004</v>
          </cell>
          <cell r="H11" t="str">
            <v>PERFORISTA</v>
          </cell>
          <cell r="I11">
            <v>56.15</v>
          </cell>
          <cell r="J11" t="str">
            <v>SI</v>
          </cell>
          <cell r="K11">
            <v>1.8333333333333333</v>
          </cell>
          <cell r="L11" t="str">
            <v>00115159</v>
          </cell>
          <cell r="M11">
            <v>35</v>
          </cell>
          <cell r="N11">
            <v>0</v>
          </cell>
          <cell r="O11" t="str">
            <v>577521ZABII0</v>
          </cell>
          <cell r="P11">
            <v>27754</v>
          </cell>
          <cell r="Q11">
            <v>5</v>
          </cell>
          <cell r="R11">
            <v>0</v>
          </cell>
          <cell r="W11" t="str">
            <v>0414324013186</v>
          </cell>
          <cell r="X11">
            <v>49.63</v>
          </cell>
          <cell r="Z11">
            <v>0</v>
          </cell>
          <cell r="AC11" t="str">
            <v>CONVIVIENTE</v>
          </cell>
          <cell r="AD11" t="str">
            <v>HUANUCO</v>
          </cell>
          <cell r="AE11">
            <v>7</v>
          </cell>
        </row>
        <row r="12">
          <cell r="A12">
            <v>4</v>
          </cell>
          <cell r="B12" t="str">
            <v>ALCEDO LINARES OSCAR EDUARDO</v>
          </cell>
          <cell r="C12" t="str">
            <v>ONP</v>
          </cell>
          <cell r="D12">
            <v>0.13</v>
          </cell>
          <cell r="E12">
            <v>39484</v>
          </cell>
          <cell r="F12">
            <v>39716</v>
          </cell>
          <cell r="G12" t="str">
            <v>8708151AELAO00</v>
          </cell>
          <cell r="H12" t="str">
            <v>AYTE. PERF.</v>
          </cell>
          <cell r="I12">
            <v>50.15</v>
          </cell>
          <cell r="J12" t="str">
            <v>NO</v>
          </cell>
          <cell r="K12">
            <v>0</v>
          </cell>
          <cell r="L12">
            <v>44529017</v>
          </cell>
          <cell r="N12">
            <v>0</v>
          </cell>
          <cell r="P12">
            <v>32004</v>
          </cell>
          <cell r="Q12">
            <v>5</v>
          </cell>
          <cell r="R12">
            <v>0</v>
          </cell>
          <cell r="W12" t="str">
            <v>04-324-044022</v>
          </cell>
          <cell r="X12">
            <v>0</v>
          </cell>
          <cell r="Z12">
            <v>0</v>
          </cell>
          <cell r="AC12" t="str">
            <v>SOLTERO</v>
          </cell>
          <cell r="AD12" t="str">
            <v>OYON</v>
          </cell>
        </row>
        <row r="13">
          <cell r="A13">
            <v>5</v>
          </cell>
          <cell r="B13" t="str">
            <v>ALVARADO CALDERON BEATO</v>
          </cell>
          <cell r="C13" t="str">
            <v>IN</v>
          </cell>
          <cell r="D13">
            <v>0.14680000000000001</v>
          </cell>
          <cell r="E13">
            <v>37860</v>
          </cell>
          <cell r="F13">
            <v>39716</v>
          </cell>
          <cell r="G13" t="str">
            <v>5905091AACDB008</v>
          </cell>
          <cell r="H13" t="str">
            <v>PERFORISTA</v>
          </cell>
          <cell r="I13">
            <v>56.15</v>
          </cell>
          <cell r="J13" t="str">
            <v>SI</v>
          </cell>
          <cell r="K13">
            <v>1.8333333333333333</v>
          </cell>
          <cell r="L13">
            <v>15217554</v>
          </cell>
          <cell r="M13">
            <v>36</v>
          </cell>
          <cell r="N13">
            <v>0</v>
          </cell>
          <cell r="O13" t="str">
            <v>216771BACAD8</v>
          </cell>
          <cell r="P13">
            <v>21679</v>
          </cell>
          <cell r="Q13">
            <v>5</v>
          </cell>
          <cell r="R13">
            <v>0</v>
          </cell>
          <cell r="W13" t="str">
            <v>0414324010837</v>
          </cell>
          <cell r="X13">
            <v>42.29</v>
          </cell>
          <cell r="Z13">
            <v>0</v>
          </cell>
        </row>
        <row r="14">
          <cell r="A14">
            <v>6</v>
          </cell>
          <cell r="B14" t="str">
            <v>ALVAREZ HUAMANI BERNARDINO</v>
          </cell>
          <cell r="C14" t="str">
            <v>PR</v>
          </cell>
          <cell r="D14">
            <v>0.14369999999999999</v>
          </cell>
          <cell r="E14">
            <v>38019</v>
          </cell>
          <cell r="F14">
            <v>39716</v>
          </cell>
          <cell r="G14" t="str">
            <v>6805201AAHMB007</v>
          </cell>
          <cell r="H14" t="str">
            <v>PERFORISTA</v>
          </cell>
          <cell r="I14">
            <v>56.15</v>
          </cell>
          <cell r="J14" t="str">
            <v>SI</v>
          </cell>
          <cell r="K14">
            <v>1.8333333333333333</v>
          </cell>
          <cell r="L14">
            <v>23227210</v>
          </cell>
          <cell r="N14">
            <v>0</v>
          </cell>
          <cell r="O14" t="str">
            <v>549761BAHAM2</v>
          </cell>
          <cell r="P14">
            <v>24978</v>
          </cell>
          <cell r="Q14">
            <v>5</v>
          </cell>
          <cell r="R14">
            <v>0</v>
          </cell>
          <cell r="W14" t="str">
            <v>0414324013917</v>
          </cell>
          <cell r="X14">
            <v>33.020000000000003</v>
          </cell>
          <cell r="Z14">
            <v>0</v>
          </cell>
          <cell r="AC14" t="str">
            <v>CONVIVIENTE</v>
          </cell>
        </row>
        <row r="15">
          <cell r="A15">
            <v>7</v>
          </cell>
          <cell r="B15" t="str">
            <v>ANTAHURCO LOPEZ VICTOR RAUL</v>
          </cell>
          <cell r="C15" t="str">
            <v>HR</v>
          </cell>
          <cell r="D15">
            <v>0.14829999999999999</v>
          </cell>
          <cell r="E15">
            <v>38924</v>
          </cell>
          <cell r="F15">
            <v>39716</v>
          </cell>
          <cell r="G15" t="str">
            <v>7805021AALEV006</v>
          </cell>
          <cell r="H15" t="str">
            <v>AYTE. PERF.</v>
          </cell>
          <cell r="I15">
            <v>54.15</v>
          </cell>
          <cell r="J15" t="str">
            <v>SI</v>
          </cell>
          <cell r="K15">
            <v>1.8333333333333333</v>
          </cell>
          <cell r="L15" t="str">
            <v>04428283</v>
          </cell>
          <cell r="M15">
            <v>35</v>
          </cell>
          <cell r="N15">
            <v>0</v>
          </cell>
          <cell r="O15" t="str">
            <v>586101VALAE2</v>
          </cell>
          <cell r="P15">
            <v>28612</v>
          </cell>
          <cell r="Q15">
            <v>5</v>
          </cell>
          <cell r="R15">
            <v>0</v>
          </cell>
          <cell r="W15" t="str">
            <v>0414324031613</v>
          </cell>
          <cell r="X15">
            <v>-11.39</v>
          </cell>
          <cell r="Z15">
            <v>0</v>
          </cell>
          <cell r="AC15" t="str">
            <v>CONVIVIENTE</v>
          </cell>
          <cell r="AD15" t="str">
            <v>OYON</v>
          </cell>
        </row>
        <row r="16">
          <cell r="A16">
            <v>8</v>
          </cell>
          <cell r="B16" t="str">
            <v>ATAUCUSI CARLOS HERNAN LUCHO</v>
          </cell>
          <cell r="C16" t="str">
            <v>IN</v>
          </cell>
          <cell r="D16">
            <v>0.14680000000000001</v>
          </cell>
          <cell r="E16">
            <v>38698</v>
          </cell>
          <cell r="F16">
            <v>39716</v>
          </cell>
          <cell r="G16" t="str">
            <v>7701211AUCLH004</v>
          </cell>
          <cell r="H16" t="str">
            <v>PERFORISTA</v>
          </cell>
          <cell r="I16">
            <v>56.15</v>
          </cell>
          <cell r="J16" t="str">
            <v>SI</v>
          </cell>
          <cell r="K16">
            <v>1.8333333333333333</v>
          </cell>
          <cell r="L16">
            <v>23277708</v>
          </cell>
          <cell r="N16">
            <v>0</v>
          </cell>
          <cell r="O16" t="str">
            <v xml:space="preserve">581441HACUL4 </v>
          </cell>
          <cell r="P16">
            <v>28146</v>
          </cell>
          <cell r="Q16">
            <v>5</v>
          </cell>
          <cell r="R16">
            <v>0</v>
          </cell>
          <cell r="W16" t="str">
            <v>0414324026806</v>
          </cell>
          <cell r="X16">
            <v>76.86</v>
          </cell>
          <cell r="Z16">
            <v>0</v>
          </cell>
          <cell r="AC16" t="str">
            <v>SOLTERO</v>
          </cell>
        </row>
        <row r="17">
          <cell r="A17">
            <v>9</v>
          </cell>
          <cell r="B17" t="str">
            <v>BENDEZU PAREDES FREDDY WALTER</v>
          </cell>
          <cell r="C17" t="str">
            <v>PF</v>
          </cell>
          <cell r="D17">
            <v>0.14879999999999999</v>
          </cell>
          <cell r="E17">
            <v>37145</v>
          </cell>
          <cell r="F17">
            <v>39716</v>
          </cell>
          <cell r="G17" t="str">
            <v>7403051BDPEF007</v>
          </cell>
          <cell r="H17" t="str">
            <v>PERFORISTA</v>
          </cell>
          <cell r="I17">
            <v>56.15</v>
          </cell>
          <cell r="J17" t="str">
            <v>SI</v>
          </cell>
          <cell r="K17">
            <v>1.8333333333333333</v>
          </cell>
          <cell r="L17">
            <v>10874348</v>
          </cell>
          <cell r="N17">
            <v>0</v>
          </cell>
          <cell r="O17" t="str">
            <v xml:space="preserve">570911FBPDE4 </v>
          </cell>
          <cell r="P17">
            <v>27093</v>
          </cell>
          <cell r="Q17">
            <v>5</v>
          </cell>
          <cell r="R17">
            <v>0</v>
          </cell>
          <cell r="W17" t="str">
            <v>0414324010845</v>
          </cell>
          <cell r="X17">
            <v>0</v>
          </cell>
          <cell r="Z17">
            <v>0</v>
          </cell>
          <cell r="AC17" t="str">
            <v>CASADO</v>
          </cell>
          <cell r="AD17" t="str">
            <v>LIMA</v>
          </cell>
        </row>
        <row r="18">
          <cell r="A18">
            <v>10</v>
          </cell>
          <cell r="B18" t="str">
            <v>BERNARDO HUAYANAY EMERZON</v>
          </cell>
          <cell r="C18" t="str">
            <v>PF</v>
          </cell>
          <cell r="D18">
            <v>0.14879999999999999</v>
          </cell>
          <cell r="E18">
            <v>39452</v>
          </cell>
          <cell r="F18">
            <v>39716</v>
          </cell>
          <cell r="G18" t="str">
            <v>7610191BAHAE00</v>
          </cell>
          <cell r="H18" t="str">
            <v>AYTE. PERF.</v>
          </cell>
          <cell r="I18">
            <v>50.15</v>
          </cell>
          <cell r="J18" t="str">
            <v>NO</v>
          </cell>
          <cell r="K18">
            <v>0</v>
          </cell>
          <cell r="L18">
            <v>15217487</v>
          </cell>
          <cell r="N18">
            <v>0</v>
          </cell>
          <cell r="P18">
            <v>28052</v>
          </cell>
          <cell r="Q18">
            <v>5</v>
          </cell>
          <cell r="R18">
            <v>0</v>
          </cell>
          <cell r="W18" t="str">
            <v>04-324-043158</v>
          </cell>
          <cell r="X18">
            <v>0</v>
          </cell>
          <cell r="Z18">
            <v>0</v>
          </cell>
          <cell r="AC18" t="str">
            <v>CONVIVIENTE</v>
          </cell>
          <cell r="AD18" t="str">
            <v>OYON</v>
          </cell>
        </row>
        <row r="19">
          <cell r="A19">
            <v>11</v>
          </cell>
          <cell r="B19" t="str">
            <v>BUENDIA ICHPAS EDGAR</v>
          </cell>
          <cell r="C19" t="str">
            <v>HR</v>
          </cell>
          <cell r="D19">
            <v>0.14829999999999999</v>
          </cell>
          <cell r="E19">
            <v>39639</v>
          </cell>
          <cell r="F19">
            <v>39716</v>
          </cell>
          <cell r="G19" t="str">
            <v>8102021BNIPE00</v>
          </cell>
          <cell r="H19" t="str">
            <v>PERFORISTA</v>
          </cell>
          <cell r="I19">
            <v>54.15</v>
          </cell>
          <cell r="J19" t="str">
            <v>SI</v>
          </cell>
          <cell r="K19">
            <v>1.8333333333333333</v>
          </cell>
          <cell r="L19">
            <v>41215462</v>
          </cell>
          <cell r="N19">
            <v>0</v>
          </cell>
          <cell r="P19">
            <v>29619</v>
          </cell>
          <cell r="Q19">
            <v>0</v>
          </cell>
          <cell r="R19">
            <v>0</v>
          </cell>
          <cell r="W19" t="str">
            <v>04-324-047692</v>
          </cell>
          <cell r="X19">
            <v>0</v>
          </cell>
          <cell r="Z19">
            <v>0</v>
          </cell>
          <cell r="AC19" t="str">
            <v>CASADO</v>
          </cell>
          <cell r="AD19" t="str">
            <v>HUANCAVELICA</v>
          </cell>
          <cell r="AE19">
            <v>1</v>
          </cell>
        </row>
        <row r="20">
          <cell r="A20">
            <v>12</v>
          </cell>
          <cell r="B20" t="str">
            <v>BUENDIA ICHPAS GAUDENCIO</v>
          </cell>
          <cell r="C20" t="str">
            <v>PR</v>
          </cell>
          <cell r="D20">
            <v>0.14369999999999999</v>
          </cell>
          <cell r="E20">
            <v>39639</v>
          </cell>
          <cell r="F20">
            <v>39716</v>
          </cell>
          <cell r="G20" t="str">
            <v>8606031BNIPG00</v>
          </cell>
          <cell r="H20" t="str">
            <v>PERFORISTA</v>
          </cell>
          <cell r="I20">
            <v>54.15</v>
          </cell>
          <cell r="J20" t="str">
            <v>SI</v>
          </cell>
          <cell r="K20">
            <v>1.8333333333333333</v>
          </cell>
          <cell r="L20">
            <v>43670577</v>
          </cell>
          <cell r="N20">
            <v>0</v>
          </cell>
          <cell r="P20">
            <v>31566</v>
          </cell>
          <cell r="Q20">
            <v>0</v>
          </cell>
          <cell r="R20">
            <v>0</v>
          </cell>
          <cell r="W20" t="str">
            <v>04-324-047749</v>
          </cell>
          <cell r="X20">
            <v>0</v>
          </cell>
          <cell r="Z20">
            <v>0</v>
          </cell>
          <cell r="AC20" t="str">
            <v>CONVIVIENTE</v>
          </cell>
          <cell r="AD20" t="str">
            <v>HUANCAVELICA</v>
          </cell>
          <cell r="AE20">
            <v>1</v>
          </cell>
        </row>
        <row r="21">
          <cell r="A21">
            <v>13</v>
          </cell>
          <cell r="B21" t="str">
            <v>BUSICH FERNANDEZ ELI RICHT</v>
          </cell>
          <cell r="C21" t="str">
            <v>PR</v>
          </cell>
          <cell r="D21">
            <v>0.14369999999999999</v>
          </cell>
          <cell r="E21">
            <v>38299</v>
          </cell>
          <cell r="F21">
            <v>39716</v>
          </cell>
          <cell r="G21" t="str">
            <v>6812251BIFNE001</v>
          </cell>
          <cell r="H21" t="str">
            <v>OP. SCOOP</v>
          </cell>
          <cell r="I21">
            <v>59.65</v>
          </cell>
          <cell r="J21" t="str">
            <v>SI</v>
          </cell>
          <cell r="K21">
            <v>1.8333333333333333</v>
          </cell>
          <cell r="L21">
            <v>15215862</v>
          </cell>
          <cell r="M21">
            <v>51</v>
          </cell>
          <cell r="N21">
            <v>0</v>
          </cell>
          <cell r="O21" t="str">
            <v>551951EBFIN2</v>
          </cell>
          <cell r="P21">
            <v>25197</v>
          </cell>
          <cell r="Q21">
            <v>5</v>
          </cell>
          <cell r="R21">
            <v>0</v>
          </cell>
          <cell r="W21" t="str">
            <v>0414324019745</v>
          </cell>
          <cell r="X21">
            <v>66.91</v>
          </cell>
          <cell r="Z21">
            <v>0</v>
          </cell>
          <cell r="AC21" t="str">
            <v>CONVIVIENTE</v>
          </cell>
          <cell r="AD21" t="str">
            <v>OYON</v>
          </cell>
          <cell r="AE21">
            <v>10</v>
          </cell>
        </row>
        <row r="22">
          <cell r="A22">
            <v>14</v>
          </cell>
          <cell r="B22" t="str">
            <v>BRICEÑO UGARTE EDGAR CALENDARIO</v>
          </cell>
          <cell r="C22" t="str">
            <v>IN</v>
          </cell>
          <cell r="D22">
            <v>0.14680000000000001</v>
          </cell>
          <cell r="E22">
            <v>39484</v>
          </cell>
          <cell r="F22">
            <v>39716</v>
          </cell>
          <cell r="G22" t="str">
            <v>7002011BCURE00</v>
          </cell>
          <cell r="H22" t="str">
            <v>PERFORISTA</v>
          </cell>
          <cell r="I22">
            <v>54.15</v>
          </cell>
          <cell r="J22" t="str">
            <v>SI</v>
          </cell>
          <cell r="K22">
            <v>1.8333333333333333</v>
          </cell>
          <cell r="L22">
            <v>15216137</v>
          </cell>
          <cell r="N22">
            <v>0</v>
          </cell>
          <cell r="P22">
            <v>25600</v>
          </cell>
          <cell r="Q22">
            <v>5</v>
          </cell>
          <cell r="R22">
            <v>0</v>
          </cell>
          <cell r="W22" t="str">
            <v>04-091-115803</v>
          </cell>
          <cell r="X22">
            <v>0</v>
          </cell>
          <cell r="Z22">
            <v>0</v>
          </cell>
          <cell r="AC22" t="str">
            <v>CONVIVIENTE</v>
          </cell>
          <cell r="AD22" t="str">
            <v>OYON</v>
          </cell>
          <cell r="AE22">
            <v>2</v>
          </cell>
        </row>
        <row r="23">
          <cell r="A23">
            <v>15</v>
          </cell>
          <cell r="B23" t="str">
            <v>CALSINA MAMANI ESTEBAN MARIANO</v>
          </cell>
          <cell r="C23" t="str">
            <v>ONP</v>
          </cell>
          <cell r="D23">
            <v>0.13</v>
          </cell>
          <cell r="E23">
            <v>39611</v>
          </cell>
          <cell r="F23">
            <v>39716</v>
          </cell>
          <cell r="G23" t="str">
            <v>7212270CSMAE00</v>
          </cell>
          <cell r="H23" t="str">
            <v>PERFORISTA</v>
          </cell>
          <cell r="I23">
            <v>54.15</v>
          </cell>
          <cell r="J23" t="str">
            <v>NO</v>
          </cell>
          <cell r="K23">
            <v>0</v>
          </cell>
          <cell r="L23" t="str">
            <v>01515400</v>
          </cell>
          <cell r="N23">
            <v>0</v>
          </cell>
          <cell r="P23">
            <v>26660</v>
          </cell>
          <cell r="Q23">
            <v>0</v>
          </cell>
          <cell r="R23">
            <v>0</v>
          </cell>
          <cell r="W23" t="str">
            <v>04-324-024579</v>
          </cell>
          <cell r="X23">
            <v>0</v>
          </cell>
          <cell r="Z23">
            <v>0</v>
          </cell>
        </row>
        <row r="24">
          <cell r="A24">
            <v>16</v>
          </cell>
          <cell r="B24" t="str">
            <v>CANTURIN URBANO, WILMER PEDRO</v>
          </cell>
          <cell r="C24" t="str">
            <v>HR</v>
          </cell>
          <cell r="D24">
            <v>0.14829999999999999</v>
          </cell>
          <cell r="E24">
            <v>39150</v>
          </cell>
          <cell r="F24">
            <v>39716</v>
          </cell>
          <cell r="G24" t="str">
            <v>8412111CTUAW009</v>
          </cell>
          <cell r="H24" t="str">
            <v>AYTE. PERF.</v>
          </cell>
          <cell r="I24">
            <v>54.15</v>
          </cell>
          <cell r="J24" t="str">
            <v>NO</v>
          </cell>
          <cell r="K24">
            <v>0</v>
          </cell>
          <cell r="L24">
            <v>43398009</v>
          </cell>
          <cell r="M24">
            <v>45</v>
          </cell>
          <cell r="N24">
            <v>0</v>
          </cell>
          <cell r="O24" t="str">
            <v>ONP</v>
          </cell>
          <cell r="P24">
            <v>31027</v>
          </cell>
          <cell r="Q24">
            <v>5</v>
          </cell>
          <cell r="R24">
            <v>0</v>
          </cell>
          <cell r="W24" t="str">
            <v>04-324-027810</v>
          </cell>
          <cell r="X24">
            <v>36.67</v>
          </cell>
          <cell r="Z24">
            <v>0</v>
          </cell>
        </row>
        <row r="25">
          <cell r="A25">
            <v>17</v>
          </cell>
          <cell r="B25" t="str">
            <v>CARBAJAL TUMBA RUDECINDO</v>
          </cell>
          <cell r="C25" t="str">
            <v>IN</v>
          </cell>
          <cell r="D25">
            <v>0.14680000000000001</v>
          </cell>
          <cell r="E25">
            <v>38755</v>
          </cell>
          <cell r="F25">
            <v>39716</v>
          </cell>
          <cell r="G25" t="str">
            <v>8502281CBTBR009</v>
          </cell>
          <cell r="H25" t="str">
            <v>PERFORISTA</v>
          </cell>
          <cell r="I25">
            <v>56.15</v>
          </cell>
          <cell r="J25" t="str">
            <v>SI</v>
          </cell>
          <cell r="K25">
            <v>1.8333333333333333</v>
          </cell>
          <cell r="L25">
            <v>42906764</v>
          </cell>
          <cell r="M25">
            <v>40.15</v>
          </cell>
          <cell r="N25">
            <v>0</v>
          </cell>
          <cell r="O25" t="str">
            <v xml:space="preserve">611041RCTBB0 </v>
          </cell>
          <cell r="P25">
            <v>31106</v>
          </cell>
          <cell r="Q25">
            <v>5</v>
          </cell>
          <cell r="R25">
            <v>0</v>
          </cell>
          <cell r="W25" t="str">
            <v>0414324027640</v>
          </cell>
          <cell r="X25">
            <v>0</v>
          </cell>
          <cell r="Z25">
            <v>0</v>
          </cell>
          <cell r="AC25" t="str">
            <v>CONVIVIENTE</v>
          </cell>
          <cell r="AD25" t="str">
            <v>APURIMAC</v>
          </cell>
        </row>
        <row r="26">
          <cell r="A26">
            <v>18</v>
          </cell>
          <cell r="B26" t="str">
            <v>CARHUAZ HILARIO RAUL ROBIN</v>
          </cell>
          <cell r="C26" t="str">
            <v>PR</v>
          </cell>
          <cell r="D26">
            <v>0.14369999999999999</v>
          </cell>
          <cell r="E26">
            <v>39489</v>
          </cell>
          <cell r="F26">
            <v>39716</v>
          </cell>
          <cell r="G26" t="str">
            <v>7202071CHHAR00</v>
          </cell>
          <cell r="H26" t="str">
            <v>AYTE. PERF.</v>
          </cell>
          <cell r="I26">
            <v>50.15</v>
          </cell>
          <cell r="J26" t="str">
            <v>SI</v>
          </cell>
          <cell r="K26">
            <v>1.8333333333333333</v>
          </cell>
          <cell r="L26">
            <v>15216542</v>
          </cell>
          <cell r="N26">
            <v>0</v>
          </cell>
          <cell r="P26">
            <v>26336</v>
          </cell>
          <cell r="Q26">
            <v>5</v>
          </cell>
          <cell r="R26">
            <v>0</v>
          </cell>
          <cell r="W26" t="str">
            <v>04-324-044073</v>
          </cell>
          <cell r="X26">
            <v>0</v>
          </cell>
          <cell r="Z26">
            <v>0</v>
          </cell>
          <cell r="AC26" t="str">
            <v>SOLTERO</v>
          </cell>
          <cell r="AD26" t="str">
            <v>OYON</v>
          </cell>
        </row>
        <row r="27">
          <cell r="A27">
            <v>19</v>
          </cell>
          <cell r="B27" t="str">
            <v>CARRANZA FERNANDEZ FERNANDO</v>
          </cell>
          <cell r="C27" t="str">
            <v>HR</v>
          </cell>
          <cell r="D27">
            <v>0.14829999999999999</v>
          </cell>
          <cell r="E27">
            <v>39373</v>
          </cell>
          <cell r="F27">
            <v>39694</v>
          </cell>
          <cell r="G27" t="str">
            <v>8302041CRFNF00</v>
          </cell>
          <cell r="H27" t="str">
            <v>ELECTRICISTA</v>
          </cell>
          <cell r="I27">
            <v>54.15</v>
          </cell>
          <cell r="J27" t="str">
            <v>SI</v>
          </cell>
          <cell r="K27">
            <v>1.8333333333333333</v>
          </cell>
          <cell r="L27">
            <v>42739450</v>
          </cell>
          <cell r="M27">
            <v>35</v>
          </cell>
          <cell r="N27">
            <v>0</v>
          </cell>
          <cell r="P27">
            <v>30532</v>
          </cell>
          <cell r="Q27">
            <v>5</v>
          </cell>
          <cell r="R27">
            <v>0</v>
          </cell>
          <cell r="W27" t="str">
            <v>04-324-041554</v>
          </cell>
          <cell r="X27">
            <v>-11.82</v>
          </cell>
          <cell r="Z27">
            <v>0</v>
          </cell>
          <cell r="AC27" t="str">
            <v>CONVIVIENTE</v>
          </cell>
          <cell r="AD27" t="str">
            <v>HUANCAYO</v>
          </cell>
        </row>
        <row r="28">
          <cell r="A28">
            <v>20</v>
          </cell>
          <cell r="B28" t="str">
            <v>CASO RAMOS ARTEMIO DAVID</v>
          </cell>
          <cell r="C28" t="str">
            <v>PF</v>
          </cell>
          <cell r="D28">
            <v>0.14879999999999999</v>
          </cell>
          <cell r="E28">
            <v>38909</v>
          </cell>
          <cell r="F28">
            <v>39716</v>
          </cell>
          <cell r="G28" t="str">
            <v>6812141COROA008</v>
          </cell>
          <cell r="H28" t="str">
            <v>AYTE. PERF.</v>
          </cell>
          <cell r="I28">
            <v>54.15</v>
          </cell>
          <cell r="J28" t="str">
            <v>SI</v>
          </cell>
          <cell r="K28">
            <v>1.8333333333333333</v>
          </cell>
          <cell r="L28" t="str">
            <v>21266043</v>
          </cell>
          <cell r="M28">
            <v>35</v>
          </cell>
          <cell r="N28">
            <v>0</v>
          </cell>
          <cell r="O28" t="str">
            <v>251841ACROO3</v>
          </cell>
          <cell r="P28">
            <v>25186</v>
          </cell>
          <cell r="Q28">
            <v>5</v>
          </cell>
          <cell r="R28">
            <v>0</v>
          </cell>
          <cell r="W28" t="str">
            <v>0414324031621</v>
          </cell>
          <cell r="X28">
            <v>40.28</v>
          </cell>
          <cell r="Z28">
            <v>0</v>
          </cell>
          <cell r="AC28" t="str">
            <v xml:space="preserve">CASADO </v>
          </cell>
          <cell r="AD28" t="str">
            <v>JUNIN</v>
          </cell>
        </row>
        <row r="29">
          <cell r="A29">
            <v>21</v>
          </cell>
          <cell r="B29" t="str">
            <v>CAYETANO AIRE ELMER DIONICIO</v>
          </cell>
          <cell r="C29" t="str">
            <v>IN</v>
          </cell>
          <cell r="D29">
            <v>0.14680000000000001</v>
          </cell>
          <cell r="E29">
            <v>38335</v>
          </cell>
          <cell r="F29">
            <v>39716</v>
          </cell>
          <cell r="G29" t="str">
            <v>7610271CEAEE003</v>
          </cell>
          <cell r="H29" t="str">
            <v>PERFORISTA</v>
          </cell>
          <cell r="I29">
            <v>56.15</v>
          </cell>
          <cell r="J29" t="str">
            <v>SI</v>
          </cell>
          <cell r="K29">
            <v>1.8333333333333333</v>
          </cell>
          <cell r="L29" t="str">
            <v>04222424</v>
          </cell>
          <cell r="N29">
            <v>0</v>
          </cell>
          <cell r="O29" t="str">
            <v>580581ECDEE7</v>
          </cell>
          <cell r="P29">
            <v>28060</v>
          </cell>
          <cell r="Q29">
            <v>0</v>
          </cell>
          <cell r="R29">
            <v>0</v>
          </cell>
          <cell r="W29" t="str">
            <v>0414324009510</v>
          </cell>
          <cell r="X29">
            <v>0</v>
          </cell>
          <cell r="Z29">
            <v>0</v>
          </cell>
          <cell r="AC29" t="str">
            <v xml:space="preserve">CASADO </v>
          </cell>
          <cell r="AD29" t="str">
            <v>PASCO</v>
          </cell>
        </row>
        <row r="30">
          <cell r="A30">
            <v>22</v>
          </cell>
          <cell r="B30" t="str">
            <v>CAYETANO ARIAS MIGUEL ANGEL</v>
          </cell>
          <cell r="C30" t="str">
            <v>ONP</v>
          </cell>
          <cell r="D30">
            <v>0.13</v>
          </cell>
          <cell r="E30">
            <v>39034</v>
          </cell>
          <cell r="F30">
            <v>39716</v>
          </cell>
          <cell r="G30" t="str">
            <v>7707141CEAAM002</v>
          </cell>
          <cell r="H30" t="str">
            <v>PERFORISTA</v>
          </cell>
          <cell r="I30">
            <v>56.15</v>
          </cell>
          <cell r="J30" t="str">
            <v>SI</v>
          </cell>
          <cell r="K30">
            <v>1.8333333333333333</v>
          </cell>
          <cell r="L30" t="str">
            <v>04086194</v>
          </cell>
          <cell r="M30">
            <v>51</v>
          </cell>
          <cell r="N30">
            <v>0.2</v>
          </cell>
          <cell r="O30" t="str">
            <v>ONP</v>
          </cell>
          <cell r="P30">
            <v>28320</v>
          </cell>
          <cell r="Q30">
            <v>5</v>
          </cell>
          <cell r="R30">
            <v>0</v>
          </cell>
          <cell r="W30" t="str">
            <v>0414324033578</v>
          </cell>
          <cell r="X30">
            <v>37.24</v>
          </cell>
          <cell r="Z30">
            <v>0</v>
          </cell>
          <cell r="AD30" t="str">
            <v>PASCO</v>
          </cell>
        </row>
        <row r="31">
          <cell r="A31">
            <v>23</v>
          </cell>
          <cell r="B31" t="str">
            <v>CAYETANO HURTADO TIMOTEO</v>
          </cell>
          <cell r="C31" t="str">
            <v>IN</v>
          </cell>
          <cell r="D31">
            <v>0.14680000000000001</v>
          </cell>
          <cell r="E31">
            <v>38663</v>
          </cell>
          <cell r="F31">
            <v>39716</v>
          </cell>
          <cell r="G31" t="str">
            <v>7508221CEHTT003</v>
          </cell>
          <cell r="H31" t="str">
            <v>OP. SCOOP</v>
          </cell>
          <cell r="I31">
            <v>59.65</v>
          </cell>
          <cell r="J31" t="str">
            <v>SI</v>
          </cell>
          <cell r="K31">
            <v>1.8333333333333333</v>
          </cell>
          <cell r="L31" t="str">
            <v>04222783</v>
          </cell>
          <cell r="N31">
            <v>0</v>
          </cell>
          <cell r="O31" t="str">
            <v xml:space="preserve">576261TCHET0 </v>
          </cell>
          <cell r="P31">
            <v>27628</v>
          </cell>
          <cell r="Q31">
            <v>5</v>
          </cell>
          <cell r="R31">
            <v>0</v>
          </cell>
          <cell r="W31" t="str">
            <v>0414324018331</v>
          </cell>
          <cell r="X31">
            <v>31.7</v>
          </cell>
          <cell r="Z31">
            <v>0</v>
          </cell>
          <cell r="AC31" t="str">
            <v>CONVIVIENTE</v>
          </cell>
          <cell r="AD31" t="str">
            <v>PASCO</v>
          </cell>
        </row>
        <row r="32">
          <cell r="A32">
            <v>24</v>
          </cell>
          <cell r="B32" t="str">
            <v>CHACA CRUZ MANUEL</v>
          </cell>
          <cell r="C32" t="str">
            <v>ONP</v>
          </cell>
          <cell r="D32">
            <v>0.13</v>
          </cell>
          <cell r="E32">
            <v>39034</v>
          </cell>
          <cell r="F32">
            <v>39716</v>
          </cell>
          <cell r="G32" t="str">
            <v>8709151CCCZM003</v>
          </cell>
          <cell r="H32" t="str">
            <v>AYTE. PERF.</v>
          </cell>
          <cell r="I32">
            <v>54.15</v>
          </cell>
          <cell r="J32" t="str">
            <v>NO</v>
          </cell>
          <cell r="K32">
            <v>0</v>
          </cell>
          <cell r="L32">
            <v>44494633</v>
          </cell>
          <cell r="M32">
            <v>35</v>
          </cell>
          <cell r="N32">
            <v>0</v>
          </cell>
          <cell r="O32" t="str">
            <v>ONP</v>
          </cell>
          <cell r="P32">
            <v>32035</v>
          </cell>
          <cell r="Q32">
            <v>5</v>
          </cell>
          <cell r="R32">
            <v>0</v>
          </cell>
          <cell r="W32" t="str">
            <v>0414324033314</v>
          </cell>
          <cell r="X32">
            <v>30.47</v>
          </cell>
          <cell r="Z32">
            <v>0</v>
          </cell>
        </row>
        <row r="33">
          <cell r="A33">
            <v>25</v>
          </cell>
          <cell r="B33" t="str">
            <v>CHACON FERNANDEZ OMAR ALFONSO</v>
          </cell>
          <cell r="C33" t="str">
            <v>ONP</v>
          </cell>
          <cell r="D33">
            <v>0.13</v>
          </cell>
          <cell r="E33">
            <v>38931</v>
          </cell>
          <cell r="F33">
            <v>39716</v>
          </cell>
          <cell r="G33" t="str">
            <v>8105291CCFNO000</v>
          </cell>
          <cell r="H33" t="str">
            <v>AYTE. PERF.</v>
          </cell>
          <cell r="I33">
            <v>54.15</v>
          </cell>
          <cell r="J33" t="str">
            <v>NO</v>
          </cell>
          <cell r="K33">
            <v>0</v>
          </cell>
          <cell r="L33">
            <v>40912670</v>
          </cell>
          <cell r="N33">
            <v>0</v>
          </cell>
          <cell r="O33" t="str">
            <v>ONP</v>
          </cell>
          <cell r="P33">
            <v>29735</v>
          </cell>
          <cell r="Q33">
            <v>5</v>
          </cell>
          <cell r="R33">
            <v>0</v>
          </cell>
          <cell r="W33" t="str">
            <v>0414324031702</v>
          </cell>
          <cell r="X33">
            <v>-4.0999999999999996</v>
          </cell>
          <cell r="Z33">
            <v>0</v>
          </cell>
          <cell r="AC33" t="str">
            <v>CONVIVIENTE</v>
          </cell>
          <cell r="AD33" t="str">
            <v>OYON</v>
          </cell>
          <cell r="AE33">
            <v>3</v>
          </cell>
        </row>
        <row r="34">
          <cell r="A34">
            <v>26</v>
          </cell>
          <cell r="B34" t="str">
            <v>CHACON PRUDENCIO EDGAR</v>
          </cell>
          <cell r="C34" t="str">
            <v>PR</v>
          </cell>
          <cell r="D34">
            <v>0.14369999999999999</v>
          </cell>
          <cell r="E34">
            <v>38667</v>
          </cell>
          <cell r="F34">
            <v>39716</v>
          </cell>
          <cell r="G34" t="str">
            <v>7901151CCPDE007</v>
          </cell>
          <cell r="H34" t="str">
            <v>AYTE. PERF.</v>
          </cell>
          <cell r="I34">
            <v>54.15</v>
          </cell>
          <cell r="J34" t="str">
            <v>SI</v>
          </cell>
          <cell r="K34">
            <v>1.8333333333333333</v>
          </cell>
          <cell r="L34">
            <v>40324189</v>
          </cell>
          <cell r="N34">
            <v>0</v>
          </cell>
          <cell r="O34" t="str">
            <v xml:space="preserve">588681ECPCD8 </v>
          </cell>
          <cell r="P34">
            <v>28870</v>
          </cell>
          <cell r="Q34">
            <v>0</v>
          </cell>
          <cell r="R34">
            <v>0</v>
          </cell>
          <cell r="W34" t="str">
            <v>0414324026253</v>
          </cell>
          <cell r="X34">
            <v>0</v>
          </cell>
          <cell r="Z34">
            <v>0</v>
          </cell>
          <cell r="AC34" t="str">
            <v>CONVIVIENTE</v>
          </cell>
          <cell r="AD34" t="str">
            <v>OYON</v>
          </cell>
        </row>
        <row r="35">
          <cell r="A35">
            <v>27</v>
          </cell>
          <cell r="B35" t="str">
            <v xml:space="preserve">CHANCAS CHOCCELAHUA ROLANDO ADOLFO </v>
          </cell>
          <cell r="C35" t="str">
            <v>IN</v>
          </cell>
          <cell r="D35">
            <v>0.14680000000000001</v>
          </cell>
          <cell r="E35">
            <v>39674</v>
          </cell>
          <cell r="F35">
            <v>39716</v>
          </cell>
          <cell r="H35" t="str">
            <v>AYTE. PERF.</v>
          </cell>
          <cell r="I35">
            <v>54.15</v>
          </cell>
          <cell r="J35" t="str">
            <v>NO</v>
          </cell>
          <cell r="K35">
            <v>1.8332999999999999</v>
          </cell>
          <cell r="L35">
            <v>42471277</v>
          </cell>
          <cell r="N35">
            <v>0</v>
          </cell>
          <cell r="P35">
            <v>30864</v>
          </cell>
          <cell r="Q35">
            <v>0</v>
          </cell>
          <cell r="R35">
            <v>0</v>
          </cell>
          <cell r="AC35" t="str">
            <v>CONVIVIENTE</v>
          </cell>
          <cell r="AD35" t="str">
            <v>HVCA</v>
          </cell>
          <cell r="AE35">
            <v>3</v>
          </cell>
        </row>
        <row r="36">
          <cell r="A36">
            <v>28</v>
          </cell>
          <cell r="B36" t="str">
            <v>CHANCAS TORRES CARLOS</v>
          </cell>
          <cell r="C36" t="str">
            <v>IN</v>
          </cell>
          <cell r="D36">
            <v>0.14680000000000001</v>
          </cell>
          <cell r="E36">
            <v>38541</v>
          </cell>
          <cell r="F36">
            <v>39716</v>
          </cell>
          <cell r="G36" t="str">
            <v>8302201CNTRC003</v>
          </cell>
          <cell r="H36" t="str">
            <v>PERFORISTA</v>
          </cell>
          <cell r="I36">
            <v>56.15</v>
          </cell>
          <cell r="J36" t="str">
            <v>SI</v>
          </cell>
          <cell r="K36">
            <v>1.8333333333333333</v>
          </cell>
          <cell r="L36">
            <v>41648871</v>
          </cell>
          <cell r="M36">
            <v>35</v>
          </cell>
          <cell r="N36">
            <v>0</v>
          </cell>
          <cell r="O36" t="str">
            <v xml:space="preserve"> 603651CCTNR6 </v>
          </cell>
          <cell r="P36">
            <v>30367</v>
          </cell>
          <cell r="Q36">
            <v>5</v>
          </cell>
          <cell r="R36">
            <v>0</v>
          </cell>
          <cell r="W36" t="str">
            <v>0414324023378</v>
          </cell>
          <cell r="X36">
            <v>25.55</v>
          </cell>
          <cell r="Z36">
            <v>0</v>
          </cell>
          <cell r="AC36" t="str">
            <v>CASADO</v>
          </cell>
        </row>
        <row r="37">
          <cell r="A37">
            <v>29</v>
          </cell>
          <cell r="B37" t="str">
            <v>CHAVEZ CHOCCELAHUA SIMION</v>
          </cell>
          <cell r="C37" t="str">
            <v>IN</v>
          </cell>
          <cell r="D37">
            <v>0.14680000000000001</v>
          </cell>
          <cell r="E37">
            <v>38541</v>
          </cell>
          <cell r="F37">
            <v>39716</v>
          </cell>
          <cell r="G37" t="str">
            <v>7502031CVCCS008</v>
          </cell>
          <cell r="H37" t="str">
            <v>PERFORISTA</v>
          </cell>
          <cell r="I37">
            <v>56.15</v>
          </cell>
          <cell r="J37" t="str">
            <v>SI</v>
          </cell>
          <cell r="K37">
            <v>1.8333333333333333</v>
          </cell>
          <cell r="L37">
            <v>23463154</v>
          </cell>
          <cell r="N37">
            <v>0</v>
          </cell>
          <cell r="O37" t="str">
            <v>574361SCCVC3</v>
          </cell>
          <cell r="P37">
            <v>27428</v>
          </cell>
          <cell r="Q37">
            <v>5</v>
          </cell>
          <cell r="R37">
            <v>0</v>
          </cell>
          <cell r="W37" t="str">
            <v>0414613011418</v>
          </cell>
          <cell r="X37">
            <v>28.97</v>
          </cell>
          <cell r="Z37">
            <v>0</v>
          </cell>
          <cell r="AC37" t="str">
            <v>CASADO</v>
          </cell>
        </row>
        <row r="38">
          <cell r="A38">
            <v>30</v>
          </cell>
          <cell r="B38" t="str">
            <v>CHAVEZ CUCHULA CESARIO</v>
          </cell>
          <cell r="C38" t="str">
            <v>PR</v>
          </cell>
          <cell r="D38">
            <v>0.14369999999999999</v>
          </cell>
          <cell r="E38">
            <v>38667</v>
          </cell>
          <cell r="F38">
            <v>39716</v>
          </cell>
          <cell r="G38" t="str">
            <v>8201051CVCHC006</v>
          </cell>
          <cell r="H38" t="str">
            <v>PERFORISTA</v>
          </cell>
          <cell r="I38">
            <v>56.15</v>
          </cell>
          <cell r="J38" t="str">
            <v>SI</v>
          </cell>
          <cell r="K38">
            <v>1.8333333333333333</v>
          </cell>
          <cell r="L38">
            <v>41438516</v>
          </cell>
          <cell r="N38">
            <v>0</v>
          </cell>
          <cell r="O38" t="str">
            <v>599541CCCVH5</v>
          </cell>
          <cell r="P38">
            <v>29956</v>
          </cell>
          <cell r="Q38">
            <v>5</v>
          </cell>
          <cell r="R38">
            <v>0</v>
          </cell>
          <cell r="W38" t="str">
            <v>0414324026350</v>
          </cell>
          <cell r="X38">
            <v>50.86</v>
          </cell>
          <cell r="Z38">
            <v>0</v>
          </cell>
          <cell r="AC38" t="str">
            <v>CASADO</v>
          </cell>
        </row>
        <row r="39">
          <cell r="A39">
            <v>31</v>
          </cell>
          <cell r="B39" t="str">
            <v>CHAVEZ HUACHO FELIPE</v>
          </cell>
          <cell r="C39" t="str">
            <v>PF</v>
          </cell>
          <cell r="D39">
            <v>0.14879999999999999</v>
          </cell>
          <cell r="E39">
            <v>38541</v>
          </cell>
          <cell r="F39">
            <v>39716</v>
          </cell>
          <cell r="G39" t="str">
            <v>7905241CVHCF007</v>
          </cell>
          <cell r="H39" t="str">
            <v>PERFORISTA</v>
          </cell>
          <cell r="I39">
            <v>56.15</v>
          </cell>
          <cell r="J39" t="str">
            <v>SI</v>
          </cell>
          <cell r="K39">
            <v>1.8333333333333333</v>
          </cell>
          <cell r="L39">
            <v>40194387</v>
          </cell>
          <cell r="N39">
            <v>0</v>
          </cell>
          <cell r="O39" t="str">
            <v>589971FCHVC2</v>
          </cell>
          <cell r="P39">
            <v>28999</v>
          </cell>
          <cell r="Q39">
            <v>5</v>
          </cell>
          <cell r="R39">
            <v>0</v>
          </cell>
          <cell r="W39" t="str">
            <v>0414324023262</v>
          </cell>
          <cell r="X39">
            <v>43.08</v>
          </cell>
          <cell r="Z39">
            <v>0</v>
          </cell>
          <cell r="AC39" t="str">
            <v>CASADO</v>
          </cell>
        </row>
        <row r="40">
          <cell r="A40">
            <v>32</v>
          </cell>
          <cell r="B40" t="str">
            <v>CHAVEZ SARMIENTO SEVERINO</v>
          </cell>
          <cell r="C40" t="str">
            <v>IN</v>
          </cell>
          <cell r="D40">
            <v>0.14680000000000001</v>
          </cell>
          <cell r="E40">
            <v>38019</v>
          </cell>
          <cell r="F40">
            <v>39716</v>
          </cell>
          <cell r="G40" t="str">
            <v>7906171CVSMS003</v>
          </cell>
          <cell r="H40" t="str">
            <v>PERFORISTA</v>
          </cell>
          <cell r="I40">
            <v>56.15</v>
          </cell>
          <cell r="J40" t="str">
            <v>SI</v>
          </cell>
          <cell r="K40">
            <v>1.8333333333333333</v>
          </cell>
          <cell r="L40">
            <v>40324468</v>
          </cell>
          <cell r="M40">
            <v>35</v>
          </cell>
          <cell r="N40">
            <v>0</v>
          </cell>
          <cell r="O40" t="str">
            <v xml:space="preserve"> 590211SCSVM6</v>
          </cell>
          <cell r="P40">
            <v>29023</v>
          </cell>
          <cell r="Q40">
            <v>5</v>
          </cell>
          <cell r="R40">
            <v>0</v>
          </cell>
          <cell r="W40" t="str">
            <v>0414324014174</v>
          </cell>
          <cell r="X40">
            <v>21.75</v>
          </cell>
          <cell r="Z40">
            <v>0</v>
          </cell>
          <cell r="AC40" t="str">
            <v>CASADO</v>
          </cell>
        </row>
        <row r="41">
          <cell r="A41">
            <v>33</v>
          </cell>
          <cell r="B41" t="str">
            <v>CHOCCELAHUA ICHPAS MAURICIO</v>
          </cell>
          <cell r="C41" t="str">
            <v>IN</v>
          </cell>
          <cell r="D41">
            <v>0.14680000000000001</v>
          </cell>
          <cell r="E41">
            <v>38446</v>
          </cell>
          <cell r="F41">
            <v>39716</v>
          </cell>
          <cell r="G41" t="str">
            <v>7804161CCIPM006</v>
          </cell>
          <cell r="H41" t="str">
            <v>OP. SCOOP</v>
          </cell>
          <cell r="I41">
            <v>59.65</v>
          </cell>
          <cell r="J41" t="str">
            <v>SI</v>
          </cell>
          <cell r="K41">
            <v>1.8333333333333333</v>
          </cell>
          <cell r="L41">
            <v>23471768</v>
          </cell>
          <cell r="N41">
            <v>0</v>
          </cell>
          <cell r="O41" t="str">
            <v xml:space="preserve">585941MCICP3 </v>
          </cell>
          <cell r="P41">
            <v>28596</v>
          </cell>
          <cell r="Q41">
            <v>5</v>
          </cell>
          <cell r="R41">
            <v>0</v>
          </cell>
          <cell r="W41" t="str">
            <v>0414324021871</v>
          </cell>
          <cell r="X41">
            <v>83.38</v>
          </cell>
          <cell r="Z41">
            <v>0</v>
          </cell>
          <cell r="AC41" t="str">
            <v>CASADO</v>
          </cell>
        </row>
        <row r="42">
          <cell r="A42">
            <v>34</v>
          </cell>
          <cell r="B42" t="str">
            <v>CONDOR AMEZAGA ANTONIO</v>
          </cell>
          <cell r="C42" t="str">
            <v>HR</v>
          </cell>
          <cell r="D42">
            <v>0.14829999999999999</v>
          </cell>
          <cell r="E42">
            <v>39638</v>
          </cell>
          <cell r="F42">
            <v>39716</v>
          </cell>
          <cell r="G42" t="str">
            <v>7501301CDAZA00</v>
          </cell>
          <cell r="H42" t="str">
            <v>CHOFER</v>
          </cell>
          <cell r="I42">
            <v>50.15</v>
          </cell>
          <cell r="J42" t="str">
            <v>NO</v>
          </cell>
          <cell r="K42">
            <v>0</v>
          </cell>
          <cell r="L42">
            <v>15217025</v>
          </cell>
          <cell r="N42">
            <v>0</v>
          </cell>
          <cell r="O42" t="str">
            <v>ONP</v>
          </cell>
          <cell r="P42">
            <v>27424</v>
          </cell>
          <cell r="Q42">
            <v>0</v>
          </cell>
          <cell r="R42">
            <v>0</v>
          </cell>
          <cell r="W42" t="str">
            <v>04-324-047617</v>
          </cell>
          <cell r="X42">
            <v>0</v>
          </cell>
          <cell r="Z42">
            <v>0</v>
          </cell>
          <cell r="AC42" t="str">
            <v>CASADO</v>
          </cell>
          <cell r="AD42">
            <v>3</v>
          </cell>
        </row>
        <row r="43">
          <cell r="A43">
            <v>35</v>
          </cell>
          <cell r="B43" t="str">
            <v>CONTRERAS JURADO EDWIN</v>
          </cell>
          <cell r="C43" t="str">
            <v>IN</v>
          </cell>
          <cell r="D43">
            <v>0.14680000000000001</v>
          </cell>
          <cell r="E43">
            <v>38743</v>
          </cell>
          <cell r="F43">
            <v>39716</v>
          </cell>
          <cell r="G43" t="str">
            <v>7602101CTJAE006</v>
          </cell>
          <cell r="H43" t="str">
            <v>PERFORISTA</v>
          </cell>
          <cell r="I43">
            <v>56.15</v>
          </cell>
          <cell r="J43" t="str">
            <v>SI</v>
          </cell>
          <cell r="K43">
            <v>1.8333333333333333</v>
          </cell>
          <cell r="L43">
            <v>23258625</v>
          </cell>
          <cell r="M43">
            <v>35</v>
          </cell>
          <cell r="N43">
            <v>0</v>
          </cell>
          <cell r="O43" t="str">
            <v xml:space="preserve">577981ECJTA8 </v>
          </cell>
          <cell r="P43">
            <v>27800</v>
          </cell>
          <cell r="Q43">
            <v>5</v>
          </cell>
          <cell r="R43">
            <v>0</v>
          </cell>
          <cell r="W43" t="str">
            <v>0414324027500</v>
          </cell>
          <cell r="X43">
            <v>74.040000000000006</v>
          </cell>
          <cell r="Z43">
            <v>0</v>
          </cell>
          <cell r="AC43" t="str">
            <v>CONVIVIENTE</v>
          </cell>
        </row>
        <row r="44">
          <cell r="A44">
            <v>36</v>
          </cell>
          <cell r="B44" t="str">
            <v>CRUZ RODRIGUEZ, ELIAS SOLIS</v>
          </cell>
          <cell r="C44" t="str">
            <v>PF</v>
          </cell>
          <cell r="D44">
            <v>0.14879999999999999</v>
          </cell>
          <cell r="E44">
            <v>39150</v>
          </cell>
          <cell r="F44">
            <v>39716</v>
          </cell>
          <cell r="G44" t="str">
            <v>8203221CZRRE005</v>
          </cell>
          <cell r="H44" t="str">
            <v>AYTE. PERF.</v>
          </cell>
          <cell r="I44">
            <v>54.15</v>
          </cell>
          <cell r="J44" t="str">
            <v>NO</v>
          </cell>
          <cell r="K44">
            <v>0</v>
          </cell>
          <cell r="L44">
            <v>41321996</v>
          </cell>
          <cell r="N44">
            <v>0</v>
          </cell>
          <cell r="O44" t="str">
            <v>ONP</v>
          </cell>
          <cell r="P44">
            <v>30032</v>
          </cell>
          <cell r="Q44">
            <v>5</v>
          </cell>
          <cell r="R44">
            <v>0</v>
          </cell>
          <cell r="W44" t="str">
            <v>04-324-021995</v>
          </cell>
          <cell r="X44">
            <v>34.270000000000003</v>
          </cell>
          <cell r="Z44">
            <v>0</v>
          </cell>
        </row>
        <row r="45">
          <cell r="A45">
            <v>37</v>
          </cell>
          <cell r="B45" t="str">
            <v>DE LA CRUZ HILARIO DANIEL</v>
          </cell>
          <cell r="C45" t="str">
            <v>HR</v>
          </cell>
          <cell r="D45">
            <v>0.14829999999999999</v>
          </cell>
          <cell r="E45">
            <v>38786</v>
          </cell>
          <cell r="F45">
            <v>39716</v>
          </cell>
          <cell r="G45" t="str">
            <v>7405091CZHAD009</v>
          </cell>
          <cell r="H45" t="str">
            <v>PERFORISTA</v>
          </cell>
          <cell r="I45">
            <v>56.15</v>
          </cell>
          <cell r="J45" t="str">
            <v>SI</v>
          </cell>
          <cell r="K45">
            <v>1.8333333333333333</v>
          </cell>
          <cell r="L45">
            <v>23264089</v>
          </cell>
          <cell r="N45">
            <v>0</v>
          </cell>
          <cell r="O45" t="str">
            <v xml:space="preserve">571561DCHZA4 </v>
          </cell>
          <cell r="P45">
            <v>27158</v>
          </cell>
          <cell r="Q45">
            <v>5</v>
          </cell>
          <cell r="R45">
            <v>0</v>
          </cell>
          <cell r="W45" t="str">
            <v>0414324028221</v>
          </cell>
          <cell r="X45">
            <v>21.81</v>
          </cell>
          <cell r="Z45">
            <v>0</v>
          </cell>
          <cell r="AC45" t="str">
            <v xml:space="preserve">CASADO </v>
          </cell>
        </row>
        <row r="46">
          <cell r="A46">
            <v>38</v>
          </cell>
          <cell r="B46" t="str">
            <v>DE LA ROSA LOYOLA VALERIANO ORLANDO</v>
          </cell>
          <cell r="C46" t="str">
            <v>PR</v>
          </cell>
          <cell r="D46">
            <v>0.14369999999999999</v>
          </cell>
          <cell r="E46">
            <v>38667</v>
          </cell>
          <cell r="F46">
            <v>39716</v>
          </cell>
          <cell r="G46" t="str">
            <v>7611231RALOV005</v>
          </cell>
          <cell r="H46" t="str">
            <v>PERFORISTA</v>
          </cell>
          <cell r="I46">
            <v>56.15</v>
          </cell>
          <cell r="J46" t="str">
            <v>SI</v>
          </cell>
          <cell r="K46">
            <v>1.8333333333333333</v>
          </cell>
          <cell r="L46" t="str">
            <v>04222333</v>
          </cell>
          <cell r="N46">
            <v>0</v>
          </cell>
          <cell r="O46" t="str">
            <v>580851VRLAO0</v>
          </cell>
          <cell r="P46">
            <v>28087</v>
          </cell>
          <cell r="Q46">
            <v>5</v>
          </cell>
          <cell r="R46">
            <v>0</v>
          </cell>
          <cell r="W46" t="str">
            <v>0414324026334</v>
          </cell>
          <cell r="X46">
            <v>41.74</v>
          </cell>
          <cell r="Z46">
            <v>0</v>
          </cell>
          <cell r="AC46" t="str">
            <v>COVIVIENTE</v>
          </cell>
          <cell r="AD46" t="str">
            <v>PASCO</v>
          </cell>
        </row>
        <row r="47">
          <cell r="A47">
            <v>39</v>
          </cell>
          <cell r="B47" t="str">
            <v>DE LA ROSA OSORIO TEOFILO</v>
          </cell>
          <cell r="C47" t="str">
            <v>ONP</v>
          </cell>
          <cell r="D47">
            <v>0.13</v>
          </cell>
          <cell r="E47">
            <v>39034</v>
          </cell>
          <cell r="F47">
            <v>39716</v>
          </cell>
          <cell r="G47" t="str">
            <v>7106181RAORT007</v>
          </cell>
          <cell r="H47" t="str">
            <v>PERFORISTA</v>
          </cell>
          <cell r="I47">
            <v>56.15</v>
          </cell>
          <cell r="J47" t="str">
            <v>SI</v>
          </cell>
          <cell r="K47">
            <v>1.8333333333333333</v>
          </cell>
          <cell r="L47" t="str">
            <v>04205902</v>
          </cell>
          <cell r="M47">
            <v>35</v>
          </cell>
          <cell r="N47">
            <v>0</v>
          </cell>
          <cell r="O47" t="str">
            <v>ONP</v>
          </cell>
          <cell r="P47">
            <v>26102</v>
          </cell>
          <cell r="Q47">
            <v>5</v>
          </cell>
          <cell r="R47">
            <v>0</v>
          </cell>
          <cell r="W47" t="str">
            <v>0414324024900</v>
          </cell>
          <cell r="X47">
            <v>11.33</v>
          </cell>
          <cell r="Z47">
            <v>0</v>
          </cell>
        </row>
        <row r="48">
          <cell r="A48">
            <v>40</v>
          </cell>
          <cell r="B48" t="str">
            <v>DELGADO MORALES ELFER EDUD</v>
          </cell>
          <cell r="C48" t="str">
            <v>HR</v>
          </cell>
          <cell r="D48">
            <v>0.14829999999999999</v>
          </cell>
          <cell r="E48">
            <v>38173</v>
          </cell>
          <cell r="F48">
            <v>39716</v>
          </cell>
          <cell r="G48" t="str">
            <v>8204191DGMAE004</v>
          </cell>
          <cell r="H48" t="str">
            <v>PERFORISTA</v>
          </cell>
          <cell r="I48">
            <v>56.15</v>
          </cell>
          <cell r="J48" t="str">
            <v>SI</v>
          </cell>
          <cell r="K48">
            <v>1.8333333333333333</v>
          </cell>
          <cell r="L48" t="str">
            <v xml:space="preserve"> </v>
          </cell>
          <cell r="M48">
            <v>35</v>
          </cell>
          <cell r="N48">
            <v>0</v>
          </cell>
          <cell r="O48" t="str">
            <v>600581EDMGA5</v>
          </cell>
          <cell r="P48">
            <v>30060</v>
          </cell>
          <cell r="Q48">
            <v>5</v>
          </cell>
          <cell r="R48">
            <v>0</v>
          </cell>
          <cell r="W48" t="str">
            <v>0414324017734</v>
          </cell>
          <cell r="X48">
            <v>9.23</v>
          </cell>
          <cell r="Z48">
            <v>0</v>
          </cell>
          <cell r="AC48" t="str">
            <v>CONVIVIENTE</v>
          </cell>
          <cell r="AD48" t="str">
            <v>PASCO</v>
          </cell>
        </row>
        <row r="49">
          <cell r="A49">
            <v>41</v>
          </cell>
          <cell r="B49" t="str">
            <v>DIAZ MEDICO  MARCO</v>
          </cell>
          <cell r="C49" t="str">
            <v>ONP</v>
          </cell>
          <cell r="D49">
            <v>0.13</v>
          </cell>
          <cell r="E49">
            <v>39452</v>
          </cell>
          <cell r="F49">
            <v>39716</v>
          </cell>
          <cell r="G49" t="str">
            <v>8407151DZMCM00</v>
          </cell>
          <cell r="H49" t="str">
            <v>AYTE. PERF.</v>
          </cell>
          <cell r="I49">
            <v>50.15</v>
          </cell>
          <cell r="J49" t="str">
            <v>NO</v>
          </cell>
          <cell r="K49">
            <v>0</v>
          </cell>
          <cell r="L49">
            <v>42747606</v>
          </cell>
          <cell r="M49">
            <v>34.590000000000003</v>
          </cell>
          <cell r="N49">
            <v>0</v>
          </cell>
          <cell r="O49" t="str">
            <v>ONP</v>
          </cell>
          <cell r="P49">
            <v>30878</v>
          </cell>
          <cell r="Q49">
            <v>5</v>
          </cell>
          <cell r="R49">
            <v>0</v>
          </cell>
          <cell r="W49" t="str">
            <v>04-324-043344</v>
          </cell>
          <cell r="X49">
            <v>0</v>
          </cell>
          <cell r="Z49">
            <v>0</v>
          </cell>
          <cell r="AC49" t="str">
            <v>SOLTERO</v>
          </cell>
          <cell r="AD49" t="str">
            <v>OYON</v>
          </cell>
        </row>
        <row r="50">
          <cell r="A50">
            <v>42</v>
          </cell>
          <cell r="B50" t="str">
            <v>ESCALANTE VALENTIN MIGUEL</v>
          </cell>
          <cell r="C50" t="str">
            <v>IN</v>
          </cell>
          <cell r="D50">
            <v>0.14680000000000001</v>
          </cell>
          <cell r="E50">
            <v>39007</v>
          </cell>
          <cell r="F50">
            <v>39716</v>
          </cell>
          <cell r="G50" t="str">
            <v>8010181EAVEM002</v>
          </cell>
          <cell r="H50" t="str">
            <v>PERFORISTA</v>
          </cell>
          <cell r="I50">
            <v>56.15</v>
          </cell>
          <cell r="J50" t="str">
            <v>NO</v>
          </cell>
          <cell r="K50">
            <v>0</v>
          </cell>
          <cell r="L50">
            <v>41671364</v>
          </cell>
          <cell r="M50">
            <v>35</v>
          </cell>
          <cell r="N50">
            <v>0</v>
          </cell>
          <cell r="O50" t="str">
            <v>595101MEVAE7</v>
          </cell>
          <cell r="P50">
            <v>29512</v>
          </cell>
          <cell r="Q50">
            <v>5</v>
          </cell>
          <cell r="R50">
            <v>0</v>
          </cell>
          <cell r="W50" t="str">
            <v>0414324032970</v>
          </cell>
          <cell r="X50">
            <v>80.930000000000007</v>
          </cell>
          <cell r="Z50">
            <v>0</v>
          </cell>
          <cell r="AC50" t="str">
            <v>SOLTERO</v>
          </cell>
          <cell r="AD50" t="str">
            <v>OYON</v>
          </cell>
        </row>
        <row r="51">
          <cell r="A51">
            <v>43</v>
          </cell>
          <cell r="B51" t="str">
            <v>ESPADA SANTOS  JUAN ANTOGENES</v>
          </cell>
          <cell r="C51" t="str">
            <v>ONP</v>
          </cell>
          <cell r="D51">
            <v>0.13</v>
          </cell>
          <cell r="E51">
            <v>39423</v>
          </cell>
          <cell r="F51">
            <v>39716</v>
          </cell>
          <cell r="G51" t="str">
            <v>7807251EASTJ00</v>
          </cell>
          <cell r="H51" t="str">
            <v>AYTE. PERF.</v>
          </cell>
          <cell r="I51">
            <v>50.15</v>
          </cell>
          <cell r="J51" t="str">
            <v>SI</v>
          </cell>
          <cell r="K51">
            <v>1.8333333333333333</v>
          </cell>
          <cell r="L51">
            <v>40417044</v>
          </cell>
          <cell r="M51">
            <v>36</v>
          </cell>
          <cell r="N51">
            <v>0</v>
          </cell>
          <cell r="P51">
            <v>28696</v>
          </cell>
          <cell r="Q51">
            <v>5</v>
          </cell>
          <cell r="R51">
            <v>0</v>
          </cell>
          <cell r="W51" t="str">
            <v>04324042631</v>
          </cell>
          <cell r="X51">
            <v>0</v>
          </cell>
          <cell r="Z51">
            <v>0</v>
          </cell>
          <cell r="AC51" t="str">
            <v>CONVIVIENTE</v>
          </cell>
          <cell r="AD51" t="str">
            <v>OYON</v>
          </cell>
        </row>
        <row r="52">
          <cell r="A52">
            <v>44</v>
          </cell>
          <cell r="B52" t="str">
            <v>FIERRO CAPCHA CESAR RAUL</v>
          </cell>
          <cell r="C52" t="str">
            <v>IN</v>
          </cell>
          <cell r="D52">
            <v>0.14680000000000001</v>
          </cell>
          <cell r="E52">
            <v>37865</v>
          </cell>
          <cell r="F52">
            <v>39716</v>
          </cell>
          <cell r="G52" t="str">
            <v>6804121FRCCC002</v>
          </cell>
          <cell r="H52" t="str">
            <v>PERFORISTA</v>
          </cell>
          <cell r="I52">
            <v>56.15</v>
          </cell>
          <cell r="J52" t="str">
            <v>SI</v>
          </cell>
          <cell r="K52">
            <v>1.8333333333333333</v>
          </cell>
          <cell r="L52" t="str">
            <v>04072704</v>
          </cell>
          <cell r="M52">
            <v>35</v>
          </cell>
          <cell r="N52">
            <v>0</v>
          </cell>
          <cell r="O52" t="str">
            <v>249381CFCRC9</v>
          </cell>
          <cell r="P52">
            <v>24940</v>
          </cell>
          <cell r="Q52">
            <v>5</v>
          </cell>
          <cell r="R52">
            <v>0</v>
          </cell>
          <cell r="W52" t="str">
            <v>0414324011035</v>
          </cell>
          <cell r="X52">
            <v>1.23</v>
          </cell>
          <cell r="Z52">
            <v>0</v>
          </cell>
          <cell r="AC52" t="str">
            <v>CONVIVIENTE</v>
          </cell>
          <cell r="AD52" t="str">
            <v>OROYA</v>
          </cell>
          <cell r="AE52">
            <v>19</v>
          </cell>
        </row>
        <row r="53">
          <cell r="A53">
            <v>45</v>
          </cell>
          <cell r="B53" t="str">
            <v>GIL LOPEZ ROCKEFELLER</v>
          </cell>
          <cell r="C53" t="str">
            <v>PF</v>
          </cell>
          <cell r="D53">
            <v>0.14879999999999999</v>
          </cell>
          <cell r="E53">
            <v>38864</v>
          </cell>
          <cell r="F53">
            <v>39716</v>
          </cell>
          <cell r="G53" t="str">
            <v>7508011GLLER003</v>
          </cell>
          <cell r="H53" t="str">
            <v>AYTE. PERF.</v>
          </cell>
          <cell r="I53">
            <v>54.15</v>
          </cell>
          <cell r="J53" t="str">
            <v>SI</v>
          </cell>
          <cell r="K53">
            <v>1.8333333333333333</v>
          </cell>
          <cell r="L53">
            <v>15217252</v>
          </cell>
          <cell r="N53">
            <v>0</v>
          </cell>
          <cell r="O53" t="str">
            <v xml:space="preserve">576051RGLLE0 </v>
          </cell>
          <cell r="P53">
            <v>27607</v>
          </cell>
          <cell r="Q53">
            <v>5</v>
          </cell>
          <cell r="R53">
            <v>0</v>
          </cell>
          <cell r="W53" t="str">
            <v>0414324004578</v>
          </cell>
          <cell r="X53">
            <v>5.61</v>
          </cell>
          <cell r="Z53">
            <v>0</v>
          </cell>
          <cell r="AD53" t="str">
            <v>OYON</v>
          </cell>
        </row>
        <row r="54">
          <cell r="A54">
            <v>46</v>
          </cell>
          <cell r="B54" t="str">
            <v>GIL LOPEZ, JORGE  YVAIR</v>
          </cell>
          <cell r="C54" t="str">
            <v>ONP</v>
          </cell>
          <cell r="D54">
            <v>0.13</v>
          </cell>
          <cell r="E54">
            <v>39263</v>
          </cell>
          <cell r="F54">
            <v>39716</v>
          </cell>
          <cell r="G54" t="str">
            <v>7908281GLLEJ006</v>
          </cell>
          <cell r="H54" t="str">
            <v>AYTE. PERF.</v>
          </cell>
          <cell r="I54">
            <v>54.15</v>
          </cell>
          <cell r="J54" t="str">
            <v>SI</v>
          </cell>
          <cell r="K54">
            <v>1.8333333333333333</v>
          </cell>
          <cell r="L54">
            <v>40576878</v>
          </cell>
          <cell r="N54">
            <v>0</v>
          </cell>
          <cell r="O54" t="str">
            <v>ONP</v>
          </cell>
          <cell r="P54">
            <v>29095</v>
          </cell>
          <cell r="Q54">
            <v>5</v>
          </cell>
          <cell r="R54">
            <v>0</v>
          </cell>
          <cell r="X54">
            <v>5.68</v>
          </cell>
          <cell r="Z54">
            <v>0</v>
          </cell>
          <cell r="AC54" t="str">
            <v>CONVIVIENTE</v>
          </cell>
          <cell r="AD54" t="str">
            <v>OYON</v>
          </cell>
        </row>
        <row r="55">
          <cell r="A55">
            <v>47</v>
          </cell>
          <cell r="B55" t="str">
            <v>GIRON URBANO GIOMAR WILLIAMS</v>
          </cell>
          <cell r="C55" t="str">
            <v>HR</v>
          </cell>
          <cell r="D55">
            <v>0.14829999999999999</v>
          </cell>
          <cell r="E55">
            <v>38915</v>
          </cell>
          <cell r="F55">
            <v>39716</v>
          </cell>
          <cell r="G55" t="str">
            <v>7502091GOUAG004</v>
          </cell>
          <cell r="H55" t="str">
            <v>AYTE. PERF.</v>
          </cell>
          <cell r="I55">
            <v>54.15</v>
          </cell>
          <cell r="J55" t="str">
            <v>SI</v>
          </cell>
          <cell r="K55">
            <v>1.8333333333333333</v>
          </cell>
          <cell r="L55" t="str">
            <v>15217021</v>
          </cell>
          <cell r="M55">
            <v>35</v>
          </cell>
          <cell r="N55">
            <v>0</v>
          </cell>
          <cell r="O55" t="str">
            <v>574321GGUOA9</v>
          </cell>
          <cell r="P55">
            <v>27434</v>
          </cell>
          <cell r="Q55">
            <v>5</v>
          </cell>
          <cell r="R55">
            <v>0</v>
          </cell>
          <cell r="W55" t="str">
            <v>0414324019559</v>
          </cell>
          <cell r="X55">
            <v>15.4</v>
          </cell>
          <cell r="Z55">
            <v>0</v>
          </cell>
          <cell r="AC55" t="str">
            <v>CASADO</v>
          </cell>
          <cell r="AD55" t="str">
            <v>OYON</v>
          </cell>
        </row>
        <row r="56">
          <cell r="A56">
            <v>48</v>
          </cell>
          <cell r="B56" t="str">
            <v>GIRON URBANO, FELIPE JUAN</v>
          </cell>
          <cell r="C56" t="str">
            <v>ONP</v>
          </cell>
          <cell r="D56">
            <v>0.13</v>
          </cell>
          <cell r="E56">
            <v>39263</v>
          </cell>
          <cell r="F56">
            <v>39716</v>
          </cell>
          <cell r="G56" t="str">
            <v>6808201GOUAF003</v>
          </cell>
          <cell r="H56" t="str">
            <v>AYTE. PERF.</v>
          </cell>
          <cell r="I56">
            <v>54.15</v>
          </cell>
          <cell r="J56" t="str">
            <v>SI</v>
          </cell>
          <cell r="K56">
            <v>1.8333333333333333</v>
          </cell>
          <cell r="L56">
            <v>15215867</v>
          </cell>
          <cell r="N56">
            <v>0</v>
          </cell>
          <cell r="P56">
            <v>25070</v>
          </cell>
          <cell r="Q56">
            <v>5</v>
          </cell>
          <cell r="R56">
            <v>0</v>
          </cell>
          <cell r="W56" t="str">
            <v>04324027144</v>
          </cell>
          <cell r="X56">
            <v>-20.83</v>
          </cell>
          <cell r="Z56">
            <v>0</v>
          </cell>
          <cell r="AC56" t="str">
            <v>CASADO</v>
          </cell>
          <cell r="AD56" t="str">
            <v>OYON</v>
          </cell>
        </row>
        <row r="57">
          <cell r="A57">
            <v>49</v>
          </cell>
          <cell r="B57" t="str">
            <v>GUTIERREZ AYALA NICOLAS EDMUNDO</v>
          </cell>
          <cell r="C57" t="str">
            <v>IN</v>
          </cell>
          <cell r="D57">
            <v>0.14680000000000001</v>
          </cell>
          <cell r="E57">
            <v>38755</v>
          </cell>
          <cell r="F57">
            <v>39716</v>
          </cell>
          <cell r="G57" t="str">
            <v>8208101GIALN001</v>
          </cell>
          <cell r="H57" t="str">
            <v>PERFORISTA</v>
          </cell>
          <cell r="I57">
            <v>56.15</v>
          </cell>
          <cell r="J57" t="str">
            <v>SI</v>
          </cell>
          <cell r="K57">
            <v>1.8333333333333333</v>
          </cell>
          <cell r="L57">
            <v>41392232</v>
          </cell>
          <cell r="N57">
            <v>0</v>
          </cell>
          <cell r="O57" t="str">
            <v xml:space="preserve">601711NGAIL7 </v>
          </cell>
          <cell r="P57">
            <v>30173</v>
          </cell>
          <cell r="Q57">
            <v>5</v>
          </cell>
          <cell r="R57">
            <v>0</v>
          </cell>
          <cell r="W57" t="str">
            <v>0414324027608</v>
          </cell>
          <cell r="X57">
            <v>32.67</v>
          </cell>
          <cell r="Z57">
            <v>0</v>
          </cell>
          <cell r="AC57" t="str">
            <v>SOLTERO</v>
          </cell>
          <cell r="AD57" t="str">
            <v>PASCO</v>
          </cell>
          <cell r="AE57">
            <v>4</v>
          </cell>
        </row>
        <row r="58">
          <cell r="A58">
            <v>50</v>
          </cell>
          <cell r="B58" t="str">
            <v>HOBISPO VILLANUEVA MIGUEL ANGEL</v>
          </cell>
          <cell r="C58" t="str">
            <v>IN</v>
          </cell>
          <cell r="D58">
            <v>0.14680000000000001</v>
          </cell>
          <cell r="E58">
            <v>37956</v>
          </cell>
          <cell r="F58">
            <v>39691</v>
          </cell>
          <cell r="G58" t="str">
            <v>7709811HIVLM007</v>
          </cell>
          <cell r="H58" t="str">
            <v>SUPERVISOR SEGURIDAD</v>
          </cell>
          <cell r="I58">
            <v>56.15</v>
          </cell>
          <cell r="J58" t="str">
            <v>SI</v>
          </cell>
          <cell r="K58">
            <v>1.8333333333333333</v>
          </cell>
          <cell r="L58">
            <v>10709722</v>
          </cell>
          <cell r="M58">
            <v>32</v>
          </cell>
          <cell r="N58">
            <v>0</v>
          </cell>
          <cell r="O58" t="str">
            <v>583741MNVIL5</v>
          </cell>
          <cell r="P58">
            <v>28376</v>
          </cell>
          <cell r="Q58">
            <v>5</v>
          </cell>
          <cell r="R58">
            <v>0</v>
          </cell>
          <cell r="W58" t="str">
            <v>0414324004225</v>
          </cell>
          <cell r="X58">
            <v>80.760000000000005</v>
          </cell>
          <cell r="Z58">
            <v>0</v>
          </cell>
          <cell r="AC58" t="str">
            <v xml:space="preserve">SOLTERO </v>
          </cell>
          <cell r="AD58" t="str">
            <v>HUANUCO</v>
          </cell>
        </row>
        <row r="59">
          <cell r="A59">
            <v>51</v>
          </cell>
          <cell r="B59" t="str">
            <v>HUACHO CONDORI MAXIMO</v>
          </cell>
          <cell r="C59" t="str">
            <v>ONP</v>
          </cell>
          <cell r="D59">
            <v>0.13</v>
          </cell>
          <cell r="E59">
            <v>37746</v>
          </cell>
          <cell r="F59">
            <v>39716</v>
          </cell>
          <cell r="G59" t="str">
            <v>7104251HCCDM000</v>
          </cell>
          <cell r="H59" t="str">
            <v>PERFORISTA</v>
          </cell>
          <cell r="I59">
            <v>56.15</v>
          </cell>
          <cell r="J59" t="str">
            <v>SI</v>
          </cell>
          <cell r="K59">
            <v>1.8333333333333333</v>
          </cell>
          <cell r="L59">
            <v>23465749</v>
          </cell>
          <cell r="M59">
            <v>35</v>
          </cell>
          <cell r="N59">
            <v>0</v>
          </cell>
          <cell r="O59" t="str">
            <v>ONP</v>
          </cell>
          <cell r="P59">
            <v>26048</v>
          </cell>
          <cell r="Q59">
            <v>5</v>
          </cell>
          <cell r="R59">
            <v>0</v>
          </cell>
          <cell r="W59" t="str">
            <v>0414324011124</v>
          </cell>
          <cell r="X59">
            <v>48.01</v>
          </cell>
          <cell r="Z59">
            <v>0</v>
          </cell>
          <cell r="AC59" t="str">
            <v>CASADO</v>
          </cell>
          <cell r="AD59" t="str">
            <v>OYON</v>
          </cell>
        </row>
        <row r="60">
          <cell r="A60">
            <v>52</v>
          </cell>
          <cell r="B60" t="str">
            <v>HUACHO ILLANES PABLO</v>
          </cell>
          <cell r="C60" t="str">
            <v>IN</v>
          </cell>
          <cell r="D60">
            <v>0.14680000000000001</v>
          </cell>
          <cell r="E60">
            <v>37669</v>
          </cell>
          <cell r="F60">
            <v>39716</v>
          </cell>
          <cell r="G60" t="str">
            <v>7306291HCIAP009</v>
          </cell>
          <cell r="H60" t="str">
            <v>PERFORISTA</v>
          </cell>
          <cell r="I60">
            <v>56.15</v>
          </cell>
          <cell r="J60" t="str">
            <v>SI</v>
          </cell>
          <cell r="K60">
            <v>1.8333333333333333</v>
          </cell>
          <cell r="L60">
            <v>23466747</v>
          </cell>
          <cell r="M60">
            <v>35</v>
          </cell>
          <cell r="N60">
            <v>0</v>
          </cell>
          <cell r="O60" t="str">
            <v xml:space="preserve">568421PHICA8 </v>
          </cell>
          <cell r="P60">
            <v>26844</v>
          </cell>
          <cell r="Q60">
            <v>5</v>
          </cell>
          <cell r="R60">
            <v>0</v>
          </cell>
          <cell r="W60" t="str">
            <v>0414324011132</v>
          </cell>
          <cell r="X60">
            <v>32.36</v>
          </cell>
          <cell r="Z60">
            <v>0</v>
          </cell>
          <cell r="AC60" t="str">
            <v>CASADO</v>
          </cell>
        </row>
        <row r="61">
          <cell r="A61">
            <v>53</v>
          </cell>
          <cell r="B61" t="str">
            <v>HUACHO LLANCARI CARLOS</v>
          </cell>
          <cell r="C61" t="str">
            <v>ONP</v>
          </cell>
          <cell r="D61">
            <v>0.13</v>
          </cell>
          <cell r="E61">
            <v>38541</v>
          </cell>
          <cell r="F61">
            <v>39716</v>
          </cell>
          <cell r="G61" t="str">
            <v>8502121HCLNC009</v>
          </cell>
          <cell r="H61" t="str">
            <v>PERFORISTA</v>
          </cell>
          <cell r="I61">
            <v>56.15</v>
          </cell>
          <cell r="J61" t="str">
            <v>SI</v>
          </cell>
          <cell r="K61">
            <v>1.8333333333333333</v>
          </cell>
          <cell r="L61">
            <v>42838589</v>
          </cell>
          <cell r="N61">
            <v>0</v>
          </cell>
          <cell r="O61" t="str">
            <v>ONP</v>
          </cell>
          <cell r="P61">
            <v>31090</v>
          </cell>
          <cell r="Q61">
            <v>5</v>
          </cell>
          <cell r="R61">
            <v>0</v>
          </cell>
          <cell r="W61" t="str">
            <v>0414324023319</v>
          </cell>
          <cell r="X61">
            <v>31.04</v>
          </cell>
          <cell r="Z61">
            <v>0</v>
          </cell>
          <cell r="AC61" t="str">
            <v>CASADO</v>
          </cell>
          <cell r="AE61">
            <v>2</v>
          </cell>
        </row>
        <row r="62">
          <cell r="A62">
            <v>54</v>
          </cell>
          <cell r="B62" t="str">
            <v>HUACHO LLANCARI ISAIAS</v>
          </cell>
          <cell r="C62" t="str">
            <v>IN</v>
          </cell>
          <cell r="D62">
            <v>0.14680000000000001</v>
          </cell>
          <cell r="E62">
            <v>39639</v>
          </cell>
          <cell r="F62">
            <v>39716</v>
          </cell>
          <cell r="G62" t="str">
            <v>8505131HCLNI00</v>
          </cell>
          <cell r="H62" t="str">
            <v>PERFORISTA</v>
          </cell>
          <cell r="I62">
            <v>54.15</v>
          </cell>
          <cell r="J62" t="str">
            <v>SI</v>
          </cell>
          <cell r="K62">
            <v>1.8333333333333333</v>
          </cell>
          <cell r="L62">
            <v>43046877</v>
          </cell>
          <cell r="N62">
            <v>0</v>
          </cell>
          <cell r="P62">
            <v>31180</v>
          </cell>
          <cell r="Q62">
            <v>0</v>
          </cell>
          <cell r="R62">
            <v>0</v>
          </cell>
          <cell r="W62" t="str">
            <v>04-322-012301</v>
          </cell>
          <cell r="X62">
            <v>0</v>
          </cell>
          <cell r="Z62">
            <v>0</v>
          </cell>
          <cell r="AC62" t="str">
            <v>CONVIVIENTE</v>
          </cell>
          <cell r="AD62" t="str">
            <v>LIRCAY</v>
          </cell>
          <cell r="AE62">
            <v>1</v>
          </cell>
        </row>
        <row r="63">
          <cell r="A63">
            <v>55</v>
          </cell>
          <cell r="B63" t="str">
            <v xml:space="preserve">HUACHO TORRES ISAIAS  POMPEYO </v>
          </cell>
          <cell r="C63" t="str">
            <v>HR</v>
          </cell>
          <cell r="D63">
            <v>0.14829999999999999</v>
          </cell>
          <cell r="E63">
            <v>39655</v>
          </cell>
          <cell r="F63">
            <v>39716</v>
          </cell>
          <cell r="H63" t="str">
            <v>PERFORISTA</v>
          </cell>
          <cell r="I63">
            <v>54.15</v>
          </cell>
          <cell r="J63" t="str">
            <v xml:space="preserve">NO </v>
          </cell>
          <cell r="L63">
            <v>40722807</v>
          </cell>
          <cell r="M63">
            <v>0</v>
          </cell>
          <cell r="N63">
            <v>0</v>
          </cell>
          <cell r="P63">
            <v>29103</v>
          </cell>
          <cell r="Q63">
            <v>0</v>
          </cell>
          <cell r="R63">
            <v>0</v>
          </cell>
          <cell r="W63" t="str">
            <v>04-324-048001</v>
          </cell>
          <cell r="X63">
            <v>0</v>
          </cell>
          <cell r="AC63" t="str">
            <v>CONVIVIENTE</v>
          </cell>
          <cell r="AD63" t="str">
            <v>LIRCAY</v>
          </cell>
          <cell r="AE63">
            <v>3</v>
          </cell>
        </row>
        <row r="64">
          <cell r="A64">
            <v>56</v>
          </cell>
          <cell r="B64" t="str">
            <v>HUAIRA JUÑO TEODOSIO</v>
          </cell>
          <cell r="C64" t="str">
            <v>ONP</v>
          </cell>
          <cell r="D64">
            <v>0.13</v>
          </cell>
          <cell r="E64">
            <v>35942</v>
          </cell>
          <cell r="F64">
            <v>39716</v>
          </cell>
          <cell r="G64" t="str">
            <v>5801111HIJOT001</v>
          </cell>
          <cell r="H64" t="str">
            <v>PERFORISTA</v>
          </cell>
          <cell r="I64">
            <v>56.15</v>
          </cell>
          <cell r="J64" t="str">
            <v>SI</v>
          </cell>
          <cell r="K64">
            <v>1.8333333333333333</v>
          </cell>
          <cell r="L64">
            <v>23445853</v>
          </cell>
          <cell r="M64">
            <v>35</v>
          </cell>
          <cell r="N64">
            <v>0</v>
          </cell>
          <cell r="O64" t="str">
            <v>ONP</v>
          </cell>
          <cell r="P64">
            <v>21196</v>
          </cell>
          <cell r="Q64">
            <v>5</v>
          </cell>
          <cell r="R64">
            <v>0</v>
          </cell>
          <cell r="W64" t="str">
            <v>0414324011140</v>
          </cell>
          <cell r="X64">
            <v>13.98</v>
          </cell>
          <cell r="Z64">
            <v>0</v>
          </cell>
          <cell r="AC64" t="str">
            <v>CASADO</v>
          </cell>
        </row>
        <row r="65">
          <cell r="A65">
            <v>57</v>
          </cell>
          <cell r="B65" t="str">
            <v>HUAMANI CACERES OCTAVIO</v>
          </cell>
          <cell r="C65" t="str">
            <v>ONP</v>
          </cell>
          <cell r="D65">
            <v>0.13</v>
          </cell>
          <cell r="E65">
            <v>39638</v>
          </cell>
          <cell r="F65">
            <v>39716</v>
          </cell>
          <cell r="G65" t="str">
            <v>8203221HMCEO00</v>
          </cell>
          <cell r="H65" t="str">
            <v>PERFORISTA</v>
          </cell>
          <cell r="I65">
            <v>54.15</v>
          </cell>
          <cell r="J65" t="str">
            <v>NO</v>
          </cell>
          <cell r="K65">
            <v>0</v>
          </cell>
          <cell r="L65">
            <v>33109095</v>
          </cell>
          <cell r="N65">
            <v>0</v>
          </cell>
          <cell r="O65" t="str">
            <v>ONP</v>
          </cell>
          <cell r="P65">
            <v>30032</v>
          </cell>
          <cell r="Q65">
            <v>5</v>
          </cell>
          <cell r="R65">
            <v>0</v>
          </cell>
          <cell r="W65" t="str">
            <v>04-323-051998</v>
          </cell>
          <cell r="X65">
            <v>0</v>
          </cell>
          <cell r="Z65">
            <v>0</v>
          </cell>
          <cell r="AC65" t="str">
            <v>SOLTERO</v>
          </cell>
          <cell r="AD65" t="str">
            <v>CUZCO</v>
          </cell>
          <cell r="AE65">
            <v>4</v>
          </cell>
        </row>
        <row r="66">
          <cell r="A66">
            <v>58</v>
          </cell>
          <cell r="B66" t="str">
            <v>HUAMAN VILCAS GUILLERMO</v>
          </cell>
          <cell r="C66" t="str">
            <v>PF</v>
          </cell>
          <cell r="D66">
            <v>0.14879999999999999</v>
          </cell>
          <cell r="E66">
            <v>39150</v>
          </cell>
          <cell r="F66">
            <v>39716</v>
          </cell>
          <cell r="G66" t="str">
            <v>7304061HMVCH006</v>
          </cell>
          <cell r="H66" t="str">
            <v>AYTE. PERF.</v>
          </cell>
          <cell r="I66">
            <v>54.15</v>
          </cell>
          <cell r="J66" t="str">
            <v>NO</v>
          </cell>
          <cell r="K66">
            <v>0</v>
          </cell>
          <cell r="L66">
            <v>23257816</v>
          </cell>
          <cell r="N66">
            <v>0</v>
          </cell>
          <cell r="O66" t="str">
            <v>567581GHVMC5</v>
          </cell>
          <cell r="P66">
            <v>26760</v>
          </cell>
          <cell r="Q66">
            <v>5</v>
          </cell>
          <cell r="R66">
            <v>0</v>
          </cell>
          <cell r="W66" t="str">
            <v>04-324-035422</v>
          </cell>
          <cell r="X66">
            <v>20.64</v>
          </cell>
          <cell r="Z66">
            <v>0</v>
          </cell>
        </row>
        <row r="67">
          <cell r="A67">
            <v>59</v>
          </cell>
          <cell r="B67" t="str">
            <v>HUAMANI YANA JUAN CRISOSTOMO</v>
          </cell>
          <cell r="C67" t="str">
            <v>IN</v>
          </cell>
          <cell r="D67">
            <v>0.14680000000000001</v>
          </cell>
          <cell r="E67">
            <v>37568</v>
          </cell>
          <cell r="F67">
            <v>39716</v>
          </cell>
          <cell r="G67" t="str">
            <v>6401271HMYAJ002</v>
          </cell>
          <cell r="H67" t="str">
            <v>MEC.-PERF.</v>
          </cell>
          <cell r="I67">
            <v>59.65</v>
          </cell>
          <cell r="J67" t="str">
            <v>SI</v>
          </cell>
          <cell r="K67">
            <v>1.8333333333333333</v>
          </cell>
          <cell r="L67">
            <v>30585974</v>
          </cell>
          <cell r="M67">
            <v>35</v>
          </cell>
          <cell r="N67">
            <v>0</v>
          </cell>
          <cell r="O67" t="str">
            <v>234011JHYMA8</v>
          </cell>
          <cell r="P67">
            <v>23403</v>
          </cell>
          <cell r="Q67">
            <v>5</v>
          </cell>
          <cell r="R67">
            <v>0</v>
          </cell>
          <cell r="W67" t="str">
            <v>0414324008522</v>
          </cell>
          <cell r="X67">
            <v>93.86</v>
          </cell>
          <cell r="Z67">
            <v>0</v>
          </cell>
          <cell r="AC67" t="str">
            <v>CONVIVIENTE</v>
          </cell>
          <cell r="AD67" t="str">
            <v>AREQUIPA</v>
          </cell>
        </row>
        <row r="68">
          <cell r="A68">
            <v>60</v>
          </cell>
          <cell r="B68" t="str">
            <v>HUARANGA RIVERA, WALTER RAUL</v>
          </cell>
          <cell r="C68" t="str">
            <v>ONP</v>
          </cell>
          <cell r="D68">
            <v>0.13</v>
          </cell>
          <cell r="E68">
            <v>39263</v>
          </cell>
          <cell r="F68">
            <v>39716</v>
          </cell>
          <cell r="G68" t="str">
            <v>7708261HAREW00</v>
          </cell>
          <cell r="H68" t="str">
            <v>AYTE. PERF.</v>
          </cell>
          <cell r="I68">
            <v>54.15</v>
          </cell>
          <cell r="J68" t="str">
            <v>SI</v>
          </cell>
          <cell r="K68">
            <v>1.8333333333333333</v>
          </cell>
          <cell r="L68">
            <v>15217743</v>
          </cell>
          <cell r="N68">
            <v>0</v>
          </cell>
          <cell r="O68" t="str">
            <v>ONP</v>
          </cell>
          <cell r="P68">
            <v>28363</v>
          </cell>
          <cell r="Q68">
            <v>5</v>
          </cell>
          <cell r="R68">
            <v>0</v>
          </cell>
          <cell r="X68">
            <v>0.62</v>
          </cell>
          <cell r="Z68">
            <v>0</v>
          </cell>
          <cell r="AC68" t="str">
            <v>CASADO</v>
          </cell>
          <cell r="AD68" t="str">
            <v>OYON</v>
          </cell>
        </row>
        <row r="69">
          <cell r="A69">
            <v>61</v>
          </cell>
          <cell r="B69" t="str">
            <v>HUAYNATE GIRON HUGO RAUL</v>
          </cell>
          <cell r="C69" t="str">
            <v>PF</v>
          </cell>
          <cell r="D69">
            <v>0.14879999999999999</v>
          </cell>
          <cell r="E69">
            <v>39484</v>
          </cell>
          <cell r="F69">
            <v>39716</v>
          </cell>
          <cell r="G69" t="str">
            <v>7808271HYGOH00</v>
          </cell>
          <cell r="H69" t="str">
            <v>AYTE. PERF.</v>
          </cell>
          <cell r="I69">
            <v>50.15</v>
          </cell>
          <cell r="J69" t="str">
            <v>NO</v>
          </cell>
          <cell r="K69">
            <v>0</v>
          </cell>
          <cell r="L69">
            <v>15217920</v>
          </cell>
          <cell r="M69">
            <v>35.96</v>
          </cell>
          <cell r="N69">
            <v>0</v>
          </cell>
          <cell r="O69" t="str">
            <v>ONP</v>
          </cell>
          <cell r="P69">
            <v>28729</v>
          </cell>
          <cell r="Q69">
            <v>5</v>
          </cell>
          <cell r="R69">
            <v>0</v>
          </cell>
          <cell r="X69">
            <v>0</v>
          </cell>
          <cell r="Z69">
            <v>0</v>
          </cell>
          <cell r="AC69" t="str">
            <v>SOLTERO</v>
          </cell>
          <cell r="AD69" t="str">
            <v>OYON</v>
          </cell>
        </row>
        <row r="70">
          <cell r="A70">
            <v>62</v>
          </cell>
          <cell r="B70" t="str">
            <v>HUAIRA NOA ANTONIO</v>
          </cell>
          <cell r="C70" t="str">
            <v>PF</v>
          </cell>
          <cell r="D70">
            <v>0.14879999999999999</v>
          </cell>
          <cell r="E70">
            <v>39639</v>
          </cell>
          <cell r="F70">
            <v>39716</v>
          </cell>
          <cell r="G70" t="str">
            <v>7601171HINAE00</v>
          </cell>
          <cell r="H70" t="str">
            <v>PERFORISTA</v>
          </cell>
          <cell r="I70">
            <v>54.15</v>
          </cell>
          <cell r="J70" t="str">
            <v>SI</v>
          </cell>
          <cell r="K70">
            <v>1.8333333333333333</v>
          </cell>
          <cell r="L70">
            <v>23470367</v>
          </cell>
          <cell r="N70">
            <v>0</v>
          </cell>
          <cell r="P70">
            <v>27776</v>
          </cell>
          <cell r="Q70">
            <v>0</v>
          </cell>
          <cell r="R70">
            <v>0</v>
          </cell>
          <cell r="W70" t="str">
            <v>04-324-047641</v>
          </cell>
          <cell r="X70">
            <v>0</v>
          </cell>
          <cell r="Z70">
            <v>0</v>
          </cell>
          <cell r="AC70" t="str">
            <v>CASADO</v>
          </cell>
          <cell r="AD70" t="str">
            <v>LIRCAY</v>
          </cell>
          <cell r="AE70">
            <v>5</v>
          </cell>
        </row>
        <row r="71">
          <cell r="A71">
            <v>63</v>
          </cell>
          <cell r="B71" t="str">
            <v>HUAYRA NOA ESTEBAN</v>
          </cell>
          <cell r="C71" t="str">
            <v>IN</v>
          </cell>
          <cell r="D71">
            <v>0.14680000000000001</v>
          </cell>
          <cell r="E71">
            <v>38667</v>
          </cell>
          <cell r="F71">
            <v>39716</v>
          </cell>
          <cell r="G71" t="str">
            <v>7909171HYNAE009</v>
          </cell>
          <cell r="H71" t="str">
            <v>PERFORISTA</v>
          </cell>
          <cell r="I71">
            <v>56.15</v>
          </cell>
          <cell r="J71" t="str">
            <v>SI</v>
          </cell>
          <cell r="K71">
            <v>1.8333333333333333</v>
          </cell>
          <cell r="L71">
            <v>40387158</v>
          </cell>
          <cell r="N71">
            <v>0</v>
          </cell>
          <cell r="O71" t="str">
            <v>591131EHNYA7</v>
          </cell>
          <cell r="P71">
            <v>29115</v>
          </cell>
          <cell r="Q71">
            <v>5</v>
          </cell>
          <cell r="R71">
            <v>0</v>
          </cell>
          <cell r="W71" t="str">
            <v>0414324026148</v>
          </cell>
          <cell r="X71">
            <v>27.74</v>
          </cell>
          <cell r="Z71">
            <v>0</v>
          </cell>
          <cell r="AC71" t="str">
            <v>CASADO</v>
          </cell>
          <cell r="AD71" t="str">
            <v>OYON</v>
          </cell>
        </row>
        <row r="72">
          <cell r="A72">
            <v>64</v>
          </cell>
          <cell r="B72" t="str">
            <v>HUINCHO CHAVEZ LUIS FERNANDO</v>
          </cell>
          <cell r="C72" t="str">
            <v>HR</v>
          </cell>
          <cell r="D72">
            <v>0.14829999999999999</v>
          </cell>
          <cell r="E72">
            <v>39647</v>
          </cell>
          <cell r="F72">
            <v>39716</v>
          </cell>
          <cell r="G72" t="str">
            <v>8503251HNCVL00</v>
          </cell>
          <cell r="H72" t="str">
            <v>PERFORISTA</v>
          </cell>
          <cell r="I72">
            <v>54.15</v>
          </cell>
          <cell r="J72" t="str">
            <v>NO</v>
          </cell>
          <cell r="K72">
            <v>0</v>
          </cell>
          <cell r="L72">
            <v>43308904</v>
          </cell>
          <cell r="N72">
            <v>0</v>
          </cell>
          <cell r="P72">
            <v>31131</v>
          </cell>
          <cell r="Q72">
            <v>0</v>
          </cell>
          <cell r="R72">
            <v>0</v>
          </cell>
          <cell r="W72" t="str">
            <v>04-324-023718</v>
          </cell>
          <cell r="X72">
            <v>0</v>
          </cell>
          <cell r="Z72">
            <v>0</v>
          </cell>
          <cell r="AC72" t="str">
            <v>CONVIVIENTE</v>
          </cell>
          <cell r="AD72" t="str">
            <v>LIRCAY</v>
          </cell>
        </row>
        <row r="73">
          <cell r="A73">
            <v>65</v>
          </cell>
          <cell r="B73" t="str">
            <v>HUINCHO HUACHO RODOLFO</v>
          </cell>
          <cell r="C73" t="str">
            <v>PR</v>
          </cell>
          <cell r="D73">
            <v>0.14369999999999999</v>
          </cell>
          <cell r="E73">
            <v>38541</v>
          </cell>
          <cell r="F73">
            <v>39716</v>
          </cell>
          <cell r="G73" t="str">
            <v>7208261HNHCR001</v>
          </cell>
          <cell r="H73" t="str">
            <v>PERFORISTA</v>
          </cell>
          <cell r="I73">
            <v>56.15</v>
          </cell>
          <cell r="J73" t="str">
            <v>SI</v>
          </cell>
          <cell r="K73">
            <v>1.8333333333333333</v>
          </cell>
          <cell r="L73">
            <v>23466182</v>
          </cell>
          <cell r="M73">
            <v>35</v>
          </cell>
          <cell r="N73">
            <v>0</v>
          </cell>
          <cell r="O73" t="str">
            <v>565351RHHNC8</v>
          </cell>
          <cell r="P73">
            <v>26537</v>
          </cell>
          <cell r="Q73">
            <v>5</v>
          </cell>
          <cell r="R73">
            <v>0</v>
          </cell>
          <cell r="W73" t="str">
            <v>0414426000194</v>
          </cell>
          <cell r="X73">
            <v>63.97</v>
          </cell>
          <cell r="Z73">
            <v>0</v>
          </cell>
          <cell r="AC73" t="str">
            <v>CASADO</v>
          </cell>
          <cell r="AD73" t="str">
            <v>HUANCAVELICA</v>
          </cell>
          <cell r="AE73">
            <v>7</v>
          </cell>
        </row>
        <row r="74">
          <cell r="A74">
            <v>66</v>
          </cell>
          <cell r="B74" t="str">
            <v>HUINCHO ZEVALLOS CARMELO</v>
          </cell>
          <cell r="C74" t="str">
            <v>ONP</v>
          </cell>
          <cell r="D74">
            <v>0.13</v>
          </cell>
          <cell r="E74">
            <v>34851</v>
          </cell>
          <cell r="F74">
            <v>39716</v>
          </cell>
          <cell r="G74" t="str">
            <v>6007161HNZAC008</v>
          </cell>
          <cell r="H74" t="str">
            <v>PERFORISTA</v>
          </cell>
          <cell r="I74">
            <v>56.15</v>
          </cell>
          <cell r="J74" t="str">
            <v>SI</v>
          </cell>
          <cell r="K74">
            <v>1.8333333333333333</v>
          </cell>
          <cell r="L74">
            <v>23460453</v>
          </cell>
          <cell r="N74">
            <v>0</v>
          </cell>
          <cell r="O74" t="str">
            <v>ONP</v>
          </cell>
          <cell r="P74">
            <v>22113</v>
          </cell>
          <cell r="Q74">
            <v>5</v>
          </cell>
          <cell r="R74">
            <v>0</v>
          </cell>
          <cell r="W74" t="str">
            <v>0414324011213</v>
          </cell>
          <cell r="X74">
            <v>54.84</v>
          </cell>
          <cell r="Z74">
            <v>0</v>
          </cell>
          <cell r="AC74" t="str">
            <v>CASADO</v>
          </cell>
          <cell r="AD74" t="str">
            <v>HUANCAVELICA</v>
          </cell>
        </row>
        <row r="75">
          <cell r="A75">
            <v>67</v>
          </cell>
          <cell r="B75" t="str">
            <v>HURTADO CARLOS RAUL</v>
          </cell>
          <cell r="C75" t="str">
            <v>PF</v>
          </cell>
          <cell r="D75">
            <v>0.14879999999999999</v>
          </cell>
          <cell r="E75">
            <v>38331</v>
          </cell>
          <cell r="F75">
            <v>39716</v>
          </cell>
          <cell r="G75" t="str">
            <v>6612171HTCLR004</v>
          </cell>
          <cell r="H75" t="str">
            <v>PERFORISTA</v>
          </cell>
          <cell r="I75">
            <v>56.15</v>
          </cell>
          <cell r="J75" t="str">
            <v>SI</v>
          </cell>
          <cell r="K75">
            <v>1.8333333333333333</v>
          </cell>
          <cell r="L75" t="str">
            <v>04204656</v>
          </cell>
          <cell r="M75">
            <v>49</v>
          </cell>
          <cell r="N75">
            <v>0</v>
          </cell>
          <cell r="O75" t="str">
            <v xml:space="preserve">544561RHCTL3 </v>
          </cell>
          <cell r="P75">
            <v>24458</v>
          </cell>
          <cell r="Q75">
            <v>5</v>
          </cell>
          <cell r="R75">
            <v>0</v>
          </cell>
          <cell r="W75" t="str">
            <v>0414324010292</v>
          </cell>
          <cell r="X75">
            <v>11.74</v>
          </cell>
          <cell r="Z75">
            <v>0</v>
          </cell>
          <cell r="AC75" t="str">
            <v>CASADO</v>
          </cell>
          <cell r="AD75" t="str">
            <v>PASCO</v>
          </cell>
        </row>
        <row r="76">
          <cell r="A76">
            <v>68</v>
          </cell>
          <cell r="B76" t="str">
            <v>HURTADO CARLOS WILSON WILFREDO</v>
          </cell>
          <cell r="C76" t="str">
            <v>IN</v>
          </cell>
          <cell r="D76">
            <v>0.14680000000000001</v>
          </cell>
          <cell r="E76">
            <v>37865</v>
          </cell>
          <cell r="F76">
            <v>39716</v>
          </cell>
          <cell r="G76" t="str">
            <v>751115HTCLW009</v>
          </cell>
          <cell r="H76" t="str">
            <v>PERFORISTA</v>
          </cell>
          <cell r="I76">
            <v>56.15</v>
          </cell>
          <cell r="J76" t="str">
            <v>SI</v>
          </cell>
          <cell r="K76">
            <v>1.8333333333333333</v>
          </cell>
          <cell r="L76" t="str">
            <v>04222133</v>
          </cell>
          <cell r="M76">
            <v>36</v>
          </cell>
          <cell r="N76">
            <v>0</v>
          </cell>
          <cell r="O76" t="str">
            <v xml:space="preserve">577111WHCTL0 </v>
          </cell>
          <cell r="P76">
            <v>27713</v>
          </cell>
          <cell r="Q76">
            <v>5</v>
          </cell>
          <cell r="R76">
            <v>0</v>
          </cell>
          <cell r="W76" t="str">
            <v>0414324011248</v>
          </cell>
          <cell r="X76">
            <v>74.42</v>
          </cell>
          <cell r="Z76">
            <v>0</v>
          </cell>
          <cell r="AC76" t="str">
            <v>CASADO</v>
          </cell>
          <cell r="AD76" t="str">
            <v>PASCO</v>
          </cell>
        </row>
        <row r="77">
          <cell r="A77">
            <v>69</v>
          </cell>
          <cell r="B77" t="str">
            <v>ICHPAS ILLANES JUAN</v>
          </cell>
          <cell r="C77" t="str">
            <v>PF</v>
          </cell>
          <cell r="D77">
            <v>0.14879999999999999</v>
          </cell>
          <cell r="E77">
            <v>34851</v>
          </cell>
          <cell r="F77">
            <v>39716</v>
          </cell>
          <cell r="G77" t="str">
            <v>6805161IPIAJ008</v>
          </cell>
          <cell r="H77" t="str">
            <v>PERFORISTA</v>
          </cell>
          <cell r="I77">
            <v>56.15</v>
          </cell>
          <cell r="J77" t="str">
            <v>SI</v>
          </cell>
          <cell r="K77">
            <v>1.8333333333333333</v>
          </cell>
          <cell r="L77">
            <v>23464715</v>
          </cell>
          <cell r="M77">
            <v>44.59</v>
          </cell>
          <cell r="N77">
            <v>0</v>
          </cell>
          <cell r="O77" t="str">
            <v>231451JIIPA1</v>
          </cell>
          <cell r="P77">
            <v>24974</v>
          </cell>
          <cell r="Q77">
            <v>5</v>
          </cell>
          <cell r="R77">
            <v>0</v>
          </cell>
          <cell r="W77" t="str">
            <v>0414324011256</v>
          </cell>
          <cell r="X77">
            <v>61.78</v>
          </cell>
          <cell r="Z77">
            <v>0</v>
          </cell>
          <cell r="AC77" t="str">
            <v>CASADO</v>
          </cell>
        </row>
        <row r="78">
          <cell r="A78">
            <v>70</v>
          </cell>
          <cell r="B78" t="str">
            <v>INGARUCA TORIBIO, RAFAEL</v>
          </cell>
          <cell r="C78" t="str">
            <v>ONP</v>
          </cell>
          <cell r="D78">
            <v>0.13</v>
          </cell>
          <cell r="E78">
            <v>39639</v>
          </cell>
          <cell r="F78">
            <v>39716</v>
          </cell>
          <cell r="G78" t="str">
            <v>8208041IATIR00</v>
          </cell>
          <cell r="H78" t="str">
            <v>CHOFER</v>
          </cell>
          <cell r="I78">
            <v>50.15</v>
          </cell>
          <cell r="J78" t="str">
            <v>NO</v>
          </cell>
          <cell r="K78">
            <v>0</v>
          </cell>
          <cell r="L78">
            <v>42496533</v>
          </cell>
          <cell r="N78">
            <v>0</v>
          </cell>
          <cell r="O78" t="str">
            <v>ONP</v>
          </cell>
          <cell r="P78">
            <v>30167</v>
          </cell>
          <cell r="Q78">
            <v>0</v>
          </cell>
          <cell r="R78">
            <v>0</v>
          </cell>
          <cell r="W78" t="str">
            <v>04-324-023270</v>
          </cell>
          <cell r="X78">
            <v>0</v>
          </cell>
          <cell r="Z78">
            <v>0</v>
          </cell>
          <cell r="AC78" t="str">
            <v>CONVIVIENTE</v>
          </cell>
          <cell r="AD78" t="str">
            <v>OYON</v>
          </cell>
          <cell r="AE78">
            <v>2</v>
          </cell>
        </row>
        <row r="79">
          <cell r="A79">
            <v>71</v>
          </cell>
          <cell r="B79" t="str">
            <v>JANAMPA CHANCAS AMADEO</v>
          </cell>
          <cell r="C79" t="str">
            <v>PR</v>
          </cell>
          <cell r="D79">
            <v>0.14369999999999999</v>
          </cell>
          <cell r="E79">
            <v>38541</v>
          </cell>
          <cell r="F79">
            <v>39716</v>
          </cell>
          <cell r="G79" t="str">
            <v>7903311JACNA006</v>
          </cell>
          <cell r="H79" t="str">
            <v>PERFORISTA</v>
          </cell>
          <cell r="I79">
            <v>56.15</v>
          </cell>
          <cell r="J79" t="str">
            <v>SI</v>
          </cell>
          <cell r="K79">
            <v>1.8333333333333333</v>
          </cell>
          <cell r="L79">
            <v>40747451</v>
          </cell>
          <cell r="N79">
            <v>0</v>
          </cell>
          <cell r="O79" t="str">
            <v xml:space="preserve">589431AJCAN7 </v>
          </cell>
          <cell r="P79">
            <v>28945</v>
          </cell>
          <cell r="Q79">
            <v>5</v>
          </cell>
          <cell r="R79">
            <v>0</v>
          </cell>
          <cell r="W79" t="str">
            <v>0414324023327</v>
          </cell>
          <cell r="X79">
            <v>52.58</v>
          </cell>
          <cell r="Z79">
            <v>0</v>
          </cell>
          <cell r="AC79" t="str">
            <v>CASADO</v>
          </cell>
        </row>
        <row r="80">
          <cell r="A80">
            <v>72</v>
          </cell>
          <cell r="B80" t="str">
            <v>JANAMPA CHANCAS FORTUNATO</v>
          </cell>
          <cell r="C80" t="str">
            <v>ONP</v>
          </cell>
          <cell r="D80">
            <v>0.13</v>
          </cell>
          <cell r="E80">
            <v>38786</v>
          </cell>
          <cell r="F80">
            <v>39716</v>
          </cell>
          <cell r="G80" t="str">
            <v>8202091JACNF005</v>
          </cell>
          <cell r="H80" t="str">
            <v>PERFORISTA</v>
          </cell>
          <cell r="I80">
            <v>56.15</v>
          </cell>
          <cell r="J80" t="str">
            <v>SI</v>
          </cell>
          <cell r="K80">
            <v>1.8333333333333333</v>
          </cell>
          <cell r="L80">
            <v>43687777</v>
          </cell>
          <cell r="M80">
            <v>35</v>
          </cell>
          <cell r="N80">
            <v>0</v>
          </cell>
          <cell r="O80" t="str">
            <v>ONP</v>
          </cell>
          <cell r="P80">
            <v>29991</v>
          </cell>
          <cell r="Q80">
            <v>5</v>
          </cell>
          <cell r="R80">
            <v>0</v>
          </cell>
          <cell r="W80" t="str">
            <v>0414324028892</v>
          </cell>
          <cell r="X80">
            <v>41.12</v>
          </cell>
          <cell r="Y80">
            <v>153.5</v>
          </cell>
          <cell r="Z80">
            <v>0</v>
          </cell>
          <cell r="AC80" t="str">
            <v>CASADO</v>
          </cell>
        </row>
        <row r="81">
          <cell r="A81">
            <v>73</v>
          </cell>
          <cell r="B81" t="str">
            <v>JANAMPA FLORES WILLIAM</v>
          </cell>
          <cell r="C81" t="str">
            <v>IN</v>
          </cell>
          <cell r="D81">
            <v>0.14680000000000001</v>
          </cell>
          <cell r="E81">
            <v>38667</v>
          </cell>
          <cell r="F81">
            <v>39716</v>
          </cell>
          <cell r="G81" t="str">
            <v>7910101JAFRW006</v>
          </cell>
          <cell r="H81" t="str">
            <v>AYTE. PERF.</v>
          </cell>
          <cell r="I81">
            <v>54.15</v>
          </cell>
          <cell r="J81" t="str">
            <v>SI</v>
          </cell>
          <cell r="K81">
            <v>1.8333333333333333</v>
          </cell>
          <cell r="L81">
            <v>40488652</v>
          </cell>
          <cell r="M81">
            <v>35</v>
          </cell>
          <cell r="N81">
            <v>0</v>
          </cell>
          <cell r="O81" t="str">
            <v xml:space="preserve">591361WJFAR7 </v>
          </cell>
          <cell r="P81">
            <v>29138</v>
          </cell>
          <cell r="Q81">
            <v>5</v>
          </cell>
          <cell r="R81">
            <v>0</v>
          </cell>
          <cell r="W81" t="str">
            <v>0414324026164</v>
          </cell>
          <cell r="X81">
            <v>-6.19</v>
          </cell>
          <cell r="Z81">
            <v>0</v>
          </cell>
          <cell r="AC81" t="str">
            <v>CASADO</v>
          </cell>
        </row>
        <row r="82">
          <cell r="A82">
            <v>74</v>
          </cell>
          <cell r="B82" t="str">
            <v>JANAMPA OCHOA JUVENCIO</v>
          </cell>
          <cell r="C82" t="str">
            <v>IN</v>
          </cell>
          <cell r="D82">
            <v>0.14680000000000001</v>
          </cell>
          <cell r="E82">
            <v>38720</v>
          </cell>
          <cell r="F82">
            <v>39716</v>
          </cell>
          <cell r="G82" t="str">
            <v>8007041JAOOJ007</v>
          </cell>
          <cell r="H82" t="str">
            <v>AYTE. PERF.</v>
          </cell>
          <cell r="I82">
            <v>54.15</v>
          </cell>
          <cell r="J82" t="str">
            <v>SI</v>
          </cell>
          <cell r="K82">
            <v>1.8333333333333333</v>
          </cell>
          <cell r="L82">
            <v>40591817</v>
          </cell>
          <cell r="M82">
            <v>36</v>
          </cell>
          <cell r="N82">
            <v>0</v>
          </cell>
          <cell r="O82" t="str">
            <v>594041JJOAO8</v>
          </cell>
          <cell r="P82">
            <v>29406</v>
          </cell>
          <cell r="Q82">
            <v>5</v>
          </cell>
          <cell r="R82">
            <v>0</v>
          </cell>
          <cell r="W82" t="str">
            <v>0414324027055</v>
          </cell>
          <cell r="X82">
            <v>-0.13</v>
          </cell>
          <cell r="Z82">
            <v>0</v>
          </cell>
          <cell r="AC82" t="str">
            <v>CASADO</v>
          </cell>
        </row>
        <row r="83">
          <cell r="A83">
            <v>75</v>
          </cell>
          <cell r="B83" t="str">
            <v>JUAN DE DIOS FUENTES RIVERA FRANZ</v>
          </cell>
          <cell r="C83" t="str">
            <v>PR</v>
          </cell>
          <cell r="D83">
            <v>0.14369999999999999</v>
          </cell>
          <cell r="E83">
            <v>39464</v>
          </cell>
          <cell r="F83">
            <v>39716</v>
          </cell>
          <cell r="G83" t="str">
            <v>7505111JNFNF005</v>
          </cell>
          <cell r="H83" t="str">
            <v>OP. SCOOP</v>
          </cell>
          <cell r="I83">
            <v>56.15</v>
          </cell>
          <cell r="J83" t="str">
            <v>SI</v>
          </cell>
          <cell r="K83">
            <v>1.8333333333333333</v>
          </cell>
          <cell r="L83">
            <v>15217223</v>
          </cell>
          <cell r="N83">
            <v>0</v>
          </cell>
          <cell r="P83">
            <v>27525</v>
          </cell>
          <cell r="Q83">
            <v>5</v>
          </cell>
          <cell r="R83">
            <v>0</v>
          </cell>
          <cell r="W83" t="str">
            <v>04-324-023653</v>
          </cell>
          <cell r="X83">
            <v>16.3</v>
          </cell>
          <cell r="Z83">
            <v>0</v>
          </cell>
          <cell r="AC83" t="str">
            <v>CASADO</v>
          </cell>
          <cell r="AD83" t="str">
            <v>OYON</v>
          </cell>
        </row>
        <row r="84">
          <cell r="A84">
            <v>76</v>
          </cell>
          <cell r="B84" t="str">
            <v>JURADO EVANGELISTA FRANCISCO</v>
          </cell>
          <cell r="C84" t="str">
            <v>ONP</v>
          </cell>
          <cell r="D84">
            <v>0.13</v>
          </cell>
          <cell r="E84">
            <v>34918</v>
          </cell>
          <cell r="F84">
            <v>39716</v>
          </cell>
          <cell r="G84" t="str">
            <v>7010041JAENF003</v>
          </cell>
          <cell r="H84" t="str">
            <v>OP. SCOOP</v>
          </cell>
          <cell r="I84">
            <v>59.65</v>
          </cell>
          <cell r="J84" t="str">
            <v>SI</v>
          </cell>
          <cell r="K84">
            <v>1.8333333333333333</v>
          </cell>
          <cell r="L84">
            <v>23266272</v>
          </cell>
          <cell r="M84">
            <v>35</v>
          </cell>
          <cell r="N84">
            <v>0</v>
          </cell>
          <cell r="O84" t="str">
            <v>ONP</v>
          </cell>
          <cell r="P84">
            <v>25845</v>
          </cell>
          <cell r="Q84">
            <v>5</v>
          </cell>
          <cell r="R84">
            <v>0</v>
          </cell>
          <cell r="W84" t="str">
            <v>0414324011302</v>
          </cell>
          <cell r="X84">
            <v>87.76</v>
          </cell>
          <cell r="Z84">
            <v>0</v>
          </cell>
          <cell r="AC84" t="str">
            <v>CASADO</v>
          </cell>
          <cell r="AE84">
            <v>16</v>
          </cell>
        </row>
        <row r="85">
          <cell r="A85">
            <v>77</v>
          </cell>
          <cell r="B85" t="str">
            <v>LAYME VARGAS VICTOR</v>
          </cell>
          <cell r="C85" t="str">
            <v>ONP</v>
          </cell>
          <cell r="D85">
            <v>0.13</v>
          </cell>
          <cell r="E85">
            <v>35657</v>
          </cell>
          <cell r="F85">
            <v>39716</v>
          </cell>
          <cell r="G85" t="str">
            <v>7103041LMVGV009</v>
          </cell>
          <cell r="H85" t="str">
            <v>MEC.-PERF.</v>
          </cell>
          <cell r="I85">
            <v>56.15</v>
          </cell>
          <cell r="J85" t="str">
            <v>SI</v>
          </cell>
          <cell r="K85">
            <v>1.8333333333333333</v>
          </cell>
          <cell r="L85">
            <v>29598557</v>
          </cell>
          <cell r="M85">
            <v>35</v>
          </cell>
          <cell r="N85">
            <v>0</v>
          </cell>
          <cell r="O85" t="str">
            <v>ONP</v>
          </cell>
          <cell r="P85">
            <v>25996</v>
          </cell>
          <cell r="Q85">
            <v>5</v>
          </cell>
          <cell r="R85">
            <v>0</v>
          </cell>
          <cell r="W85" t="str">
            <v>0414324011310</v>
          </cell>
          <cell r="X85">
            <v>54.3</v>
          </cell>
          <cell r="Z85">
            <v>0</v>
          </cell>
          <cell r="AC85" t="str">
            <v>CASADO</v>
          </cell>
          <cell r="AD85" t="str">
            <v>AREQUIPA</v>
          </cell>
        </row>
        <row r="86">
          <cell r="A86">
            <v>78</v>
          </cell>
          <cell r="B86" t="str">
            <v>LEAÑO ALEGRE SALOME MIGUEL</v>
          </cell>
          <cell r="C86" t="str">
            <v>ONP</v>
          </cell>
          <cell r="D86">
            <v>0.13</v>
          </cell>
          <cell r="E86">
            <v>38128</v>
          </cell>
          <cell r="F86">
            <v>39716</v>
          </cell>
          <cell r="G86" t="str">
            <v>7012011LNAGS006</v>
          </cell>
          <cell r="H86" t="str">
            <v>PERFORISTA</v>
          </cell>
          <cell r="I86">
            <v>56.15</v>
          </cell>
          <cell r="J86" t="str">
            <v>SI</v>
          </cell>
          <cell r="K86">
            <v>1.8333333333333333</v>
          </cell>
          <cell r="L86">
            <v>15216212</v>
          </cell>
          <cell r="N86">
            <v>0</v>
          </cell>
          <cell r="O86" t="str">
            <v>ONP</v>
          </cell>
          <cell r="P86">
            <v>25903</v>
          </cell>
          <cell r="Q86">
            <v>5</v>
          </cell>
          <cell r="R86">
            <v>0</v>
          </cell>
          <cell r="W86" t="str">
            <v>0414324016738</v>
          </cell>
          <cell r="X86">
            <v>54.28</v>
          </cell>
          <cell r="Z86">
            <v>0</v>
          </cell>
          <cell r="AC86" t="str">
            <v>CONVIVIENTE</v>
          </cell>
          <cell r="AD86" t="str">
            <v>OYON</v>
          </cell>
        </row>
        <row r="87">
          <cell r="A87">
            <v>79</v>
          </cell>
          <cell r="B87" t="str">
            <v>LEAÑO CARDENAS, DANILO  JUHOLY</v>
          </cell>
          <cell r="C87" t="str">
            <v>PR</v>
          </cell>
          <cell r="D87">
            <v>0.14369999999999999</v>
          </cell>
          <cell r="E87">
            <v>39265</v>
          </cell>
          <cell r="F87">
            <v>39716</v>
          </cell>
          <cell r="G87" t="str">
            <v>8201251LÑCDD00</v>
          </cell>
          <cell r="H87" t="str">
            <v>AYTE. PERF.</v>
          </cell>
          <cell r="I87">
            <v>54.15</v>
          </cell>
          <cell r="J87" t="str">
            <v>SI</v>
          </cell>
          <cell r="K87">
            <v>1.8333333333333333</v>
          </cell>
          <cell r="L87">
            <v>41396670</v>
          </cell>
          <cell r="M87">
            <v>25</v>
          </cell>
          <cell r="N87">
            <v>0</v>
          </cell>
          <cell r="P87">
            <v>29976</v>
          </cell>
          <cell r="Q87">
            <v>5</v>
          </cell>
          <cell r="R87">
            <v>0</v>
          </cell>
          <cell r="W87" t="str">
            <v>04324034639</v>
          </cell>
          <cell r="X87">
            <v>2.65</v>
          </cell>
          <cell r="Z87">
            <v>0</v>
          </cell>
          <cell r="AC87" t="str">
            <v>CONVIVIENTE</v>
          </cell>
          <cell r="AD87" t="str">
            <v>OYON</v>
          </cell>
        </row>
        <row r="88">
          <cell r="A88">
            <v>80</v>
          </cell>
          <cell r="B88" t="str">
            <v>LEON ROMAN VICTOR</v>
          </cell>
          <cell r="C88" t="str">
            <v>PR</v>
          </cell>
          <cell r="D88">
            <v>0.14369999999999999</v>
          </cell>
          <cell r="E88">
            <v>37861</v>
          </cell>
          <cell r="F88">
            <v>39716</v>
          </cell>
          <cell r="G88" t="str">
            <v>5405141LNRAV002</v>
          </cell>
          <cell r="H88" t="str">
            <v>OP. TELETRAN</v>
          </cell>
          <cell r="I88">
            <v>59.65</v>
          </cell>
          <cell r="J88" t="str">
            <v>SI</v>
          </cell>
          <cell r="K88">
            <v>1.8333333333333333</v>
          </cell>
          <cell r="L88" t="str">
            <v>07208253</v>
          </cell>
          <cell r="M88">
            <v>36</v>
          </cell>
          <cell r="N88">
            <v>0</v>
          </cell>
          <cell r="O88" t="str">
            <v>198561VLRNA7</v>
          </cell>
          <cell r="P88">
            <v>19858</v>
          </cell>
          <cell r="Q88">
            <v>5</v>
          </cell>
          <cell r="R88">
            <v>0</v>
          </cell>
          <cell r="W88" t="str">
            <v>0414324011329</v>
          </cell>
          <cell r="X88">
            <v>65.36</v>
          </cell>
          <cell r="Z88">
            <v>0</v>
          </cell>
          <cell r="AC88" t="str">
            <v>CASADO</v>
          </cell>
          <cell r="AD88" t="str">
            <v>C. DE PASCO</v>
          </cell>
          <cell r="AE88">
            <v>19</v>
          </cell>
        </row>
        <row r="89">
          <cell r="A89">
            <v>81</v>
          </cell>
          <cell r="B89" t="str">
            <v>LIMA HUINCHO DONATO</v>
          </cell>
          <cell r="C89" t="str">
            <v>PF</v>
          </cell>
          <cell r="D89">
            <v>0.14879999999999999</v>
          </cell>
          <cell r="E89">
            <v>38330</v>
          </cell>
          <cell r="F89">
            <v>39716</v>
          </cell>
          <cell r="G89" t="str">
            <v>7110221LAHND006</v>
          </cell>
          <cell r="H89" t="str">
            <v>PERFORISTA</v>
          </cell>
          <cell r="I89">
            <v>56.15</v>
          </cell>
          <cell r="J89" t="str">
            <v>SI</v>
          </cell>
          <cell r="K89">
            <v>1.8333333333333333</v>
          </cell>
          <cell r="L89">
            <v>23465876</v>
          </cell>
          <cell r="M89">
            <v>51</v>
          </cell>
          <cell r="N89">
            <v>0</v>
          </cell>
          <cell r="O89" t="str">
            <v xml:space="preserve">262261DLHAN7 </v>
          </cell>
          <cell r="P89">
            <v>26228</v>
          </cell>
          <cell r="Q89">
            <v>5</v>
          </cell>
          <cell r="R89">
            <v>0</v>
          </cell>
          <cell r="W89" t="str">
            <v>0414324020050</v>
          </cell>
          <cell r="X89">
            <v>36.85</v>
          </cell>
          <cell r="Z89">
            <v>0</v>
          </cell>
          <cell r="AC89" t="str">
            <v>CASADO</v>
          </cell>
          <cell r="AD89" t="str">
            <v>OYON</v>
          </cell>
        </row>
        <row r="90">
          <cell r="A90">
            <v>82</v>
          </cell>
          <cell r="B90" t="str">
            <v>LIZANA CUYA LUIS LUCHO</v>
          </cell>
          <cell r="C90" t="str">
            <v>ONP</v>
          </cell>
          <cell r="D90">
            <v>0.13</v>
          </cell>
          <cell r="E90">
            <v>39641</v>
          </cell>
          <cell r="F90">
            <v>39716</v>
          </cell>
          <cell r="G90" t="str">
            <v>8211251LACAL00</v>
          </cell>
          <cell r="H90" t="str">
            <v>PERFORISTA</v>
          </cell>
          <cell r="I90">
            <v>54.15</v>
          </cell>
          <cell r="J90" t="str">
            <v>NO</v>
          </cell>
          <cell r="K90">
            <v>0</v>
          </cell>
          <cell r="L90">
            <v>41623011</v>
          </cell>
          <cell r="N90">
            <v>0</v>
          </cell>
          <cell r="P90">
            <v>30280</v>
          </cell>
          <cell r="Q90">
            <v>0</v>
          </cell>
          <cell r="R90">
            <v>0</v>
          </cell>
          <cell r="W90" t="str">
            <v>04-324-047722</v>
          </cell>
          <cell r="X90">
            <v>0</v>
          </cell>
          <cell r="Z90">
            <v>0</v>
          </cell>
        </row>
        <row r="91">
          <cell r="A91">
            <v>83</v>
          </cell>
          <cell r="B91" t="str">
            <v>LINDO DE LA CRUZ EDMUNDO</v>
          </cell>
          <cell r="C91" t="str">
            <v>PR</v>
          </cell>
          <cell r="D91">
            <v>0.14369999999999999</v>
          </cell>
          <cell r="E91">
            <v>37953</v>
          </cell>
          <cell r="F91">
            <v>39716</v>
          </cell>
          <cell r="G91" t="str">
            <v>6111241LDCZE005</v>
          </cell>
          <cell r="H91" t="str">
            <v>PERFORISTA</v>
          </cell>
          <cell r="I91">
            <v>56.15</v>
          </cell>
          <cell r="J91" t="str">
            <v>SI</v>
          </cell>
          <cell r="K91">
            <v>1.8333333333333333</v>
          </cell>
          <cell r="L91">
            <v>19903932</v>
          </cell>
          <cell r="M91">
            <v>49</v>
          </cell>
          <cell r="N91">
            <v>0</v>
          </cell>
          <cell r="O91" t="str">
            <v xml:space="preserve">526071ELCDZ2 </v>
          </cell>
          <cell r="P91">
            <v>22609</v>
          </cell>
          <cell r="Q91">
            <v>5</v>
          </cell>
          <cell r="R91">
            <v>0</v>
          </cell>
          <cell r="W91" t="str">
            <v>0414324011337</v>
          </cell>
          <cell r="X91">
            <v>34.42</v>
          </cell>
          <cell r="Z91">
            <v>0</v>
          </cell>
        </row>
        <row r="92">
          <cell r="A92">
            <v>84</v>
          </cell>
          <cell r="B92" t="str">
            <v>LLACCTAHUAMAN LLOCLLA OCTAVIO</v>
          </cell>
          <cell r="C92" t="str">
            <v>PF</v>
          </cell>
          <cell r="D92">
            <v>0.14879999999999999</v>
          </cell>
          <cell r="E92">
            <v>37722</v>
          </cell>
          <cell r="F92">
            <v>39716</v>
          </cell>
          <cell r="G92" t="str">
            <v>7807301LCLCO008</v>
          </cell>
          <cell r="H92" t="str">
            <v>PERFORISTA</v>
          </cell>
          <cell r="I92">
            <v>56.15</v>
          </cell>
          <cell r="J92" t="str">
            <v>SI</v>
          </cell>
          <cell r="K92">
            <v>1.8333333333333333</v>
          </cell>
          <cell r="L92">
            <v>23471745</v>
          </cell>
          <cell r="N92">
            <v>0</v>
          </cell>
          <cell r="O92" t="str">
            <v xml:space="preserve">586991OLLCC0 </v>
          </cell>
          <cell r="P92">
            <v>28701</v>
          </cell>
          <cell r="Q92">
            <v>5</v>
          </cell>
          <cell r="R92">
            <v>0</v>
          </cell>
          <cell r="W92" t="str">
            <v>0414324011345</v>
          </cell>
          <cell r="X92">
            <v>61.16</v>
          </cell>
          <cell r="Z92">
            <v>0</v>
          </cell>
          <cell r="AC92" t="str">
            <v>CASADO</v>
          </cell>
          <cell r="AE92">
            <v>9</v>
          </cell>
        </row>
        <row r="93">
          <cell r="A93">
            <v>85</v>
          </cell>
          <cell r="B93" t="str">
            <v>LLACTAHUAMAN TORRES PEDRO</v>
          </cell>
          <cell r="C93" t="str">
            <v>IN</v>
          </cell>
          <cell r="D93">
            <v>0.14680000000000001</v>
          </cell>
          <cell r="E93">
            <v>37802</v>
          </cell>
          <cell r="F93">
            <v>39716</v>
          </cell>
          <cell r="G93" t="str">
            <v>7706051LCTRP007</v>
          </cell>
          <cell r="H93" t="str">
            <v>PERFORISTA</v>
          </cell>
          <cell r="I93">
            <v>56.15</v>
          </cell>
          <cell r="J93" t="str">
            <v>SI</v>
          </cell>
          <cell r="K93">
            <v>1.8333333333333333</v>
          </cell>
          <cell r="L93">
            <v>10347934</v>
          </cell>
          <cell r="M93">
            <v>35</v>
          </cell>
          <cell r="N93">
            <v>0</v>
          </cell>
          <cell r="O93" t="str">
            <v>582791PLTCR7</v>
          </cell>
          <cell r="P93">
            <v>28281</v>
          </cell>
          <cell r="Q93">
            <v>5</v>
          </cell>
          <cell r="R93">
            <v>0</v>
          </cell>
          <cell r="W93" t="str">
            <v>0414324011353</v>
          </cell>
          <cell r="X93">
            <v>10.57</v>
          </cell>
          <cell r="Z93">
            <v>0</v>
          </cell>
          <cell r="AC93" t="str">
            <v>CASADO</v>
          </cell>
          <cell r="AD93" t="str">
            <v>OYON</v>
          </cell>
          <cell r="AE93">
            <v>12</v>
          </cell>
        </row>
        <row r="94">
          <cell r="A94">
            <v>86</v>
          </cell>
          <cell r="B94" t="str">
            <v>LOPEZ CAMPOS EDSON JOEL</v>
          </cell>
          <cell r="C94" t="str">
            <v>ONP</v>
          </cell>
          <cell r="D94">
            <v>0.13</v>
          </cell>
          <cell r="E94">
            <v>38712</v>
          </cell>
          <cell r="F94">
            <v>39716</v>
          </cell>
          <cell r="G94" t="str">
            <v>8201151LECPE004</v>
          </cell>
          <cell r="H94" t="str">
            <v>OP. TELETRAN</v>
          </cell>
          <cell r="I94">
            <v>59.65</v>
          </cell>
          <cell r="J94" t="str">
            <v>SI</v>
          </cell>
          <cell r="K94">
            <v>1.8333333333333333</v>
          </cell>
          <cell r="L94">
            <v>41235138</v>
          </cell>
          <cell r="N94">
            <v>0</v>
          </cell>
          <cell r="O94" t="str">
            <v>ONP</v>
          </cell>
          <cell r="P94">
            <v>29966</v>
          </cell>
          <cell r="Q94">
            <v>0</v>
          </cell>
          <cell r="R94">
            <v>0</v>
          </cell>
          <cell r="W94" t="str">
            <v>0414324027101</v>
          </cell>
          <cell r="X94">
            <v>35.65</v>
          </cell>
          <cell r="Z94">
            <v>0</v>
          </cell>
          <cell r="AC94" t="str">
            <v>CASADO</v>
          </cell>
          <cell r="AD94" t="str">
            <v>PASCO</v>
          </cell>
        </row>
        <row r="95">
          <cell r="A95">
            <v>87</v>
          </cell>
          <cell r="B95" t="str">
            <v>LOPEZ CARHUACHIN ABDON FELICIANO</v>
          </cell>
          <cell r="C95" t="str">
            <v>HR</v>
          </cell>
          <cell r="D95">
            <v>0.14829999999999999</v>
          </cell>
          <cell r="E95">
            <v>38019</v>
          </cell>
          <cell r="F95">
            <v>39716</v>
          </cell>
          <cell r="G95" t="str">
            <v>6706011LECHA006</v>
          </cell>
          <cell r="H95" t="str">
            <v>PERFORISTA</v>
          </cell>
          <cell r="I95">
            <v>56.15</v>
          </cell>
          <cell r="J95" t="str">
            <v>SI</v>
          </cell>
          <cell r="K95">
            <v>1.8333333333333333</v>
          </cell>
          <cell r="L95">
            <v>80650344</v>
          </cell>
          <cell r="N95">
            <v>0</v>
          </cell>
          <cell r="O95" t="str">
            <v>546221ALCEH5</v>
          </cell>
          <cell r="P95">
            <v>24624</v>
          </cell>
          <cell r="Q95">
            <v>5</v>
          </cell>
          <cell r="R95">
            <v>0</v>
          </cell>
          <cell r="W95" t="str">
            <v>0414324013984</v>
          </cell>
          <cell r="X95">
            <v>17.52</v>
          </cell>
          <cell r="Z95">
            <v>0</v>
          </cell>
          <cell r="AC95" t="str">
            <v>CASADO</v>
          </cell>
          <cell r="AD95" t="str">
            <v>OYON</v>
          </cell>
        </row>
        <row r="96">
          <cell r="A96">
            <v>88</v>
          </cell>
          <cell r="B96" t="str">
            <v>LOPEZ MELENDREZ MIGUEL EFRAIN</v>
          </cell>
          <cell r="C96" t="str">
            <v>IN</v>
          </cell>
          <cell r="D96">
            <v>0.14680000000000001</v>
          </cell>
          <cell r="E96">
            <v>38931</v>
          </cell>
          <cell r="F96">
            <v>39716</v>
          </cell>
          <cell r="G96" t="str">
            <v>7209131LEMEM004</v>
          </cell>
          <cell r="H96" t="str">
            <v>AYTE. PERF.</v>
          </cell>
          <cell r="I96">
            <v>54.15</v>
          </cell>
          <cell r="J96" t="str">
            <v>SI</v>
          </cell>
          <cell r="K96">
            <v>1.8333333333333333</v>
          </cell>
          <cell r="L96">
            <v>15216803</v>
          </cell>
          <cell r="M96">
            <v>36</v>
          </cell>
          <cell r="N96">
            <v>0</v>
          </cell>
          <cell r="O96" t="str">
            <v>565531MLMEE1</v>
          </cell>
          <cell r="P96">
            <v>26555</v>
          </cell>
          <cell r="Q96">
            <v>5</v>
          </cell>
          <cell r="R96">
            <v>0</v>
          </cell>
          <cell r="W96" t="str">
            <v>0414324016517</v>
          </cell>
          <cell r="X96">
            <v>27.59</v>
          </cell>
          <cell r="Z96">
            <v>0</v>
          </cell>
          <cell r="AC96" t="str">
            <v>COVIVIENTE</v>
          </cell>
          <cell r="AD96" t="str">
            <v>OYON</v>
          </cell>
        </row>
        <row r="97">
          <cell r="A97">
            <v>89</v>
          </cell>
          <cell r="B97" t="str">
            <v>LOPEZ PEREZ AUGUSTO ANTONIO</v>
          </cell>
          <cell r="C97" t="str">
            <v>ONP</v>
          </cell>
          <cell r="D97">
            <v>0.13</v>
          </cell>
          <cell r="E97">
            <v>38931</v>
          </cell>
          <cell r="F97">
            <v>39716</v>
          </cell>
          <cell r="G97" t="str">
            <v>8002221LEPEA000</v>
          </cell>
          <cell r="H97" t="str">
            <v>AYTE. PERF.</v>
          </cell>
          <cell r="I97">
            <v>54.15</v>
          </cell>
          <cell r="J97" t="str">
            <v>NO</v>
          </cell>
          <cell r="K97">
            <v>0</v>
          </cell>
          <cell r="L97">
            <v>40573677</v>
          </cell>
          <cell r="M97">
            <v>35</v>
          </cell>
          <cell r="N97">
            <v>0</v>
          </cell>
          <cell r="O97" t="str">
            <v>ONP</v>
          </cell>
          <cell r="P97">
            <v>29273</v>
          </cell>
          <cell r="Q97">
            <v>5</v>
          </cell>
          <cell r="R97">
            <v>0</v>
          </cell>
          <cell r="W97" t="str">
            <v>0414324026636</v>
          </cell>
          <cell r="X97">
            <v>6.21</v>
          </cell>
          <cell r="Z97">
            <v>0</v>
          </cell>
          <cell r="AC97" t="str">
            <v>COVIVIENTE</v>
          </cell>
          <cell r="AD97" t="str">
            <v>OYON</v>
          </cell>
        </row>
        <row r="98">
          <cell r="A98">
            <v>90</v>
          </cell>
          <cell r="B98" t="str">
            <v>LOYOLA DE LA ROSA, ROBERTO ORLANDO</v>
          </cell>
          <cell r="C98" t="str">
            <v>ONP</v>
          </cell>
          <cell r="D98">
            <v>0.13</v>
          </cell>
          <cell r="E98">
            <v>39150</v>
          </cell>
          <cell r="F98">
            <v>39716</v>
          </cell>
          <cell r="G98" t="str">
            <v>7005171LORAR003</v>
          </cell>
          <cell r="H98" t="str">
            <v>PERFORISTA</v>
          </cell>
          <cell r="I98">
            <v>56.15</v>
          </cell>
          <cell r="J98" t="str">
            <v>SI</v>
          </cell>
          <cell r="K98">
            <v>1.8333333333333333</v>
          </cell>
          <cell r="L98">
            <v>15216185</v>
          </cell>
          <cell r="N98">
            <v>0</v>
          </cell>
          <cell r="O98" t="str">
            <v>ONP</v>
          </cell>
          <cell r="P98">
            <v>25705</v>
          </cell>
          <cell r="Q98">
            <v>5</v>
          </cell>
          <cell r="R98">
            <v>0</v>
          </cell>
          <cell r="X98">
            <v>35.31</v>
          </cell>
          <cell r="Z98">
            <v>0</v>
          </cell>
        </row>
        <row r="99">
          <cell r="A99">
            <v>91</v>
          </cell>
          <cell r="B99" t="str">
            <v>LUNA TIBURCIO CHARLES</v>
          </cell>
          <cell r="C99" t="str">
            <v>PF</v>
          </cell>
          <cell r="D99">
            <v>0.14879999999999999</v>
          </cell>
          <cell r="E99">
            <v>38931</v>
          </cell>
          <cell r="F99">
            <v>39716</v>
          </cell>
          <cell r="G99" t="str">
            <v>7210201LATUC006</v>
          </cell>
          <cell r="H99" t="str">
            <v>PERFORISTA</v>
          </cell>
          <cell r="I99">
            <v>56.15</v>
          </cell>
          <cell r="J99" t="str">
            <v>SI</v>
          </cell>
          <cell r="K99">
            <v>1.8333333333333333</v>
          </cell>
          <cell r="L99">
            <v>15216799</v>
          </cell>
          <cell r="M99">
            <v>36</v>
          </cell>
          <cell r="N99">
            <v>0</v>
          </cell>
          <cell r="O99" t="str">
            <v>ONP</v>
          </cell>
          <cell r="P99">
            <v>26592</v>
          </cell>
          <cell r="Q99">
            <v>5</v>
          </cell>
          <cell r="R99">
            <v>0</v>
          </cell>
          <cell r="W99" t="str">
            <v>0414324010659</v>
          </cell>
          <cell r="X99">
            <v>20.3</v>
          </cell>
          <cell r="Z99">
            <v>0</v>
          </cell>
          <cell r="AC99" t="str">
            <v>CONVIVIENTE</v>
          </cell>
          <cell r="AD99" t="str">
            <v>OYON</v>
          </cell>
          <cell r="AE99">
            <v>3</v>
          </cell>
        </row>
        <row r="100">
          <cell r="A100">
            <v>92</v>
          </cell>
          <cell r="B100" t="str">
            <v>MAMANI YANA CRISTOBAL</v>
          </cell>
          <cell r="C100" t="str">
            <v>IN</v>
          </cell>
          <cell r="D100">
            <v>0.14680000000000001</v>
          </cell>
          <cell r="E100">
            <v>38266</v>
          </cell>
          <cell r="F100">
            <v>39716</v>
          </cell>
          <cell r="G100" t="str">
            <v>7203111MAYAC006</v>
          </cell>
          <cell r="H100" t="str">
            <v>PERFORISTA</v>
          </cell>
          <cell r="I100">
            <v>56.15</v>
          </cell>
          <cell r="J100" t="str">
            <v>SI</v>
          </cell>
          <cell r="K100">
            <v>1.8333333333333333</v>
          </cell>
          <cell r="L100" t="str">
            <v>02432225</v>
          </cell>
          <cell r="M100">
            <v>35</v>
          </cell>
          <cell r="N100">
            <v>0</v>
          </cell>
          <cell r="O100" t="str">
            <v>263671CMYAA4</v>
          </cell>
          <cell r="P100">
            <v>26369</v>
          </cell>
          <cell r="Q100">
            <v>5</v>
          </cell>
          <cell r="R100">
            <v>0</v>
          </cell>
          <cell r="W100" t="str">
            <v>0414722002437</v>
          </cell>
          <cell r="X100">
            <v>45.01</v>
          </cell>
          <cell r="Z100">
            <v>0</v>
          </cell>
          <cell r="AC100" t="str">
            <v>CASADO</v>
          </cell>
          <cell r="AD100" t="str">
            <v>PUNO</v>
          </cell>
        </row>
        <row r="101">
          <cell r="A101">
            <v>93</v>
          </cell>
          <cell r="B101" t="str">
            <v>MARCAÑAUPA HUACHO VICTOR</v>
          </cell>
          <cell r="C101" t="str">
            <v>PF</v>
          </cell>
          <cell r="D101">
            <v>0.14879999999999999</v>
          </cell>
          <cell r="E101">
            <v>38541</v>
          </cell>
          <cell r="F101">
            <v>39716</v>
          </cell>
          <cell r="G101" t="str">
            <v>8104101MCHCV005</v>
          </cell>
          <cell r="H101" t="str">
            <v>PERFORISTA</v>
          </cell>
          <cell r="I101">
            <v>56.15</v>
          </cell>
          <cell r="J101" t="str">
            <v>SI</v>
          </cell>
          <cell r="K101">
            <v>1.8333333333333333</v>
          </cell>
          <cell r="L101">
            <v>40909385</v>
          </cell>
          <cell r="N101">
            <v>0</v>
          </cell>
          <cell r="O101" t="str">
            <v>596841VMHCC7</v>
          </cell>
          <cell r="P101">
            <v>29686</v>
          </cell>
          <cell r="Q101">
            <v>5</v>
          </cell>
          <cell r="R101">
            <v>0</v>
          </cell>
          <cell r="W101" t="str">
            <v>0414324023696</v>
          </cell>
          <cell r="X101">
            <v>44.35</v>
          </cell>
          <cell r="Z101">
            <v>0</v>
          </cell>
          <cell r="AC101" t="str">
            <v>CONVIVIENTE</v>
          </cell>
        </row>
        <row r="102">
          <cell r="A102">
            <v>94</v>
          </cell>
          <cell r="B102" t="str">
            <v xml:space="preserve">MARCAÑAUPA  HUACHO SALVADOR </v>
          </cell>
          <cell r="C102" t="str">
            <v>PF</v>
          </cell>
          <cell r="D102">
            <v>0.14879999999999999</v>
          </cell>
          <cell r="E102">
            <v>39681</v>
          </cell>
          <cell r="F102">
            <v>39716</v>
          </cell>
          <cell r="H102" t="str">
            <v>PERFORISTA</v>
          </cell>
          <cell r="I102">
            <v>54.15</v>
          </cell>
          <cell r="J102" t="str">
            <v>NO</v>
          </cell>
          <cell r="L102">
            <v>23470738</v>
          </cell>
          <cell r="P102">
            <v>28072</v>
          </cell>
          <cell r="Q102">
            <v>0</v>
          </cell>
          <cell r="R102">
            <v>0</v>
          </cell>
          <cell r="AC102" t="str">
            <v>CONVIVIENTE</v>
          </cell>
          <cell r="AD102" t="str">
            <v>HUANCAVELICA</v>
          </cell>
        </row>
        <row r="103">
          <cell r="A103">
            <v>95</v>
          </cell>
          <cell r="B103" t="str">
            <v>MARCAÑAUPA LIMA NAZARIO RICARDO</v>
          </cell>
          <cell r="C103" t="str">
            <v>IN</v>
          </cell>
          <cell r="D103">
            <v>0.14680000000000001</v>
          </cell>
          <cell r="E103">
            <v>36151</v>
          </cell>
          <cell r="F103">
            <v>39716</v>
          </cell>
          <cell r="G103" t="str">
            <v>7206141MCLAN001</v>
          </cell>
          <cell r="H103" t="str">
            <v>OP. SCOOP</v>
          </cell>
          <cell r="I103">
            <v>59.65</v>
          </cell>
          <cell r="J103" t="str">
            <v>SI</v>
          </cell>
          <cell r="K103">
            <v>1.8333333333333333</v>
          </cell>
          <cell r="L103">
            <v>23466058</v>
          </cell>
          <cell r="M103">
            <v>35</v>
          </cell>
          <cell r="N103">
            <v>0.6</v>
          </cell>
          <cell r="O103" t="str">
            <v xml:space="preserve">560961NMLCA3 </v>
          </cell>
          <cell r="P103">
            <v>26190</v>
          </cell>
          <cell r="Q103">
            <v>5</v>
          </cell>
          <cell r="R103">
            <v>0</v>
          </cell>
          <cell r="W103" t="str">
            <v>0414324011485</v>
          </cell>
          <cell r="X103">
            <v>60.88</v>
          </cell>
          <cell r="Z103">
            <v>0</v>
          </cell>
          <cell r="AC103" t="str">
            <v>CONVIVIENTE</v>
          </cell>
        </row>
        <row r="104">
          <cell r="A104">
            <v>96</v>
          </cell>
          <cell r="B104" t="str">
            <v>MARCELO LUNA  JOSE MIGUEL</v>
          </cell>
          <cell r="C104" t="str">
            <v>ONP</v>
          </cell>
          <cell r="D104">
            <v>0.13</v>
          </cell>
          <cell r="E104">
            <v>39356</v>
          </cell>
          <cell r="F104">
            <v>39716</v>
          </cell>
          <cell r="G104" t="str">
            <v>8506061MCLAJ00</v>
          </cell>
          <cell r="H104" t="str">
            <v>AYTE. PERF.</v>
          </cell>
          <cell r="I104">
            <v>54.15</v>
          </cell>
          <cell r="J104" t="str">
            <v>NO</v>
          </cell>
          <cell r="K104">
            <v>0</v>
          </cell>
          <cell r="L104">
            <v>43048325</v>
          </cell>
          <cell r="M104">
            <v>50.15</v>
          </cell>
          <cell r="N104">
            <v>0</v>
          </cell>
          <cell r="P104">
            <v>31204</v>
          </cell>
          <cell r="Q104">
            <v>5</v>
          </cell>
          <cell r="R104">
            <v>0</v>
          </cell>
          <cell r="W104" t="str">
            <v>04-324-025125</v>
          </cell>
          <cell r="X104">
            <v>-30.49</v>
          </cell>
          <cell r="Z104">
            <v>0</v>
          </cell>
          <cell r="AC104" t="str">
            <v>SOLTERO</v>
          </cell>
          <cell r="AD104" t="str">
            <v>OYON</v>
          </cell>
        </row>
        <row r="105">
          <cell r="A105">
            <v>97</v>
          </cell>
          <cell r="B105" t="str">
            <v>MARTINEZ ALEJANDRO JUAN MOISES</v>
          </cell>
          <cell r="C105" t="str">
            <v>PF</v>
          </cell>
          <cell r="D105">
            <v>0.14879999999999999</v>
          </cell>
          <cell r="E105">
            <v>38335</v>
          </cell>
          <cell r="F105">
            <v>39716</v>
          </cell>
          <cell r="G105" t="str">
            <v>7302191MTAJJ003</v>
          </cell>
          <cell r="H105" t="str">
            <v>OP. SCOOP</v>
          </cell>
          <cell r="I105">
            <v>59.65</v>
          </cell>
          <cell r="J105" t="str">
            <v>SI</v>
          </cell>
          <cell r="K105">
            <v>1.8333333333333333</v>
          </cell>
          <cell r="L105" t="str">
            <v>04221247</v>
          </cell>
          <cell r="M105">
            <v>35</v>
          </cell>
          <cell r="N105">
            <v>0</v>
          </cell>
          <cell r="O105" t="str">
            <v xml:space="preserve">567121JMATJ9 </v>
          </cell>
          <cell r="P105">
            <v>26714</v>
          </cell>
          <cell r="Q105">
            <v>5</v>
          </cell>
          <cell r="R105">
            <v>0</v>
          </cell>
          <cell r="W105" t="str">
            <v>0414324009669</v>
          </cell>
          <cell r="X105">
            <v>61.38</v>
          </cell>
          <cell r="Z105">
            <v>0</v>
          </cell>
          <cell r="AC105" t="str">
            <v>CASADO</v>
          </cell>
          <cell r="AD105" t="str">
            <v>PASCO</v>
          </cell>
        </row>
        <row r="106">
          <cell r="A106">
            <v>98</v>
          </cell>
          <cell r="B106" t="str">
            <v>MAYTA LEON EFRAIN</v>
          </cell>
          <cell r="C106" t="str">
            <v>IN</v>
          </cell>
          <cell r="D106">
            <v>0.14680000000000001</v>
          </cell>
          <cell r="E106">
            <v>38236</v>
          </cell>
          <cell r="F106">
            <v>39716</v>
          </cell>
          <cell r="G106" t="str">
            <v>7802071MTLNE007</v>
          </cell>
          <cell r="H106" t="str">
            <v>PERFORISTA</v>
          </cell>
          <cell r="I106">
            <v>56.15</v>
          </cell>
          <cell r="J106" t="str">
            <v>SI</v>
          </cell>
          <cell r="K106">
            <v>1.8333333333333333</v>
          </cell>
          <cell r="L106">
            <v>80545130</v>
          </cell>
          <cell r="M106">
            <v>35</v>
          </cell>
          <cell r="N106">
            <v>0</v>
          </cell>
          <cell r="O106" t="str">
            <v>585261EMLTN9</v>
          </cell>
          <cell r="P106">
            <v>28528</v>
          </cell>
          <cell r="Q106">
            <v>5</v>
          </cell>
          <cell r="R106">
            <v>0</v>
          </cell>
          <cell r="W106" t="str">
            <v>0414324018897</v>
          </cell>
          <cell r="X106">
            <v>65.819999999999993</v>
          </cell>
          <cell r="Z106">
            <v>0</v>
          </cell>
          <cell r="AC106" t="str">
            <v>CASADO</v>
          </cell>
        </row>
        <row r="107">
          <cell r="A107">
            <v>99</v>
          </cell>
          <cell r="B107" t="str">
            <v>MELENDREZ ESPINOZA LUIS ANTONIO</v>
          </cell>
          <cell r="C107" t="str">
            <v>PF</v>
          </cell>
          <cell r="D107">
            <v>0.14879999999999999</v>
          </cell>
          <cell r="E107">
            <v>39519</v>
          </cell>
          <cell r="F107">
            <v>39716</v>
          </cell>
          <cell r="G107" t="str">
            <v>6211071MEEIL00</v>
          </cell>
          <cell r="H107" t="str">
            <v>CHOFER</v>
          </cell>
          <cell r="I107">
            <v>54.15</v>
          </cell>
          <cell r="J107" t="str">
            <v>SI</v>
          </cell>
          <cell r="K107">
            <v>1.8333333333333333</v>
          </cell>
          <cell r="L107">
            <v>15210533</v>
          </cell>
          <cell r="M107">
            <v>36</v>
          </cell>
          <cell r="N107">
            <v>0</v>
          </cell>
          <cell r="O107" t="str">
            <v>ONP</v>
          </cell>
          <cell r="P107">
            <v>22957</v>
          </cell>
          <cell r="Q107">
            <v>5</v>
          </cell>
          <cell r="R107">
            <v>0</v>
          </cell>
          <cell r="W107" t="str">
            <v>04-324-044626</v>
          </cell>
          <cell r="X107">
            <v>0</v>
          </cell>
          <cell r="Z107">
            <v>0</v>
          </cell>
          <cell r="AC107" t="str">
            <v>CASADO</v>
          </cell>
          <cell r="AD107" t="str">
            <v>OYON</v>
          </cell>
        </row>
        <row r="108">
          <cell r="A108">
            <v>100</v>
          </cell>
          <cell r="B108" t="str">
            <v>MELGAR MELGAREJO ANDRES</v>
          </cell>
          <cell r="C108" t="str">
            <v>PF</v>
          </cell>
          <cell r="D108">
            <v>0.14879999999999999</v>
          </cell>
          <cell r="E108">
            <v>37865</v>
          </cell>
          <cell r="F108">
            <v>39716</v>
          </cell>
          <cell r="G108" t="str">
            <v>6802041MGMGA002</v>
          </cell>
          <cell r="H108" t="str">
            <v>PERFORISTA</v>
          </cell>
          <cell r="I108">
            <v>56.15</v>
          </cell>
          <cell r="J108" t="str">
            <v>SI</v>
          </cell>
          <cell r="K108">
            <v>1.8333333333333333</v>
          </cell>
          <cell r="L108">
            <v>15216075</v>
          </cell>
          <cell r="N108">
            <v>0</v>
          </cell>
          <cell r="O108" t="str">
            <v>248701AMMGG5</v>
          </cell>
          <cell r="P108">
            <v>24872</v>
          </cell>
          <cell r="Q108">
            <v>5</v>
          </cell>
          <cell r="R108">
            <v>0</v>
          </cell>
          <cell r="W108" t="str">
            <v>0414324011523</v>
          </cell>
          <cell r="X108">
            <v>78.09</v>
          </cell>
          <cell r="Z108">
            <v>0</v>
          </cell>
          <cell r="AC108" t="str">
            <v>CONVIVIENTE</v>
          </cell>
          <cell r="AD108" t="str">
            <v>OYON</v>
          </cell>
        </row>
        <row r="109">
          <cell r="A109">
            <v>101</v>
          </cell>
          <cell r="B109" t="str">
            <v>MENDOZA  ACAPANA ANTONIO OLGER</v>
          </cell>
          <cell r="C109" t="str">
            <v>HR</v>
          </cell>
          <cell r="D109">
            <v>0.14829999999999999</v>
          </cell>
          <cell r="E109">
            <v>39356</v>
          </cell>
          <cell r="F109">
            <v>39716</v>
          </cell>
          <cell r="G109" t="str">
            <v>6801081MDAPA00</v>
          </cell>
          <cell r="H109" t="str">
            <v>AYTE. PERF.</v>
          </cell>
          <cell r="I109">
            <v>54.15</v>
          </cell>
          <cell r="J109" t="str">
            <v>NO</v>
          </cell>
          <cell r="K109">
            <v>0</v>
          </cell>
          <cell r="L109" t="str">
            <v>09708074</v>
          </cell>
          <cell r="N109">
            <v>0</v>
          </cell>
          <cell r="P109">
            <v>24845</v>
          </cell>
          <cell r="Q109">
            <v>5</v>
          </cell>
          <cell r="R109">
            <v>0</v>
          </cell>
          <cell r="W109" t="str">
            <v>04-091-114890</v>
          </cell>
          <cell r="X109">
            <v>-25.67</v>
          </cell>
          <cell r="Z109">
            <v>0</v>
          </cell>
          <cell r="AD109" t="str">
            <v>OYON</v>
          </cell>
        </row>
        <row r="110">
          <cell r="A110">
            <v>102</v>
          </cell>
          <cell r="B110" t="str">
            <v xml:space="preserve">MENDOZA BUSTAMANTE ESTEBAN JACINTO </v>
          </cell>
          <cell r="C110" t="str">
            <v>HR</v>
          </cell>
          <cell r="D110">
            <v>0.14829999999999999</v>
          </cell>
          <cell r="E110">
            <v>39683</v>
          </cell>
          <cell r="F110">
            <v>39716</v>
          </cell>
          <cell r="H110" t="str">
            <v>PERFORISTA</v>
          </cell>
          <cell r="I110">
            <v>56.15</v>
          </cell>
          <cell r="J110" t="str">
            <v>NO</v>
          </cell>
          <cell r="K110">
            <v>0</v>
          </cell>
          <cell r="L110" t="str">
            <v>15217794</v>
          </cell>
          <cell r="N110">
            <v>0</v>
          </cell>
          <cell r="P110">
            <v>39563</v>
          </cell>
          <cell r="Q110">
            <v>0</v>
          </cell>
          <cell r="R110">
            <v>0</v>
          </cell>
          <cell r="AC110" t="str">
            <v>CONVIVIENTE</v>
          </cell>
          <cell r="AD110" t="str">
            <v>OYON</v>
          </cell>
          <cell r="AE110">
            <v>3</v>
          </cell>
        </row>
        <row r="111">
          <cell r="A111">
            <v>103</v>
          </cell>
          <cell r="B111" t="str">
            <v>MENDOZA ESPINOZA JOSE LUIS</v>
          </cell>
          <cell r="C111" t="str">
            <v>HR</v>
          </cell>
          <cell r="D111">
            <v>0.14829999999999999</v>
          </cell>
          <cell r="E111">
            <v>38931</v>
          </cell>
          <cell r="F111">
            <v>39716</v>
          </cell>
          <cell r="G111" t="str">
            <v>8507201MDEIJ008</v>
          </cell>
          <cell r="H111" t="str">
            <v>AYTE. PERF.</v>
          </cell>
          <cell r="I111">
            <v>54.15</v>
          </cell>
          <cell r="J111" t="str">
            <v>NO</v>
          </cell>
          <cell r="K111">
            <v>0</v>
          </cell>
          <cell r="L111">
            <v>43147828</v>
          </cell>
          <cell r="M111">
            <v>52.5</v>
          </cell>
          <cell r="N111">
            <v>0</v>
          </cell>
          <cell r="O111" t="str">
            <v>612461JMEDI3</v>
          </cell>
          <cell r="P111">
            <v>31248</v>
          </cell>
          <cell r="Q111">
            <v>5</v>
          </cell>
          <cell r="R111">
            <v>0</v>
          </cell>
          <cell r="W111" t="str">
            <v>0414324031877</v>
          </cell>
          <cell r="X111">
            <v>22.74</v>
          </cell>
          <cell r="Z111">
            <v>0</v>
          </cell>
          <cell r="AC111" t="str">
            <v>CONVIVIENTE</v>
          </cell>
          <cell r="AD111" t="str">
            <v>OYON</v>
          </cell>
        </row>
        <row r="112">
          <cell r="A112">
            <v>104</v>
          </cell>
          <cell r="B112" t="str">
            <v>MEZA RAMOS VICTOR</v>
          </cell>
          <cell r="C112" t="str">
            <v>ONP</v>
          </cell>
          <cell r="D112">
            <v>0.13</v>
          </cell>
          <cell r="E112">
            <v>34851</v>
          </cell>
          <cell r="F112">
            <v>39716</v>
          </cell>
          <cell r="G112" t="str">
            <v>5811171MAROVOO4</v>
          </cell>
          <cell r="H112" t="str">
            <v>PERFORISTA</v>
          </cell>
          <cell r="I112">
            <v>56.15</v>
          </cell>
          <cell r="J112" t="str">
            <v>SI</v>
          </cell>
          <cell r="K112">
            <v>1.8333333333333333</v>
          </cell>
          <cell r="L112">
            <v>23226178</v>
          </cell>
          <cell r="M112">
            <v>35</v>
          </cell>
          <cell r="N112">
            <v>0</v>
          </cell>
          <cell r="O112" t="str">
            <v>ONP</v>
          </cell>
          <cell r="P112">
            <v>21506</v>
          </cell>
          <cell r="Q112">
            <v>5</v>
          </cell>
          <cell r="R112">
            <v>0</v>
          </cell>
          <cell r="W112" t="str">
            <v>0414324011531</v>
          </cell>
          <cell r="X112">
            <v>62.28</v>
          </cell>
          <cell r="Z112">
            <v>0</v>
          </cell>
          <cell r="AC112" t="str">
            <v>CASADO</v>
          </cell>
          <cell r="AE112">
            <v>16</v>
          </cell>
        </row>
        <row r="113">
          <cell r="A113">
            <v>105</v>
          </cell>
          <cell r="B113" t="str">
            <v>MIRANDA VEGA, EVERT ALFREDO</v>
          </cell>
          <cell r="C113" t="str">
            <v>ONP</v>
          </cell>
          <cell r="D113">
            <v>0.13</v>
          </cell>
          <cell r="E113">
            <v>39150</v>
          </cell>
          <cell r="F113">
            <v>39716</v>
          </cell>
          <cell r="G113" t="str">
            <v>8110221MAVAE004</v>
          </cell>
          <cell r="H113" t="str">
            <v>AYTE. PERF.</v>
          </cell>
          <cell r="I113">
            <v>54.15</v>
          </cell>
          <cell r="J113" t="str">
            <v>NO</v>
          </cell>
          <cell r="K113">
            <v>0</v>
          </cell>
          <cell r="L113">
            <v>41422770</v>
          </cell>
          <cell r="N113">
            <v>0</v>
          </cell>
          <cell r="O113" t="str">
            <v>ONP</v>
          </cell>
          <cell r="P113">
            <v>29881</v>
          </cell>
          <cell r="Q113">
            <v>5</v>
          </cell>
          <cell r="R113">
            <v>0</v>
          </cell>
          <cell r="W113" t="str">
            <v>04-324-035414</v>
          </cell>
          <cell r="X113">
            <v>12.75</v>
          </cell>
          <cell r="Z113">
            <v>0</v>
          </cell>
          <cell r="AC113" t="str">
            <v>SOLTERO</v>
          </cell>
          <cell r="AD113" t="str">
            <v>PASCO</v>
          </cell>
        </row>
        <row r="114">
          <cell r="A114">
            <v>106</v>
          </cell>
          <cell r="B114" t="str">
            <v>MORALES TORRES ROBER ANGEL</v>
          </cell>
          <cell r="C114" t="str">
            <v>HR</v>
          </cell>
          <cell r="D114">
            <v>0.14829999999999999</v>
          </cell>
          <cell r="E114">
            <v>38755</v>
          </cell>
          <cell r="F114">
            <v>39716</v>
          </cell>
          <cell r="G114" t="str">
            <v>8104231MATRR002</v>
          </cell>
          <cell r="H114" t="str">
            <v>PERFORISTA</v>
          </cell>
          <cell r="I114">
            <v>56.15</v>
          </cell>
          <cell r="J114" t="str">
            <v>SI</v>
          </cell>
          <cell r="K114">
            <v>1.8333333333333333</v>
          </cell>
          <cell r="L114">
            <v>40954549</v>
          </cell>
          <cell r="N114">
            <v>0</v>
          </cell>
          <cell r="O114" t="str">
            <v>596971RMTAR0</v>
          </cell>
          <cell r="P114">
            <v>29699</v>
          </cell>
          <cell r="Q114">
            <v>5</v>
          </cell>
          <cell r="R114">
            <v>0</v>
          </cell>
          <cell r="W114" t="str">
            <v>0414324027616</v>
          </cell>
          <cell r="X114">
            <v>31.88</v>
          </cell>
          <cell r="Z114">
            <v>0</v>
          </cell>
          <cell r="AC114" t="str">
            <v>SOLTERO</v>
          </cell>
          <cell r="AD114" t="str">
            <v>PASCO</v>
          </cell>
        </row>
        <row r="115">
          <cell r="A115">
            <v>107</v>
          </cell>
          <cell r="B115" t="str">
            <v>MORALES YAURI MANUEL ANIBAL</v>
          </cell>
          <cell r="C115" t="str">
            <v>PR</v>
          </cell>
          <cell r="D115">
            <v>0.14369999999999999</v>
          </cell>
          <cell r="E115">
            <v>37953</v>
          </cell>
          <cell r="F115">
            <v>39716</v>
          </cell>
          <cell r="G115" t="str">
            <v>7505121MAYRM002</v>
          </cell>
          <cell r="H115" t="str">
            <v>PERFORISTA</v>
          </cell>
          <cell r="I115">
            <v>56.15</v>
          </cell>
          <cell r="J115" t="str">
            <v>SI</v>
          </cell>
          <cell r="K115">
            <v>1.8333333333333333</v>
          </cell>
          <cell r="L115" t="str">
            <v>04221914</v>
          </cell>
          <cell r="N115">
            <v>0</v>
          </cell>
          <cell r="O115" t="str">
            <v xml:space="preserve">3575241MMYAR9 </v>
          </cell>
          <cell r="P115">
            <v>27526</v>
          </cell>
          <cell r="Q115">
            <v>5</v>
          </cell>
          <cell r="R115">
            <v>0</v>
          </cell>
          <cell r="W115" t="str">
            <v>0414324011558</v>
          </cell>
          <cell r="X115">
            <v>86.65</v>
          </cell>
          <cell r="Z115">
            <v>0</v>
          </cell>
          <cell r="AC115" t="str">
            <v>SOLTERO</v>
          </cell>
          <cell r="AD115" t="str">
            <v>PASCO</v>
          </cell>
        </row>
        <row r="116">
          <cell r="A116">
            <v>108</v>
          </cell>
          <cell r="B116" t="str">
            <v>MORENO MUÑOZ TEODORO</v>
          </cell>
          <cell r="C116" t="str">
            <v>IN</v>
          </cell>
          <cell r="D116">
            <v>0.14680000000000001</v>
          </cell>
          <cell r="E116">
            <v>38667</v>
          </cell>
          <cell r="F116">
            <v>39716</v>
          </cell>
          <cell r="G116" t="str">
            <v>8202121MEMOT008</v>
          </cell>
          <cell r="H116" t="str">
            <v>PERFORISTA</v>
          </cell>
          <cell r="I116">
            <v>56.15</v>
          </cell>
          <cell r="J116" t="str">
            <v>SI</v>
          </cell>
          <cell r="K116">
            <v>1.8333333333333333</v>
          </cell>
          <cell r="L116">
            <v>41179938</v>
          </cell>
          <cell r="M116">
            <v>35</v>
          </cell>
          <cell r="N116">
            <v>0</v>
          </cell>
          <cell r="O116" t="str">
            <v>599921TMMEO6</v>
          </cell>
          <cell r="P116">
            <v>29994</v>
          </cell>
          <cell r="Q116">
            <v>5</v>
          </cell>
          <cell r="R116">
            <v>0</v>
          </cell>
          <cell r="W116" t="str">
            <v>0414324026369</v>
          </cell>
          <cell r="X116">
            <v>45.86</v>
          </cell>
          <cell r="Z116">
            <v>0</v>
          </cell>
          <cell r="AC116" t="str">
            <v>CONVIVIENTE</v>
          </cell>
          <cell r="AD116" t="str">
            <v>HUANUCO</v>
          </cell>
        </row>
        <row r="117">
          <cell r="A117">
            <v>109</v>
          </cell>
          <cell r="B117" t="str">
            <v>MUGURUZA GOÑE, LUIS ANGEL</v>
          </cell>
          <cell r="C117" t="str">
            <v>PF</v>
          </cell>
          <cell r="D117">
            <v>0.14879999999999999</v>
          </cell>
          <cell r="E117">
            <v>39262</v>
          </cell>
          <cell r="F117">
            <v>39716</v>
          </cell>
          <cell r="G117" t="str">
            <v>7609181MUGEL005</v>
          </cell>
          <cell r="H117" t="str">
            <v>AYTE. PERF.</v>
          </cell>
          <cell r="I117">
            <v>54.15</v>
          </cell>
          <cell r="J117" t="str">
            <v>SI</v>
          </cell>
          <cell r="K117">
            <v>1.8333333333333333</v>
          </cell>
          <cell r="L117">
            <v>15217488</v>
          </cell>
          <cell r="N117">
            <v>0</v>
          </cell>
          <cell r="P117">
            <v>28021</v>
          </cell>
          <cell r="Q117">
            <v>5</v>
          </cell>
          <cell r="R117">
            <v>0</v>
          </cell>
          <cell r="X117">
            <v>-9.19</v>
          </cell>
          <cell r="Z117">
            <v>0</v>
          </cell>
          <cell r="AC117" t="str">
            <v>SOLTERO</v>
          </cell>
          <cell r="AD117" t="str">
            <v>OYON</v>
          </cell>
        </row>
        <row r="118">
          <cell r="A118">
            <v>110</v>
          </cell>
          <cell r="B118" t="str">
            <v>NESTARES CASTAÑEDA GREGORIO ROBERTO</v>
          </cell>
          <cell r="C118" t="str">
            <v>ONP</v>
          </cell>
          <cell r="D118">
            <v>0.13</v>
          </cell>
          <cell r="E118">
            <v>38931</v>
          </cell>
          <cell r="F118">
            <v>39716</v>
          </cell>
          <cell r="G118" t="str">
            <v>7604241NTCTG008</v>
          </cell>
          <cell r="H118" t="str">
            <v>PERFORISTA</v>
          </cell>
          <cell r="I118">
            <v>56.15</v>
          </cell>
          <cell r="J118" t="str">
            <v>SI</v>
          </cell>
          <cell r="K118">
            <v>1.8333333333333333</v>
          </cell>
          <cell r="L118">
            <v>40158576</v>
          </cell>
          <cell r="N118">
            <v>0</v>
          </cell>
          <cell r="O118" t="str">
            <v>ONP</v>
          </cell>
          <cell r="P118">
            <v>27874</v>
          </cell>
          <cell r="Q118">
            <v>5</v>
          </cell>
          <cell r="R118">
            <v>0</v>
          </cell>
          <cell r="W118" t="str">
            <v>0414324010489</v>
          </cell>
          <cell r="X118">
            <v>24.21</v>
          </cell>
          <cell r="Z118">
            <v>0</v>
          </cell>
          <cell r="AC118" t="str">
            <v>CONVIVIENTE</v>
          </cell>
          <cell r="AD118" t="str">
            <v>LIMA</v>
          </cell>
          <cell r="AE118">
            <v>5</v>
          </cell>
        </row>
        <row r="119">
          <cell r="A119">
            <v>111</v>
          </cell>
          <cell r="B119" t="str">
            <v>OCHOA QUISPE LEON</v>
          </cell>
          <cell r="C119" t="str">
            <v>IN</v>
          </cell>
          <cell r="D119">
            <v>0.14680000000000001</v>
          </cell>
          <cell r="E119">
            <v>35829</v>
          </cell>
          <cell r="F119">
            <v>39716</v>
          </cell>
          <cell r="G119" t="str">
            <v>7506281OOQSL006</v>
          </cell>
          <cell r="H119" t="str">
            <v>PERFORISTA</v>
          </cell>
          <cell r="I119">
            <v>56.15</v>
          </cell>
          <cell r="J119" t="str">
            <v>SI</v>
          </cell>
          <cell r="K119">
            <v>1.8333333333333333</v>
          </cell>
          <cell r="L119">
            <v>23463530</v>
          </cell>
          <cell r="M119">
            <v>35</v>
          </cell>
          <cell r="N119">
            <v>0</v>
          </cell>
          <cell r="O119" t="str">
            <v xml:space="preserve">575711LOQOS8 </v>
          </cell>
          <cell r="P119">
            <v>27573</v>
          </cell>
          <cell r="Q119">
            <v>5</v>
          </cell>
          <cell r="R119">
            <v>0</v>
          </cell>
          <cell r="W119" t="str">
            <v>0414324011590</v>
          </cell>
          <cell r="X119">
            <v>102.56</v>
          </cell>
          <cell r="Z119">
            <v>0</v>
          </cell>
          <cell r="AC119" t="str">
            <v>CASADO</v>
          </cell>
          <cell r="AD119" t="str">
            <v>HUANCAVELICA</v>
          </cell>
        </row>
        <row r="120">
          <cell r="A120">
            <v>112</v>
          </cell>
          <cell r="B120" t="str">
            <v>ORTIZ VEGA CRISTIAN CARLOS</v>
          </cell>
          <cell r="C120" t="str">
            <v>ONP</v>
          </cell>
          <cell r="D120">
            <v>0.13</v>
          </cell>
          <cell r="E120">
            <v>39462</v>
          </cell>
          <cell r="F120">
            <v>39716</v>
          </cell>
          <cell r="G120" t="str">
            <v>8504141OIVACS00</v>
          </cell>
          <cell r="H120" t="str">
            <v>DIGITADOR</v>
          </cell>
          <cell r="I120">
            <v>54.15</v>
          </cell>
          <cell r="J120" t="str">
            <v>NO</v>
          </cell>
          <cell r="K120">
            <v>0</v>
          </cell>
          <cell r="L120">
            <v>43204759</v>
          </cell>
          <cell r="M120">
            <v>20</v>
          </cell>
          <cell r="N120">
            <v>0</v>
          </cell>
          <cell r="P120">
            <v>31151</v>
          </cell>
          <cell r="Q120">
            <v>5</v>
          </cell>
          <cell r="R120">
            <v>0</v>
          </cell>
          <cell r="W120" t="str">
            <v>04-324-036720</v>
          </cell>
          <cell r="X120">
            <v>19.09</v>
          </cell>
          <cell r="Z120">
            <v>0</v>
          </cell>
          <cell r="AC120" t="str">
            <v>SOLTERO</v>
          </cell>
          <cell r="AD120" t="str">
            <v>OYON</v>
          </cell>
        </row>
        <row r="121">
          <cell r="A121">
            <v>113</v>
          </cell>
          <cell r="B121" t="str">
            <v>OSORIO ANGULO ANTOLIN</v>
          </cell>
          <cell r="C121" t="str">
            <v>HR</v>
          </cell>
          <cell r="D121">
            <v>0.14829999999999999</v>
          </cell>
          <cell r="E121">
            <v>39639</v>
          </cell>
          <cell r="F121">
            <v>39716</v>
          </cell>
          <cell r="G121" t="str">
            <v>6903141ORAUA00</v>
          </cell>
          <cell r="H121" t="str">
            <v>PERFORISTA</v>
          </cell>
          <cell r="I121">
            <v>54.15</v>
          </cell>
          <cell r="J121" t="str">
            <v>NO</v>
          </cell>
          <cell r="K121">
            <v>0</v>
          </cell>
          <cell r="L121" t="str">
            <v>04205199</v>
          </cell>
          <cell r="N121">
            <v>0</v>
          </cell>
          <cell r="P121">
            <v>25276</v>
          </cell>
          <cell r="Q121">
            <v>0</v>
          </cell>
          <cell r="R121">
            <v>0</v>
          </cell>
          <cell r="W121" t="str">
            <v>04-0911-115226</v>
          </cell>
          <cell r="Z121">
            <v>0</v>
          </cell>
          <cell r="AC121" t="str">
            <v>CASADO</v>
          </cell>
          <cell r="AD121" t="str">
            <v>YANAHUANCA</v>
          </cell>
          <cell r="AE121">
            <v>3</v>
          </cell>
        </row>
        <row r="122">
          <cell r="A122">
            <v>114</v>
          </cell>
          <cell r="B122" t="str">
            <v>OSORIO PAUCAR YDRIS</v>
          </cell>
          <cell r="C122" t="str">
            <v>PF</v>
          </cell>
          <cell r="D122">
            <v>0.14879999999999999</v>
          </cell>
          <cell r="E122">
            <v>38867</v>
          </cell>
          <cell r="F122">
            <v>39716</v>
          </cell>
          <cell r="G122" t="str">
            <v>7707181ORPCY003</v>
          </cell>
          <cell r="H122" t="str">
            <v>AYTE. PERF.</v>
          </cell>
          <cell r="I122">
            <v>54.15</v>
          </cell>
          <cell r="J122" t="str">
            <v>NO</v>
          </cell>
          <cell r="K122">
            <v>0</v>
          </cell>
          <cell r="L122">
            <v>15217735</v>
          </cell>
          <cell r="M122">
            <v>25</v>
          </cell>
          <cell r="N122">
            <v>0</v>
          </cell>
          <cell r="O122" t="str">
            <v>583221YOPRC6</v>
          </cell>
          <cell r="P122">
            <v>28324</v>
          </cell>
          <cell r="Q122">
            <v>5</v>
          </cell>
          <cell r="R122">
            <v>0</v>
          </cell>
          <cell r="W122" t="str">
            <v>0414324022185</v>
          </cell>
          <cell r="X122">
            <v>-14.5</v>
          </cell>
          <cell r="Z122">
            <v>0</v>
          </cell>
          <cell r="AC122" t="str">
            <v>SOLTERO</v>
          </cell>
          <cell r="AD122" t="str">
            <v>OYON</v>
          </cell>
        </row>
        <row r="123">
          <cell r="A123">
            <v>115</v>
          </cell>
          <cell r="B123" t="str">
            <v>OSORIO RIVERA ENRRIQUE</v>
          </cell>
          <cell r="C123" t="str">
            <v>PF</v>
          </cell>
          <cell r="D123">
            <v>0.14879999999999999</v>
          </cell>
          <cell r="E123">
            <v>39647</v>
          </cell>
          <cell r="F123">
            <v>39716</v>
          </cell>
          <cell r="G123" t="str">
            <v>7405061ORREE00</v>
          </cell>
          <cell r="H123" t="str">
            <v>PERFORISTA</v>
          </cell>
          <cell r="I123">
            <v>54.15</v>
          </cell>
          <cell r="J123" t="str">
            <v>NO</v>
          </cell>
          <cell r="K123">
            <v>0</v>
          </cell>
          <cell r="L123" t="str">
            <v>04222018</v>
          </cell>
          <cell r="N123">
            <v>0</v>
          </cell>
          <cell r="P123">
            <v>27155</v>
          </cell>
          <cell r="Q123">
            <v>0</v>
          </cell>
          <cell r="R123">
            <v>0</v>
          </cell>
          <cell r="W123" t="str">
            <v>04-324-048044</v>
          </cell>
          <cell r="Z123">
            <v>0</v>
          </cell>
          <cell r="AC123" t="str">
            <v>COVIVIENTE</v>
          </cell>
          <cell r="AD123" t="str">
            <v>YANAHUANCA</v>
          </cell>
          <cell r="AE123">
            <v>3</v>
          </cell>
        </row>
        <row r="124">
          <cell r="A124">
            <v>116</v>
          </cell>
          <cell r="B124" t="str">
            <v>PAREDES FALCON MOISES DAVID</v>
          </cell>
          <cell r="C124" t="str">
            <v>IN</v>
          </cell>
          <cell r="D124">
            <v>0.14680000000000001</v>
          </cell>
          <cell r="E124">
            <v>38747</v>
          </cell>
          <cell r="F124">
            <v>39716</v>
          </cell>
          <cell r="G124" t="str">
            <v>7402151PEFCM006</v>
          </cell>
          <cell r="H124" t="str">
            <v>PERFORISTA</v>
          </cell>
          <cell r="I124">
            <v>56.15</v>
          </cell>
          <cell r="J124" t="str">
            <v>SI</v>
          </cell>
          <cell r="K124">
            <v>1.8333333333333333</v>
          </cell>
          <cell r="L124">
            <v>21136977</v>
          </cell>
          <cell r="N124">
            <v>0</v>
          </cell>
          <cell r="O124" t="str">
            <v>570731MPFEC8</v>
          </cell>
          <cell r="P124">
            <v>27075</v>
          </cell>
          <cell r="Q124">
            <v>5</v>
          </cell>
          <cell r="R124">
            <v>0</v>
          </cell>
          <cell r="W124" t="str">
            <v>0414322006557</v>
          </cell>
          <cell r="X124">
            <v>65.8</v>
          </cell>
          <cell r="Z124">
            <v>0</v>
          </cell>
          <cell r="AC124" t="str">
            <v>SOLTERO</v>
          </cell>
          <cell r="AD124" t="str">
            <v>HUANCAYO</v>
          </cell>
          <cell r="AE124">
            <v>5</v>
          </cell>
        </row>
        <row r="125">
          <cell r="A125">
            <v>117</v>
          </cell>
          <cell r="B125" t="str">
            <v>PAYTAN HUAMANI CARLOS</v>
          </cell>
          <cell r="C125" t="str">
            <v>PF</v>
          </cell>
          <cell r="D125">
            <v>0.14879999999999999</v>
          </cell>
          <cell r="E125">
            <v>38428</v>
          </cell>
          <cell r="F125">
            <v>39716</v>
          </cell>
          <cell r="G125" t="str">
            <v>6411041PTHMC002</v>
          </cell>
          <cell r="H125" t="str">
            <v>PERFORISTA</v>
          </cell>
          <cell r="I125">
            <v>56.15</v>
          </cell>
          <cell r="J125" t="str">
            <v>SI</v>
          </cell>
          <cell r="K125">
            <v>1.8333333333333333</v>
          </cell>
          <cell r="L125">
            <v>23226968</v>
          </cell>
          <cell r="N125">
            <v>0.25</v>
          </cell>
          <cell r="O125" t="str">
            <v xml:space="preserve">536831CPHTM0 </v>
          </cell>
          <cell r="P125">
            <v>23685</v>
          </cell>
          <cell r="Q125">
            <v>5</v>
          </cell>
          <cell r="R125">
            <v>0</v>
          </cell>
          <cell r="W125" t="str">
            <v>0414324021626</v>
          </cell>
          <cell r="X125">
            <v>30.02</v>
          </cell>
          <cell r="Z125">
            <v>0</v>
          </cell>
          <cell r="AC125" t="str">
            <v>SOLTERO</v>
          </cell>
          <cell r="AD125" t="str">
            <v>HUANCAVELICA</v>
          </cell>
        </row>
        <row r="126">
          <cell r="A126">
            <v>118</v>
          </cell>
          <cell r="B126" t="str">
            <v>PEREZ PALACIOS, ARONDO MORA</v>
          </cell>
          <cell r="C126" t="str">
            <v>ONP</v>
          </cell>
          <cell r="D126">
            <v>0.13</v>
          </cell>
          <cell r="E126">
            <v>39268</v>
          </cell>
          <cell r="F126">
            <v>39716</v>
          </cell>
          <cell r="G126" t="str">
            <v>8605051PEPAA00</v>
          </cell>
          <cell r="H126" t="str">
            <v>AYTE. PERF.</v>
          </cell>
          <cell r="I126">
            <v>54.15</v>
          </cell>
          <cell r="J126" t="str">
            <v>SI</v>
          </cell>
          <cell r="K126">
            <v>1.8333333333333333</v>
          </cell>
          <cell r="L126">
            <v>43550132</v>
          </cell>
          <cell r="M126">
            <v>25</v>
          </cell>
          <cell r="N126">
            <v>0</v>
          </cell>
          <cell r="O126" t="str">
            <v>ONP</v>
          </cell>
          <cell r="P126">
            <v>31537</v>
          </cell>
          <cell r="Q126">
            <v>5</v>
          </cell>
          <cell r="R126">
            <v>0</v>
          </cell>
          <cell r="W126" t="str">
            <v>04324038758</v>
          </cell>
          <cell r="X126">
            <v>8.84</v>
          </cell>
          <cell r="Z126">
            <v>0</v>
          </cell>
          <cell r="AC126" t="str">
            <v>SOLTERO</v>
          </cell>
          <cell r="AD126" t="str">
            <v>OYON</v>
          </cell>
        </row>
        <row r="127">
          <cell r="A127">
            <v>119</v>
          </cell>
          <cell r="B127" t="str">
            <v>PEREZ TORIBIO, ALEJANDRO VICENTE</v>
          </cell>
          <cell r="C127" t="str">
            <v>PF</v>
          </cell>
          <cell r="D127">
            <v>0.14879999999999999</v>
          </cell>
          <cell r="E127">
            <v>39263</v>
          </cell>
          <cell r="F127">
            <v>39716</v>
          </cell>
          <cell r="G127" t="str">
            <v>7501221PETIA000</v>
          </cell>
          <cell r="H127" t="str">
            <v>AYTE. PERF.</v>
          </cell>
          <cell r="I127">
            <v>54.15</v>
          </cell>
          <cell r="J127" t="str">
            <v>SI</v>
          </cell>
          <cell r="K127">
            <v>1.8333333333333333</v>
          </cell>
          <cell r="L127">
            <v>15217071</v>
          </cell>
          <cell r="M127">
            <v>20</v>
          </cell>
          <cell r="N127">
            <v>0</v>
          </cell>
          <cell r="O127" t="str">
            <v>274141APTEI4</v>
          </cell>
          <cell r="P127">
            <v>27416</v>
          </cell>
          <cell r="Q127">
            <v>5</v>
          </cell>
          <cell r="R127">
            <v>0</v>
          </cell>
          <cell r="W127" t="str">
            <v>04324038634</v>
          </cell>
          <cell r="X127">
            <v>3.79</v>
          </cell>
          <cell r="Z127">
            <v>0</v>
          </cell>
          <cell r="AC127" t="str">
            <v>CASADO</v>
          </cell>
          <cell r="AD127" t="str">
            <v>OYON</v>
          </cell>
        </row>
        <row r="128">
          <cell r="A128">
            <v>120</v>
          </cell>
          <cell r="B128" t="str">
            <v>PICHARDO SOTO MARCELINO</v>
          </cell>
          <cell r="C128" t="str">
            <v>IN</v>
          </cell>
          <cell r="D128">
            <v>0.14680000000000001</v>
          </cell>
          <cell r="E128">
            <v>38420</v>
          </cell>
          <cell r="F128">
            <v>39716</v>
          </cell>
          <cell r="G128" t="str">
            <v>7412011PHSOM001</v>
          </cell>
          <cell r="H128" t="str">
            <v>PERFORISTA</v>
          </cell>
          <cell r="I128">
            <v>56.15</v>
          </cell>
          <cell r="J128" t="str">
            <v>SI</v>
          </cell>
          <cell r="K128">
            <v>1.8333333333333333</v>
          </cell>
          <cell r="L128">
            <v>23271706</v>
          </cell>
          <cell r="M128">
            <v>35</v>
          </cell>
          <cell r="N128">
            <v>0</v>
          </cell>
          <cell r="O128" t="str">
            <v xml:space="preserve">573621MPSHO3 </v>
          </cell>
          <cell r="P128">
            <v>27364</v>
          </cell>
          <cell r="Q128">
            <v>5</v>
          </cell>
          <cell r="R128">
            <v>0</v>
          </cell>
          <cell r="W128" t="str">
            <v>0414324021561</v>
          </cell>
          <cell r="X128">
            <v>23.94</v>
          </cell>
          <cell r="Z128">
            <v>0</v>
          </cell>
          <cell r="AC128" t="str">
            <v>CASADO</v>
          </cell>
          <cell r="AE128">
            <v>7</v>
          </cell>
        </row>
        <row r="129">
          <cell r="A129">
            <v>121</v>
          </cell>
          <cell r="B129" t="str">
            <v>POMA MARTINEZ VICTOR</v>
          </cell>
          <cell r="C129" t="str">
            <v>ONP</v>
          </cell>
          <cell r="D129">
            <v>0.13</v>
          </cell>
          <cell r="E129">
            <v>35942</v>
          </cell>
          <cell r="F129">
            <v>39716</v>
          </cell>
          <cell r="G129" t="str">
            <v>6212031PAMTV002</v>
          </cell>
          <cell r="H129" t="str">
            <v>MEC.-PERF.</v>
          </cell>
          <cell r="I129">
            <v>56.15</v>
          </cell>
          <cell r="J129" t="str">
            <v>SI</v>
          </cell>
          <cell r="K129">
            <v>1.8333333333333333</v>
          </cell>
          <cell r="L129">
            <v>23441577</v>
          </cell>
          <cell r="M129">
            <v>35</v>
          </cell>
          <cell r="N129">
            <v>0</v>
          </cell>
          <cell r="O129" t="str">
            <v>ONP</v>
          </cell>
          <cell r="P129">
            <v>22983</v>
          </cell>
          <cell r="Q129">
            <v>5</v>
          </cell>
          <cell r="R129">
            <v>0</v>
          </cell>
          <cell r="W129" t="str">
            <v>0414324011647</v>
          </cell>
          <cell r="X129">
            <v>6.67</v>
          </cell>
          <cell r="Z129">
            <v>0</v>
          </cell>
          <cell r="AC129" t="str">
            <v>CASADO</v>
          </cell>
        </row>
        <row r="130">
          <cell r="A130">
            <v>122</v>
          </cell>
          <cell r="B130" t="str">
            <v>PORTAL RIVERA ROMEL</v>
          </cell>
          <cell r="C130" t="str">
            <v>IN</v>
          </cell>
          <cell r="D130">
            <v>0.14680000000000001</v>
          </cell>
          <cell r="E130">
            <v>38549</v>
          </cell>
          <cell r="F130">
            <v>39716</v>
          </cell>
          <cell r="G130" t="str">
            <v>8003311PTRER009</v>
          </cell>
          <cell r="H130" t="str">
            <v>PERFORISTA</v>
          </cell>
          <cell r="I130">
            <v>56.15</v>
          </cell>
          <cell r="J130" t="str">
            <v>NO</v>
          </cell>
          <cell r="K130">
            <v>0</v>
          </cell>
          <cell r="L130">
            <v>40532636</v>
          </cell>
          <cell r="M130">
            <v>17.5</v>
          </cell>
          <cell r="N130">
            <v>0</v>
          </cell>
          <cell r="O130" t="str">
            <v>593091RPRTE9</v>
          </cell>
          <cell r="P130">
            <v>29311</v>
          </cell>
          <cell r="Q130">
            <v>5</v>
          </cell>
          <cell r="R130">
            <v>0</v>
          </cell>
          <cell r="W130" t="str">
            <v>0414324008182</v>
          </cell>
          <cell r="X130">
            <v>9.9600000000000009</v>
          </cell>
          <cell r="Z130">
            <v>0</v>
          </cell>
          <cell r="AC130" t="str">
            <v>SOLTERO</v>
          </cell>
          <cell r="AD130" t="str">
            <v>OYON</v>
          </cell>
        </row>
        <row r="131">
          <cell r="A131">
            <v>123</v>
          </cell>
          <cell r="B131" t="str">
            <v xml:space="preserve">PORTAL TRUJILLO RUBEN </v>
          </cell>
          <cell r="C131" t="str">
            <v>PF</v>
          </cell>
          <cell r="D131">
            <v>0.14879999999999999</v>
          </cell>
          <cell r="E131">
            <v>39676</v>
          </cell>
          <cell r="F131">
            <v>39716</v>
          </cell>
          <cell r="H131" t="str">
            <v>AYTE. PERF.</v>
          </cell>
          <cell r="I131">
            <v>50.15</v>
          </cell>
          <cell r="J131" t="str">
            <v>NO</v>
          </cell>
          <cell r="K131">
            <v>0</v>
          </cell>
          <cell r="L131">
            <v>80646758</v>
          </cell>
          <cell r="N131">
            <v>0</v>
          </cell>
          <cell r="P131">
            <v>28506</v>
          </cell>
          <cell r="Q131">
            <v>0</v>
          </cell>
          <cell r="R131">
            <v>0</v>
          </cell>
          <cell r="W131" t="str">
            <v>04-324-006236</v>
          </cell>
          <cell r="AC131" t="str">
            <v>CONVIVIENTE</v>
          </cell>
          <cell r="AD131" t="str">
            <v>OYON</v>
          </cell>
          <cell r="AE131">
            <v>3</v>
          </cell>
        </row>
        <row r="132">
          <cell r="A132">
            <v>124</v>
          </cell>
          <cell r="B132" t="str">
            <v>QUISPE HUACHO EDGAR</v>
          </cell>
          <cell r="C132" t="str">
            <v>PF</v>
          </cell>
          <cell r="D132">
            <v>0.14879999999999999</v>
          </cell>
          <cell r="E132">
            <v>38755</v>
          </cell>
          <cell r="F132">
            <v>39716</v>
          </cell>
          <cell r="G132" t="str">
            <v>8103241QSHCE008</v>
          </cell>
          <cell r="H132" t="str">
            <v>OP. SCOOP</v>
          </cell>
          <cell r="I132">
            <v>59.65</v>
          </cell>
          <cell r="J132" t="str">
            <v>SI</v>
          </cell>
          <cell r="K132">
            <v>1.8333333333333333</v>
          </cell>
          <cell r="L132">
            <v>41368305</v>
          </cell>
          <cell r="M132">
            <v>35</v>
          </cell>
          <cell r="N132">
            <v>0</v>
          </cell>
          <cell r="O132" t="str">
            <v xml:space="preserve">596671EQHSC6 </v>
          </cell>
          <cell r="P132">
            <v>29669</v>
          </cell>
          <cell r="Q132">
            <v>5</v>
          </cell>
          <cell r="R132">
            <v>0</v>
          </cell>
          <cell r="W132" t="str">
            <v>0414324027829</v>
          </cell>
          <cell r="X132">
            <v>54.45</v>
          </cell>
          <cell r="Z132">
            <v>0</v>
          </cell>
          <cell r="AC132" t="str">
            <v>COVIVIENTE</v>
          </cell>
        </row>
        <row r="133">
          <cell r="A133">
            <v>125</v>
          </cell>
          <cell r="B133" t="str">
            <v>QUISPE HUACHO GAMANIEL</v>
          </cell>
          <cell r="C133" t="str">
            <v>HR</v>
          </cell>
          <cell r="D133">
            <v>0.14829999999999999</v>
          </cell>
          <cell r="E133">
            <v>39183</v>
          </cell>
          <cell r="F133">
            <v>39716</v>
          </cell>
          <cell r="G133" t="str">
            <v>8409021QSHCG003</v>
          </cell>
          <cell r="H133" t="str">
            <v>AYTE. PERF.</v>
          </cell>
          <cell r="I133">
            <v>54.15</v>
          </cell>
          <cell r="J133" t="str">
            <v>NO</v>
          </cell>
          <cell r="K133">
            <v>0</v>
          </cell>
          <cell r="L133">
            <v>43256937</v>
          </cell>
          <cell r="M133">
            <v>49.33</v>
          </cell>
          <cell r="N133">
            <v>0</v>
          </cell>
          <cell r="O133" t="str">
            <v>609251GQHSC1</v>
          </cell>
          <cell r="P133">
            <v>30927</v>
          </cell>
          <cell r="Q133">
            <v>5</v>
          </cell>
          <cell r="R133">
            <v>0</v>
          </cell>
          <cell r="W133">
            <v>414324037166</v>
          </cell>
          <cell r="X133">
            <v>2.34</v>
          </cell>
          <cell r="Z133">
            <v>0</v>
          </cell>
        </row>
        <row r="134">
          <cell r="A134">
            <v>126</v>
          </cell>
          <cell r="B134" t="str">
            <v>QUISPE HUANCA CARLOS ANTONIO</v>
          </cell>
          <cell r="C134" t="str">
            <v>IN</v>
          </cell>
          <cell r="D134">
            <v>0.14680000000000001</v>
          </cell>
          <cell r="E134">
            <v>37953</v>
          </cell>
          <cell r="F134">
            <v>39716</v>
          </cell>
          <cell r="G134" t="str">
            <v>6705081QSHNC001</v>
          </cell>
          <cell r="H134" t="str">
            <v>PERFORISTA</v>
          </cell>
          <cell r="I134">
            <v>56.15</v>
          </cell>
          <cell r="J134" t="str">
            <v>SI</v>
          </cell>
          <cell r="K134">
            <v>1.8333333333333333</v>
          </cell>
          <cell r="L134" t="str">
            <v>09556207</v>
          </cell>
          <cell r="M134">
            <v>35</v>
          </cell>
          <cell r="N134">
            <v>0</v>
          </cell>
          <cell r="O134" t="str">
            <v>245981CQHSN7</v>
          </cell>
          <cell r="P134">
            <v>24600</v>
          </cell>
          <cell r="Q134">
            <v>5</v>
          </cell>
          <cell r="R134">
            <v>0</v>
          </cell>
          <cell r="W134" t="str">
            <v>0414324011663</v>
          </cell>
          <cell r="X134">
            <v>54.14</v>
          </cell>
          <cell r="Z134">
            <v>0</v>
          </cell>
          <cell r="AC134" t="str">
            <v>CASADO</v>
          </cell>
          <cell r="AD134" t="str">
            <v>LIMA</v>
          </cell>
        </row>
        <row r="135">
          <cell r="A135">
            <v>127</v>
          </cell>
          <cell r="B135" t="str">
            <v>QUISPE HUILLCAS PABLO</v>
          </cell>
          <cell r="C135" t="str">
            <v>IN</v>
          </cell>
          <cell r="D135">
            <v>0.14680000000000001</v>
          </cell>
          <cell r="E135">
            <v>35434</v>
          </cell>
          <cell r="F135">
            <v>39716</v>
          </cell>
          <cell r="G135" t="str">
            <v>7002011QSHLP001</v>
          </cell>
          <cell r="H135" t="str">
            <v>PERFORISTA</v>
          </cell>
          <cell r="I135">
            <v>56.15</v>
          </cell>
          <cell r="J135" t="str">
            <v>SI</v>
          </cell>
          <cell r="K135">
            <v>1.8333333333333333</v>
          </cell>
          <cell r="L135">
            <v>23465681</v>
          </cell>
          <cell r="N135">
            <v>0</v>
          </cell>
          <cell r="O135" t="str">
            <v>255981PQHSL3</v>
          </cell>
          <cell r="P135">
            <v>25873</v>
          </cell>
          <cell r="Q135">
            <v>5</v>
          </cell>
          <cell r="R135">
            <v>0</v>
          </cell>
          <cell r="W135" t="str">
            <v>0414324011671</v>
          </cell>
          <cell r="X135">
            <v>16.170000000000002</v>
          </cell>
          <cell r="Z135">
            <v>0</v>
          </cell>
          <cell r="AC135" t="str">
            <v>CASADO</v>
          </cell>
        </row>
        <row r="136">
          <cell r="A136">
            <v>128</v>
          </cell>
          <cell r="B136" t="str">
            <v>QUISPE HUINCHO MAXIMO</v>
          </cell>
          <cell r="C136" t="str">
            <v>PF</v>
          </cell>
          <cell r="D136">
            <v>0.14879999999999999</v>
          </cell>
          <cell r="E136">
            <v>37454</v>
          </cell>
          <cell r="F136">
            <v>39716</v>
          </cell>
          <cell r="G136" t="str">
            <v>7701151QSHNM003</v>
          </cell>
          <cell r="H136" t="str">
            <v>PERFORISTA</v>
          </cell>
          <cell r="I136">
            <v>56.15</v>
          </cell>
          <cell r="J136" t="str">
            <v>SI</v>
          </cell>
          <cell r="K136">
            <v>1.8333333333333333</v>
          </cell>
          <cell r="L136">
            <v>80139152</v>
          </cell>
          <cell r="N136">
            <v>0</v>
          </cell>
          <cell r="O136" t="str">
            <v xml:space="preserve">581381MQHSN5 </v>
          </cell>
          <cell r="P136">
            <v>28140</v>
          </cell>
          <cell r="Q136">
            <v>5</v>
          </cell>
          <cell r="R136">
            <v>0</v>
          </cell>
          <cell r="W136" t="str">
            <v>0414324011698</v>
          </cell>
          <cell r="X136">
            <v>40.07</v>
          </cell>
          <cell r="Z136">
            <v>0</v>
          </cell>
          <cell r="AC136" t="str">
            <v>CASADO</v>
          </cell>
        </row>
        <row r="137">
          <cell r="A137">
            <v>129</v>
          </cell>
          <cell r="B137" t="str">
            <v>QUISPE PARIONA NICOLAS</v>
          </cell>
          <cell r="C137" t="str">
            <v>IN</v>
          </cell>
          <cell r="D137">
            <v>0.14680000000000001</v>
          </cell>
          <cell r="E137">
            <v>38667</v>
          </cell>
          <cell r="F137">
            <v>39716</v>
          </cell>
          <cell r="G137" t="str">
            <v>7310131QSPIN000</v>
          </cell>
          <cell r="H137" t="str">
            <v>PERFORISTA</v>
          </cell>
          <cell r="I137">
            <v>56.15</v>
          </cell>
          <cell r="J137" t="str">
            <v>SI</v>
          </cell>
          <cell r="K137">
            <v>1.8333333333333333</v>
          </cell>
          <cell r="L137">
            <v>20121238</v>
          </cell>
          <cell r="M137">
            <v>36</v>
          </cell>
          <cell r="N137">
            <v>0</v>
          </cell>
          <cell r="O137" t="str">
            <v xml:space="preserve">569481NQPSI1 </v>
          </cell>
          <cell r="P137">
            <v>26950</v>
          </cell>
          <cell r="Q137">
            <v>5</v>
          </cell>
          <cell r="R137">
            <v>0</v>
          </cell>
          <cell r="W137" t="str">
            <v>0414324026342</v>
          </cell>
          <cell r="X137">
            <v>1.55</v>
          </cell>
          <cell r="Z137">
            <v>0</v>
          </cell>
          <cell r="AC137" t="str">
            <v>CONVIVIENTE</v>
          </cell>
          <cell r="AE137">
            <v>7</v>
          </cell>
        </row>
        <row r="138">
          <cell r="A138">
            <v>130</v>
          </cell>
          <cell r="B138" t="str">
            <v>QUISPE ROQUE MARIO</v>
          </cell>
          <cell r="C138" t="str">
            <v>PR</v>
          </cell>
          <cell r="D138">
            <v>0.14369999999999999</v>
          </cell>
          <cell r="E138">
            <v>38266</v>
          </cell>
          <cell r="F138">
            <v>39716</v>
          </cell>
          <cell r="G138" t="str">
            <v>7301181QSRUM006</v>
          </cell>
          <cell r="H138" t="str">
            <v>PERFORISTA</v>
          </cell>
          <cell r="I138">
            <v>56.15</v>
          </cell>
          <cell r="J138" t="str">
            <v>SI</v>
          </cell>
          <cell r="K138">
            <v>1.8333333333333333</v>
          </cell>
          <cell r="L138">
            <v>29670219</v>
          </cell>
          <cell r="M138">
            <v>35</v>
          </cell>
          <cell r="N138">
            <v>0</v>
          </cell>
          <cell r="O138" t="str">
            <v xml:space="preserve">566801MQRSU4 </v>
          </cell>
          <cell r="P138">
            <v>26682</v>
          </cell>
          <cell r="Q138">
            <v>5</v>
          </cell>
          <cell r="R138">
            <v>0</v>
          </cell>
          <cell r="W138" t="str">
            <v>04-324-04677</v>
          </cell>
          <cell r="X138">
            <v>18.54</v>
          </cell>
          <cell r="Z138">
            <v>0</v>
          </cell>
          <cell r="AC138" t="str">
            <v>CASADO</v>
          </cell>
          <cell r="AD138" t="str">
            <v>PUNO</v>
          </cell>
          <cell r="AE138">
            <v>8</v>
          </cell>
        </row>
        <row r="139">
          <cell r="A139">
            <v>131</v>
          </cell>
          <cell r="B139" t="str">
            <v>QUISPE TORRES MELITON</v>
          </cell>
          <cell r="C139" t="str">
            <v>PR</v>
          </cell>
          <cell r="D139">
            <v>0.14369999999999999</v>
          </cell>
          <cell r="E139">
            <v>37860</v>
          </cell>
          <cell r="F139">
            <v>39716</v>
          </cell>
          <cell r="G139" t="str">
            <v>6603201STRM004</v>
          </cell>
          <cell r="H139" t="str">
            <v>PERFORISTA</v>
          </cell>
          <cell r="I139">
            <v>56.15</v>
          </cell>
          <cell r="J139" t="str">
            <v>SI</v>
          </cell>
          <cell r="K139">
            <v>1.8333333333333333</v>
          </cell>
          <cell r="L139">
            <v>23445184</v>
          </cell>
          <cell r="M139">
            <v>35</v>
          </cell>
          <cell r="N139">
            <v>0</v>
          </cell>
          <cell r="O139" t="str">
            <v>241841MQTSR0</v>
          </cell>
          <cell r="P139">
            <v>24186</v>
          </cell>
          <cell r="Q139">
            <v>5</v>
          </cell>
          <cell r="R139">
            <v>0</v>
          </cell>
          <cell r="W139" t="str">
            <v>0414324012228</v>
          </cell>
          <cell r="X139">
            <v>46.19</v>
          </cell>
          <cell r="Z139">
            <v>0</v>
          </cell>
          <cell r="AC139" t="str">
            <v>CASADO</v>
          </cell>
          <cell r="AE139">
            <v>16</v>
          </cell>
        </row>
        <row r="140">
          <cell r="A140">
            <v>132</v>
          </cell>
          <cell r="B140" t="str">
            <v>RIVERA NATO EDWIN OSCAR</v>
          </cell>
          <cell r="C140" t="str">
            <v>PR</v>
          </cell>
          <cell r="D140">
            <v>0.14369999999999999</v>
          </cell>
          <cell r="E140">
            <v>39639</v>
          </cell>
          <cell r="F140">
            <v>39716</v>
          </cell>
          <cell r="G140" t="str">
            <v>7404081RENOE00</v>
          </cell>
          <cell r="H140" t="str">
            <v>PERFORISTA</v>
          </cell>
          <cell r="I140">
            <v>54.15</v>
          </cell>
          <cell r="J140" t="str">
            <v>NO</v>
          </cell>
          <cell r="K140">
            <v>0</v>
          </cell>
          <cell r="L140">
            <v>15216921</v>
          </cell>
          <cell r="N140">
            <v>0</v>
          </cell>
          <cell r="P140">
            <v>27127</v>
          </cell>
          <cell r="Q140">
            <v>5</v>
          </cell>
          <cell r="R140">
            <v>0</v>
          </cell>
          <cell r="Z140">
            <v>0</v>
          </cell>
          <cell r="AC140" t="str">
            <v>SOLTERO</v>
          </cell>
          <cell r="AD140" t="str">
            <v>OYON</v>
          </cell>
          <cell r="AE140">
            <v>2</v>
          </cell>
        </row>
        <row r="141">
          <cell r="A141">
            <v>133</v>
          </cell>
          <cell r="B141" t="str">
            <v>RIVERA NATO GERAMIAS ROLANDO</v>
          </cell>
          <cell r="C141" t="str">
            <v>ONP</v>
          </cell>
          <cell r="D141">
            <v>0.13</v>
          </cell>
          <cell r="E141">
            <v>38817</v>
          </cell>
          <cell r="F141">
            <v>39716</v>
          </cell>
          <cell r="G141" t="str">
            <v>8305281RENOG006</v>
          </cell>
          <cell r="H141" t="str">
            <v>AYTE. PERF.</v>
          </cell>
          <cell r="I141">
            <v>54.15</v>
          </cell>
          <cell r="J141" t="str">
            <v>SI</v>
          </cell>
          <cell r="K141">
            <v>1.8333333333333333</v>
          </cell>
          <cell r="L141">
            <v>41878102</v>
          </cell>
          <cell r="M141">
            <v>32</v>
          </cell>
          <cell r="N141">
            <v>0</v>
          </cell>
          <cell r="O141" t="str">
            <v>ONP</v>
          </cell>
          <cell r="P141">
            <v>30464</v>
          </cell>
          <cell r="Q141">
            <v>5</v>
          </cell>
          <cell r="R141">
            <v>0</v>
          </cell>
          <cell r="W141" t="str">
            <v>0414324028884</v>
          </cell>
          <cell r="X141">
            <v>24.03</v>
          </cell>
          <cell r="Z141">
            <v>0</v>
          </cell>
          <cell r="AC141" t="str">
            <v>SOLTERO</v>
          </cell>
          <cell r="AD141" t="str">
            <v>OYON</v>
          </cell>
        </row>
        <row r="142">
          <cell r="A142">
            <v>134</v>
          </cell>
          <cell r="B142" t="str">
            <v>ROBLES ATENCIO SILVER KANE</v>
          </cell>
          <cell r="C142" t="str">
            <v>IN</v>
          </cell>
          <cell r="D142">
            <v>0.14680000000000001</v>
          </cell>
          <cell r="E142">
            <v>38864</v>
          </cell>
          <cell r="F142">
            <v>39716</v>
          </cell>
          <cell r="G142" t="str">
            <v>8312121RLANS001</v>
          </cell>
          <cell r="H142" t="str">
            <v>AYTE. PERF.</v>
          </cell>
          <cell r="I142">
            <v>54.15</v>
          </cell>
          <cell r="J142" t="str">
            <v>SI</v>
          </cell>
          <cell r="K142">
            <v>1.8333333333333333</v>
          </cell>
          <cell r="L142">
            <v>42179140</v>
          </cell>
          <cell r="M142">
            <v>35</v>
          </cell>
          <cell r="N142">
            <v>0</v>
          </cell>
          <cell r="O142" t="str">
            <v>606601SRALN2</v>
          </cell>
          <cell r="P142">
            <v>30662</v>
          </cell>
          <cell r="Q142">
            <v>5</v>
          </cell>
          <cell r="R142">
            <v>0</v>
          </cell>
          <cell r="W142" t="str">
            <v>0414324030560</v>
          </cell>
          <cell r="X142">
            <v>36.159999999999997</v>
          </cell>
          <cell r="Z142">
            <v>0</v>
          </cell>
          <cell r="AC142" t="str">
            <v>CASADO</v>
          </cell>
          <cell r="AD142" t="str">
            <v>PASCO</v>
          </cell>
          <cell r="AE142">
            <v>1</v>
          </cell>
        </row>
        <row r="143">
          <cell r="A143">
            <v>135</v>
          </cell>
          <cell r="B143" t="str">
            <v>RODRIGUEZ TAPIA FLORENCIO</v>
          </cell>
          <cell r="C143" t="str">
            <v>ONP</v>
          </cell>
          <cell r="D143">
            <v>0.13</v>
          </cell>
          <cell r="E143">
            <v>37953</v>
          </cell>
          <cell r="F143">
            <v>39716</v>
          </cell>
          <cell r="G143" t="str">
            <v>6001031RRTIF005</v>
          </cell>
          <cell r="H143" t="str">
            <v>CAPATAZ OBRAS CIVILES</v>
          </cell>
          <cell r="I143">
            <v>61.05</v>
          </cell>
          <cell r="J143" t="str">
            <v>SI</v>
          </cell>
          <cell r="K143">
            <v>1.8333333333333333</v>
          </cell>
          <cell r="L143" t="str">
            <v>04202372</v>
          </cell>
          <cell r="M143">
            <v>49</v>
          </cell>
          <cell r="N143">
            <v>0</v>
          </cell>
          <cell r="O143" t="str">
            <v>ONP</v>
          </cell>
          <cell r="P143">
            <v>21918</v>
          </cell>
          <cell r="Q143">
            <v>5</v>
          </cell>
          <cell r="R143">
            <v>0</v>
          </cell>
          <cell r="W143" t="str">
            <v>0414324011744</v>
          </cell>
          <cell r="X143">
            <v>89.89</v>
          </cell>
          <cell r="Z143">
            <v>0</v>
          </cell>
          <cell r="AC143" t="str">
            <v>CASADO</v>
          </cell>
          <cell r="AD143" t="str">
            <v>PASCO</v>
          </cell>
          <cell r="AE143">
            <v>23</v>
          </cell>
        </row>
        <row r="144">
          <cell r="A144">
            <v>136</v>
          </cell>
          <cell r="B144" t="str">
            <v>ROMANI ICHPAS VICTOR</v>
          </cell>
          <cell r="C144" t="str">
            <v>HR</v>
          </cell>
          <cell r="D144">
            <v>0.14829999999999999</v>
          </cell>
          <cell r="E144">
            <v>39648</v>
          </cell>
          <cell r="F144">
            <v>39716</v>
          </cell>
          <cell r="G144" t="str">
            <v>6808181RAIPV00</v>
          </cell>
          <cell r="H144" t="str">
            <v>PERFORISTA</v>
          </cell>
          <cell r="I144">
            <v>54.15</v>
          </cell>
          <cell r="J144" t="str">
            <v>NO</v>
          </cell>
          <cell r="K144">
            <v>0</v>
          </cell>
          <cell r="L144">
            <v>23464697</v>
          </cell>
          <cell r="N144">
            <v>0</v>
          </cell>
          <cell r="P144">
            <v>25068</v>
          </cell>
          <cell r="Q144">
            <v>0</v>
          </cell>
          <cell r="R144">
            <v>0</v>
          </cell>
          <cell r="W144" t="str">
            <v>04-322-012344</v>
          </cell>
          <cell r="Z144">
            <v>0</v>
          </cell>
          <cell r="AC144" t="str">
            <v>CASADO</v>
          </cell>
          <cell r="AD144" t="str">
            <v>LIRCAY</v>
          </cell>
          <cell r="AE144">
            <v>6</v>
          </cell>
        </row>
        <row r="145">
          <cell r="A145">
            <v>137</v>
          </cell>
          <cell r="B145" t="str">
            <v>ROSALES FERNANDEZ WILVER GUZMAN</v>
          </cell>
          <cell r="C145" t="str">
            <v>PR</v>
          </cell>
          <cell r="D145">
            <v>0.14369999999999999</v>
          </cell>
          <cell r="E145">
            <v>38817</v>
          </cell>
          <cell r="F145">
            <v>39716</v>
          </cell>
          <cell r="G145" t="str">
            <v>6608081RAFNW009</v>
          </cell>
          <cell r="H145" t="str">
            <v>PERFORISTA</v>
          </cell>
          <cell r="I145">
            <v>56.15</v>
          </cell>
          <cell r="J145" t="str">
            <v>SI</v>
          </cell>
          <cell r="K145">
            <v>1.8333333333333333</v>
          </cell>
          <cell r="L145">
            <v>15212756</v>
          </cell>
          <cell r="N145">
            <v>0</v>
          </cell>
          <cell r="O145" t="str">
            <v>543251WRFAN2</v>
          </cell>
          <cell r="P145">
            <v>24327</v>
          </cell>
          <cell r="Q145">
            <v>5</v>
          </cell>
          <cell r="R145">
            <v>0</v>
          </cell>
          <cell r="W145" t="str">
            <v>0414324028914</v>
          </cell>
          <cell r="X145">
            <v>39.1</v>
          </cell>
          <cell r="Z145">
            <v>0</v>
          </cell>
          <cell r="AC145" t="str">
            <v>CASADO</v>
          </cell>
          <cell r="AD145" t="str">
            <v>OYON</v>
          </cell>
        </row>
        <row r="146">
          <cell r="A146">
            <v>138</v>
          </cell>
          <cell r="B146" t="str">
            <v>RUA ESCOBAR FILIBERTO</v>
          </cell>
          <cell r="C146" t="str">
            <v>PR</v>
          </cell>
          <cell r="D146">
            <v>0.14369999999999999</v>
          </cell>
          <cell r="E146">
            <v>36292</v>
          </cell>
          <cell r="F146">
            <v>39716</v>
          </cell>
          <cell r="G146" t="str">
            <v>7507021RAEOF004</v>
          </cell>
          <cell r="H146" t="str">
            <v>PERFORISTA</v>
          </cell>
          <cell r="I146">
            <v>56.15</v>
          </cell>
          <cell r="J146" t="str">
            <v>SI</v>
          </cell>
          <cell r="K146">
            <v>1.8333333333333333</v>
          </cell>
          <cell r="L146">
            <v>23463540</v>
          </cell>
          <cell r="M146">
            <v>36</v>
          </cell>
          <cell r="N146">
            <v>0</v>
          </cell>
          <cell r="O146" t="str">
            <v>575751FREAO7</v>
          </cell>
          <cell r="P146">
            <v>27577</v>
          </cell>
          <cell r="Q146">
            <v>5</v>
          </cell>
          <cell r="R146">
            <v>0</v>
          </cell>
          <cell r="W146" t="str">
            <v>0414324011779</v>
          </cell>
          <cell r="X146">
            <v>73.62</v>
          </cell>
          <cell r="Z146">
            <v>0</v>
          </cell>
          <cell r="AC146" t="str">
            <v>CONVIVIENTE</v>
          </cell>
          <cell r="AD146" t="str">
            <v>HUANCAVELICA</v>
          </cell>
        </row>
        <row r="147">
          <cell r="A147">
            <v>139</v>
          </cell>
          <cell r="B147" t="str">
            <v>RUEDA MANDUJANO AURELIO</v>
          </cell>
          <cell r="C147" t="str">
            <v>ONP</v>
          </cell>
          <cell r="D147">
            <v>0.13</v>
          </cell>
          <cell r="E147">
            <v>38100</v>
          </cell>
          <cell r="F147">
            <v>39716</v>
          </cell>
          <cell r="G147" t="str">
            <v>5907271RDMDA000</v>
          </cell>
          <cell r="H147" t="str">
            <v>AYTE. PERF.</v>
          </cell>
          <cell r="I147">
            <v>54.15</v>
          </cell>
          <cell r="J147" t="str">
            <v>SI</v>
          </cell>
          <cell r="K147">
            <v>1.8333333333333333</v>
          </cell>
          <cell r="L147" t="str">
            <v>04201573</v>
          </cell>
          <cell r="N147">
            <v>0</v>
          </cell>
          <cell r="O147" t="str">
            <v>ONP</v>
          </cell>
          <cell r="P147">
            <v>21758</v>
          </cell>
          <cell r="Q147">
            <v>5</v>
          </cell>
          <cell r="R147">
            <v>0</v>
          </cell>
          <cell r="W147" t="str">
            <v>0414324011787</v>
          </cell>
          <cell r="X147">
            <v>11.93</v>
          </cell>
          <cell r="Z147">
            <v>0</v>
          </cell>
          <cell r="AC147" t="str">
            <v>CASADO</v>
          </cell>
          <cell r="AD147" t="str">
            <v>OYON</v>
          </cell>
        </row>
        <row r="148">
          <cell r="A148">
            <v>140</v>
          </cell>
          <cell r="B148" t="str">
            <v>SALVATIERRA QUISPE CIRILO</v>
          </cell>
          <cell r="C148" t="str">
            <v>PF</v>
          </cell>
          <cell r="D148">
            <v>0.14879999999999999</v>
          </cell>
          <cell r="E148">
            <v>38743</v>
          </cell>
          <cell r="F148">
            <v>39716</v>
          </cell>
          <cell r="G148" t="str">
            <v>7903121SVQSC009</v>
          </cell>
          <cell r="H148" t="str">
            <v>PERFORISTA</v>
          </cell>
          <cell r="I148">
            <v>56.15</v>
          </cell>
          <cell r="J148" t="str">
            <v>SI</v>
          </cell>
          <cell r="K148">
            <v>1.8333333333333333</v>
          </cell>
          <cell r="L148">
            <v>40278230</v>
          </cell>
          <cell r="M148">
            <v>49</v>
          </cell>
          <cell r="N148">
            <v>0</v>
          </cell>
          <cell r="O148" t="str">
            <v>589241CSQVS0</v>
          </cell>
          <cell r="P148">
            <v>28926</v>
          </cell>
          <cell r="Q148">
            <v>5</v>
          </cell>
          <cell r="R148">
            <v>0</v>
          </cell>
          <cell r="W148" t="str">
            <v>0414324027543</v>
          </cell>
          <cell r="X148">
            <v>27.78</v>
          </cell>
          <cell r="Z148">
            <v>0</v>
          </cell>
          <cell r="AC148" t="str">
            <v>CASADO</v>
          </cell>
          <cell r="AD148" t="str">
            <v>OYON</v>
          </cell>
        </row>
        <row r="149">
          <cell r="A149">
            <v>141</v>
          </cell>
          <cell r="B149" t="str">
            <v>SANTAMARIA PEÑA RODOLFO</v>
          </cell>
          <cell r="C149" t="str">
            <v>IN</v>
          </cell>
          <cell r="D149">
            <v>0.14680000000000001</v>
          </cell>
          <cell r="E149">
            <v>38201</v>
          </cell>
          <cell r="F149">
            <v>39716</v>
          </cell>
          <cell r="G149" t="str">
            <v>8001051STPAR009</v>
          </cell>
          <cell r="H149" t="str">
            <v>PERFORISTA</v>
          </cell>
          <cell r="I149">
            <v>56.15</v>
          </cell>
          <cell r="J149" t="str">
            <v>SI</v>
          </cell>
          <cell r="K149">
            <v>1.8333333333333333</v>
          </cell>
          <cell r="L149">
            <v>40651034</v>
          </cell>
          <cell r="N149">
            <v>0</v>
          </cell>
          <cell r="O149" t="str">
            <v>592231RSPTA6</v>
          </cell>
          <cell r="P149">
            <v>29225</v>
          </cell>
          <cell r="Q149">
            <v>5</v>
          </cell>
          <cell r="R149">
            <v>0</v>
          </cell>
          <cell r="W149" t="str">
            <v>0414324007232</v>
          </cell>
          <cell r="X149">
            <v>122.72</v>
          </cell>
          <cell r="Z149">
            <v>0</v>
          </cell>
          <cell r="AC149" t="str">
            <v>CONVIVIENTE</v>
          </cell>
          <cell r="AD149" t="str">
            <v>HUANUCO</v>
          </cell>
        </row>
        <row r="150">
          <cell r="A150">
            <v>142</v>
          </cell>
          <cell r="B150" t="str">
            <v xml:space="preserve">SANTIAGO AMBROSIO NARCISO </v>
          </cell>
          <cell r="C150" t="str">
            <v>PR</v>
          </cell>
          <cell r="D150">
            <v>0.14369999999999999</v>
          </cell>
          <cell r="E150">
            <v>39674</v>
          </cell>
          <cell r="F150">
            <v>39716</v>
          </cell>
          <cell r="H150" t="str">
            <v>PERFORISTA</v>
          </cell>
          <cell r="I150">
            <v>54.15</v>
          </cell>
          <cell r="J150" t="str">
            <v>NO</v>
          </cell>
          <cell r="K150">
            <v>0</v>
          </cell>
          <cell r="L150">
            <v>22753203</v>
          </cell>
          <cell r="N150">
            <v>0</v>
          </cell>
          <cell r="P150">
            <v>25507</v>
          </cell>
          <cell r="Q150">
            <v>0</v>
          </cell>
          <cell r="R150">
            <v>0</v>
          </cell>
          <cell r="W150" t="str">
            <v>04-324-002478</v>
          </cell>
          <cell r="AC150" t="str">
            <v>CONVIVIENTE</v>
          </cell>
          <cell r="AD150" t="str">
            <v>OYON</v>
          </cell>
          <cell r="AE150">
            <v>6</v>
          </cell>
        </row>
        <row r="151">
          <cell r="A151">
            <v>143</v>
          </cell>
          <cell r="B151" t="str">
            <v>SARMIENTO HUILLCAS HUGO</v>
          </cell>
          <cell r="C151" t="str">
            <v>IN</v>
          </cell>
          <cell r="D151">
            <v>0.14680000000000001</v>
          </cell>
          <cell r="E151">
            <v>38541</v>
          </cell>
          <cell r="F151">
            <v>39716</v>
          </cell>
          <cell r="G151" t="str">
            <v>7711131SMHLH006</v>
          </cell>
          <cell r="H151" t="str">
            <v>PERFORISTA</v>
          </cell>
          <cell r="I151">
            <v>56.15</v>
          </cell>
          <cell r="J151" t="str">
            <v>SI</v>
          </cell>
          <cell r="K151">
            <v>1.8333333333333333</v>
          </cell>
          <cell r="L151">
            <v>10603884</v>
          </cell>
          <cell r="M151">
            <v>51</v>
          </cell>
          <cell r="N151">
            <v>0</v>
          </cell>
          <cell r="O151" t="str">
            <v>584401HSHML4</v>
          </cell>
          <cell r="P151">
            <v>28442</v>
          </cell>
          <cell r="Q151">
            <v>5</v>
          </cell>
          <cell r="R151">
            <v>0</v>
          </cell>
          <cell r="W151" t="str">
            <v>0414324023521</v>
          </cell>
          <cell r="X151">
            <v>14.88</v>
          </cell>
          <cell r="Z151">
            <v>0</v>
          </cell>
        </row>
        <row r="152">
          <cell r="A152">
            <v>144</v>
          </cell>
          <cell r="B152" t="str">
            <v>TAIPE RAMOS CIRILO</v>
          </cell>
          <cell r="C152" t="str">
            <v>PF</v>
          </cell>
          <cell r="D152">
            <v>0.14879999999999999</v>
          </cell>
          <cell r="E152">
            <v>38418</v>
          </cell>
          <cell r="F152">
            <v>39716</v>
          </cell>
          <cell r="G152" t="str">
            <v>6301271TPROC007</v>
          </cell>
          <cell r="H152" t="str">
            <v>PERFORISTA</v>
          </cell>
          <cell r="I152">
            <v>56.15</v>
          </cell>
          <cell r="J152" t="str">
            <v>SI</v>
          </cell>
          <cell r="K152">
            <v>1.8333333333333333</v>
          </cell>
          <cell r="L152">
            <v>23459771</v>
          </cell>
          <cell r="N152">
            <v>0</v>
          </cell>
          <cell r="O152" t="str">
            <v>230361CTRPO5</v>
          </cell>
          <cell r="P152">
            <v>23038</v>
          </cell>
          <cell r="Q152">
            <v>5</v>
          </cell>
          <cell r="R152">
            <v>0</v>
          </cell>
          <cell r="W152" t="str">
            <v>04-324-042283</v>
          </cell>
          <cell r="X152">
            <v>54.48</v>
          </cell>
          <cell r="Z152">
            <v>0</v>
          </cell>
          <cell r="AC152" t="str">
            <v>CASADO</v>
          </cell>
        </row>
        <row r="153">
          <cell r="A153">
            <v>145</v>
          </cell>
          <cell r="B153" t="str">
            <v xml:space="preserve">TAYPE VASQUEZ HECTOR </v>
          </cell>
          <cell r="C153" t="str">
            <v>PF</v>
          </cell>
          <cell r="D153">
            <v>0.14879999999999999</v>
          </cell>
          <cell r="E153">
            <v>38881</v>
          </cell>
          <cell r="F153">
            <v>39716</v>
          </cell>
          <cell r="G153" t="str">
            <v>7904151TPVQH005</v>
          </cell>
          <cell r="H153" t="str">
            <v>OP. SCOOP</v>
          </cell>
          <cell r="I153">
            <v>59.65</v>
          </cell>
          <cell r="J153" t="str">
            <v>SI</v>
          </cell>
          <cell r="K153">
            <v>1.8333333333333333</v>
          </cell>
          <cell r="L153">
            <v>40218755</v>
          </cell>
          <cell r="N153">
            <v>0</v>
          </cell>
          <cell r="O153" t="str">
            <v>589581HTVPQ4</v>
          </cell>
          <cell r="P153">
            <v>28960</v>
          </cell>
          <cell r="Q153">
            <v>5</v>
          </cell>
          <cell r="R153">
            <v>0</v>
          </cell>
          <cell r="W153" t="str">
            <v>0414324004470</v>
          </cell>
          <cell r="X153">
            <v>14.59</v>
          </cell>
          <cell r="Z153">
            <v>0</v>
          </cell>
          <cell r="AC153" t="str">
            <v>CASADO</v>
          </cell>
        </row>
        <row r="154">
          <cell r="A154">
            <v>146</v>
          </cell>
          <cell r="B154" t="str">
            <v>TELLO ALVINO EDWIN WUALTER</v>
          </cell>
          <cell r="C154" t="str">
            <v>PF</v>
          </cell>
          <cell r="D154">
            <v>0.14879999999999999</v>
          </cell>
          <cell r="E154">
            <v>39356</v>
          </cell>
          <cell r="F154">
            <v>39716</v>
          </cell>
          <cell r="G154" t="str">
            <v>7706181TLAIE00</v>
          </cell>
          <cell r="H154" t="str">
            <v>AYTE. PERF.</v>
          </cell>
          <cell r="I154">
            <v>54.15</v>
          </cell>
          <cell r="J154" t="str">
            <v>NO</v>
          </cell>
          <cell r="K154">
            <v>0</v>
          </cell>
          <cell r="L154">
            <v>10763071</v>
          </cell>
          <cell r="N154">
            <v>0</v>
          </cell>
          <cell r="P154">
            <v>28294</v>
          </cell>
          <cell r="Q154">
            <v>5</v>
          </cell>
          <cell r="R154">
            <v>0</v>
          </cell>
          <cell r="W154" t="str">
            <v>04-324-020476</v>
          </cell>
          <cell r="X154">
            <v>-20.3</v>
          </cell>
          <cell r="Z154">
            <v>0</v>
          </cell>
          <cell r="AC154" t="str">
            <v>SOLTERO</v>
          </cell>
          <cell r="AD154" t="str">
            <v>OYON</v>
          </cell>
        </row>
        <row r="155">
          <cell r="A155">
            <v>147</v>
          </cell>
          <cell r="B155" t="str">
            <v>TORIBIO LOPEZ BERNABE FELIX</v>
          </cell>
          <cell r="C155" t="str">
            <v>HR</v>
          </cell>
          <cell r="D155">
            <v>0.14829999999999999</v>
          </cell>
          <cell r="E155">
            <v>39150</v>
          </cell>
          <cell r="F155">
            <v>39716</v>
          </cell>
          <cell r="G155" t="str">
            <v>6006111TILEB008</v>
          </cell>
          <cell r="H155" t="str">
            <v>AYTE. PERF.</v>
          </cell>
          <cell r="I155">
            <v>54.15</v>
          </cell>
          <cell r="J155" t="str">
            <v>SI</v>
          </cell>
          <cell r="K155">
            <v>1.8333333333333333</v>
          </cell>
          <cell r="L155" t="str">
            <v>08472639</v>
          </cell>
          <cell r="N155">
            <v>0</v>
          </cell>
          <cell r="O155" t="str">
            <v>220761BTLIE7</v>
          </cell>
          <cell r="P155">
            <v>22078</v>
          </cell>
          <cell r="Q155">
            <v>5</v>
          </cell>
          <cell r="R155">
            <v>0</v>
          </cell>
          <cell r="W155" t="str">
            <v>04-321-105462</v>
          </cell>
          <cell r="X155">
            <v>22.86</v>
          </cell>
          <cell r="Z155">
            <v>0</v>
          </cell>
        </row>
        <row r="156">
          <cell r="A156">
            <v>148</v>
          </cell>
          <cell r="B156" t="str">
            <v xml:space="preserve">TORRES ROJAS ADRIAN </v>
          </cell>
          <cell r="C156" t="str">
            <v>IN</v>
          </cell>
          <cell r="D156">
            <v>0.14680000000000001</v>
          </cell>
          <cell r="E156">
            <v>37879</v>
          </cell>
          <cell r="F156">
            <v>39716</v>
          </cell>
          <cell r="G156" t="str">
            <v>6804131TRRAA004</v>
          </cell>
          <cell r="H156" t="str">
            <v>PERFORISTA</v>
          </cell>
          <cell r="I156">
            <v>56.15</v>
          </cell>
          <cell r="J156" t="str">
            <v>SI</v>
          </cell>
          <cell r="K156">
            <v>1.8333333333333333</v>
          </cell>
          <cell r="L156">
            <v>23464689</v>
          </cell>
          <cell r="N156">
            <v>0</v>
          </cell>
          <cell r="O156" t="str">
            <v>549391ATRRA4</v>
          </cell>
          <cell r="P156">
            <v>24941</v>
          </cell>
          <cell r="Q156">
            <v>5</v>
          </cell>
          <cell r="R156">
            <v>0</v>
          </cell>
          <cell r="W156" t="str">
            <v>0414324011884</v>
          </cell>
          <cell r="X156">
            <v>19.100000000000001</v>
          </cell>
          <cell r="Z156">
            <v>0</v>
          </cell>
          <cell r="AC156" t="str">
            <v>CASADO</v>
          </cell>
          <cell r="AD156" t="str">
            <v>OYON</v>
          </cell>
          <cell r="AE156">
            <v>9</v>
          </cell>
        </row>
        <row r="157">
          <cell r="A157">
            <v>149</v>
          </cell>
          <cell r="B157" t="str">
            <v>TORRES ROJAS FELICIANO</v>
          </cell>
          <cell r="C157" t="str">
            <v>IN</v>
          </cell>
          <cell r="D157">
            <v>0.14680000000000001</v>
          </cell>
          <cell r="E157">
            <v>37953</v>
          </cell>
          <cell r="F157">
            <v>39716</v>
          </cell>
          <cell r="G157" t="str">
            <v>6102011TRRAF002</v>
          </cell>
          <cell r="H157" t="str">
            <v>PERFORISTA</v>
          </cell>
          <cell r="I157">
            <v>56.15</v>
          </cell>
          <cell r="J157" t="str">
            <v>SI</v>
          </cell>
          <cell r="K157">
            <v>1.8333333333333333</v>
          </cell>
          <cell r="L157">
            <v>23445597</v>
          </cell>
          <cell r="N157">
            <v>0</v>
          </cell>
          <cell r="O157" t="str">
            <v>223111FTRRA5</v>
          </cell>
          <cell r="P157">
            <v>22313</v>
          </cell>
          <cell r="Q157">
            <v>5</v>
          </cell>
          <cell r="R157">
            <v>0</v>
          </cell>
          <cell r="W157" t="str">
            <v>0414324011892</v>
          </cell>
          <cell r="X157">
            <v>31.33</v>
          </cell>
          <cell r="Z157">
            <v>0</v>
          </cell>
          <cell r="AC157" t="str">
            <v>CASADO</v>
          </cell>
        </row>
        <row r="158">
          <cell r="A158">
            <v>150</v>
          </cell>
          <cell r="B158" t="str">
            <v>TORRES VARGAS SAMUEL</v>
          </cell>
          <cell r="C158" t="str">
            <v>IN</v>
          </cell>
          <cell r="D158">
            <v>0.14680000000000001</v>
          </cell>
          <cell r="E158">
            <v>37907</v>
          </cell>
          <cell r="F158">
            <v>39716</v>
          </cell>
          <cell r="G158" t="str">
            <v>7605291TRVGS005</v>
          </cell>
          <cell r="H158" t="str">
            <v>PERFORISTA</v>
          </cell>
          <cell r="I158">
            <v>56.15</v>
          </cell>
          <cell r="J158" t="str">
            <v>SI</v>
          </cell>
          <cell r="K158">
            <v>1.8333333333333333</v>
          </cell>
          <cell r="L158">
            <v>23470343</v>
          </cell>
          <cell r="M158">
            <v>36</v>
          </cell>
          <cell r="N158">
            <v>0</v>
          </cell>
          <cell r="O158" t="str">
            <v>579071STVRG4</v>
          </cell>
          <cell r="P158">
            <v>27909</v>
          </cell>
          <cell r="Q158">
            <v>5</v>
          </cell>
          <cell r="R158">
            <v>0</v>
          </cell>
          <cell r="W158" t="str">
            <v>0414324011906</v>
          </cell>
          <cell r="X158">
            <v>18.07</v>
          </cell>
          <cell r="Z158">
            <v>0</v>
          </cell>
          <cell r="AC158" t="str">
            <v>CASADO</v>
          </cell>
        </row>
        <row r="159">
          <cell r="A159">
            <v>151</v>
          </cell>
          <cell r="B159" t="str">
            <v>TOVAR OCHOA RAUL</v>
          </cell>
          <cell r="C159" t="str">
            <v>PF</v>
          </cell>
          <cell r="D159">
            <v>0.14879999999999999</v>
          </cell>
          <cell r="E159">
            <v>38481</v>
          </cell>
          <cell r="F159">
            <v>39716</v>
          </cell>
          <cell r="G159" t="str">
            <v>8009301TAOOR003</v>
          </cell>
          <cell r="H159" t="str">
            <v>OP. SCOOP</v>
          </cell>
          <cell r="I159">
            <v>59.65</v>
          </cell>
          <cell r="J159" t="str">
            <v>SI</v>
          </cell>
          <cell r="K159">
            <v>1.8333333333333333</v>
          </cell>
          <cell r="L159">
            <v>40722842</v>
          </cell>
          <cell r="N159">
            <v>0</v>
          </cell>
          <cell r="O159" t="str">
            <v>594921RTOAO4</v>
          </cell>
          <cell r="P159">
            <v>29494</v>
          </cell>
          <cell r="Q159">
            <v>5</v>
          </cell>
          <cell r="R159">
            <v>0</v>
          </cell>
          <cell r="W159" t="str">
            <v>0414097103831</v>
          </cell>
          <cell r="X159">
            <v>50.66</v>
          </cell>
          <cell r="Z159">
            <v>0</v>
          </cell>
          <cell r="AC159" t="str">
            <v>CASADO</v>
          </cell>
        </row>
        <row r="160">
          <cell r="A160">
            <v>152</v>
          </cell>
          <cell r="B160" t="str">
            <v>TRAVEZAÑO BUSTILLOS LUCIO ENRIQUE</v>
          </cell>
          <cell r="C160" t="str">
            <v>IN</v>
          </cell>
          <cell r="D160">
            <v>0.14680000000000001</v>
          </cell>
          <cell r="E160">
            <v>37641</v>
          </cell>
          <cell r="F160">
            <v>39716</v>
          </cell>
          <cell r="G160" t="str">
            <v>7705221TVBTL000</v>
          </cell>
          <cell r="H160" t="str">
            <v>PERFORISTA</v>
          </cell>
          <cell r="I160">
            <v>56.15</v>
          </cell>
          <cell r="J160" t="str">
            <v>SI</v>
          </cell>
          <cell r="K160">
            <v>1.8333333333333333</v>
          </cell>
          <cell r="L160" t="str">
            <v>04083745</v>
          </cell>
          <cell r="M160">
            <v>36</v>
          </cell>
          <cell r="N160">
            <v>0.3</v>
          </cell>
          <cell r="O160" t="str">
            <v>582651LTBVT1</v>
          </cell>
          <cell r="P160">
            <v>28267</v>
          </cell>
          <cell r="Q160">
            <v>5</v>
          </cell>
          <cell r="R160">
            <v>0</v>
          </cell>
          <cell r="W160" t="str">
            <v>0414324011914</v>
          </cell>
          <cell r="X160">
            <v>62.76</v>
          </cell>
          <cell r="Z160">
            <v>0</v>
          </cell>
          <cell r="AC160" t="str">
            <v>CONVIVIENTE</v>
          </cell>
          <cell r="AD160" t="str">
            <v>PASCO</v>
          </cell>
        </row>
        <row r="161">
          <cell r="A161">
            <v>153</v>
          </cell>
          <cell r="B161" t="str">
            <v>TRUJILLO DIAZ GABRIEL RAMOS</v>
          </cell>
          <cell r="C161" t="str">
            <v>ONP</v>
          </cell>
          <cell r="D161">
            <v>0.13</v>
          </cell>
          <cell r="E161">
            <v>38937</v>
          </cell>
          <cell r="F161">
            <v>39716</v>
          </cell>
          <cell r="G161" t="str">
            <v>7303251TJDZG003</v>
          </cell>
          <cell r="H161" t="str">
            <v>PERFORISTA</v>
          </cell>
          <cell r="I161">
            <v>56.15</v>
          </cell>
          <cell r="J161" t="str">
            <v>NO</v>
          </cell>
          <cell r="K161">
            <v>0</v>
          </cell>
          <cell r="L161">
            <v>15217267</v>
          </cell>
          <cell r="M161">
            <v>51</v>
          </cell>
          <cell r="N161">
            <v>0</v>
          </cell>
          <cell r="O161" t="str">
            <v>ONP</v>
          </cell>
          <cell r="P161">
            <v>26748</v>
          </cell>
          <cell r="Q161">
            <v>5</v>
          </cell>
          <cell r="R161">
            <v>0</v>
          </cell>
          <cell r="W161" t="str">
            <v>0414324032598</v>
          </cell>
          <cell r="X161">
            <v>20.94</v>
          </cell>
          <cell r="Z161">
            <v>0</v>
          </cell>
          <cell r="AC161" t="str">
            <v>CASADO</v>
          </cell>
          <cell r="AD161" t="str">
            <v>OYON</v>
          </cell>
        </row>
        <row r="162">
          <cell r="A162">
            <v>154</v>
          </cell>
          <cell r="B162" t="str">
            <v>URBANO PALOMINO, SEVERO CIRIACO</v>
          </cell>
          <cell r="C162" t="str">
            <v>ONP</v>
          </cell>
          <cell r="D162">
            <v>0.13</v>
          </cell>
          <cell r="E162">
            <v>39263</v>
          </cell>
          <cell r="F162">
            <v>39716</v>
          </cell>
          <cell r="G162" t="str">
            <v>6708081VAPOS004</v>
          </cell>
          <cell r="H162" t="str">
            <v>AYTE. PERF.</v>
          </cell>
          <cell r="I162">
            <v>54.15</v>
          </cell>
          <cell r="J162" t="str">
            <v>SI</v>
          </cell>
          <cell r="K162">
            <v>1.8333333333333333</v>
          </cell>
          <cell r="L162" t="str">
            <v>09051703</v>
          </cell>
          <cell r="N162">
            <v>0</v>
          </cell>
          <cell r="P162">
            <v>24692</v>
          </cell>
          <cell r="Q162">
            <v>5</v>
          </cell>
          <cell r="R162">
            <v>0</v>
          </cell>
          <cell r="W162" t="str">
            <v>04324038618</v>
          </cell>
          <cell r="X162">
            <v>3.97</v>
          </cell>
          <cell r="Z162">
            <v>0</v>
          </cell>
          <cell r="AC162" t="str">
            <v>CASADO</v>
          </cell>
          <cell r="AD162" t="str">
            <v>OYON</v>
          </cell>
        </row>
        <row r="163">
          <cell r="A163">
            <v>155</v>
          </cell>
          <cell r="B163" t="str">
            <v>URBANO VILLON, HAIRZHINO RENATO</v>
          </cell>
          <cell r="C163" t="str">
            <v>PF</v>
          </cell>
          <cell r="D163">
            <v>0.14879999999999999</v>
          </cell>
          <cell r="E163">
            <v>39263</v>
          </cell>
          <cell r="F163">
            <v>39716</v>
          </cell>
          <cell r="G163" t="str">
            <v>8107261UAVLH008</v>
          </cell>
          <cell r="H163" t="str">
            <v>AYTE. PERF.</v>
          </cell>
          <cell r="I163">
            <v>54.15</v>
          </cell>
          <cell r="J163" t="str">
            <v>SI</v>
          </cell>
          <cell r="K163">
            <v>1.8333333333333333</v>
          </cell>
          <cell r="L163">
            <v>41332780</v>
          </cell>
          <cell r="M163">
            <v>40</v>
          </cell>
          <cell r="N163">
            <v>0</v>
          </cell>
          <cell r="O163" t="str">
            <v>597911HUVAL2</v>
          </cell>
          <cell r="P163">
            <v>29793</v>
          </cell>
          <cell r="Q163">
            <v>5</v>
          </cell>
          <cell r="R163">
            <v>0</v>
          </cell>
          <cell r="X163">
            <v>2.35</v>
          </cell>
          <cell r="Z163">
            <v>0</v>
          </cell>
          <cell r="AC163" t="str">
            <v>CONVIVIENTE</v>
          </cell>
          <cell r="AD163" t="str">
            <v>OYON</v>
          </cell>
        </row>
        <row r="164">
          <cell r="A164">
            <v>156</v>
          </cell>
          <cell r="B164" t="str">
            <v>VALENCIA VENTURA VICTOR</v>
          </cell>
          <cell r="C164" t="str">
            <v>IN</v>
          </cell>
          <cell r="D164">
            <v>0.14680000000000001</v>
          </cell>
          <cell r="E164">
            <v>39647</v>
          </cell>
          <cell r="F164">
            <v>39716</v>
          </cell>
          <cell r="G164" t="str">
            <v>7303161VEVTV00</v>
          </cell>
          <cell r="H164" t="str">
            <v>OPERADOR JUMBO</v>
          </cell>
          <cell r="I164">
            <v>56.15</v>
          </cell>
          <cell r="J164" t="str">
            <v>NO</v>
          </cell>
          <cell r="K164">
            <v>0</v>
          </cell>
          <cell r="L164">
            <v>21548354</v>
          </cell>
          <cell r="N164">
            <v>0</v>
          </cell>
          <cell r="P164">
            <v>26739</v>
          </cell>
          <cell r="Q164">
            <v>0</v>
          </cell>
          <cell r="R164">
            <v>0</v>
          </cell>
          <cell r="W164" t="str">
            <v>04-324-011949</v>
          </cell>
          <cell r="X164">
            <v>0</v>
          </cell>
          <cell r="Z164">
            <v>0</v>
          </cell>
          <cell r="AC164" t="str">
            <v>CASADO</v>
          </cell>
          <cell r="AD164" t="str">
            <v>ICA</v>
          </cell>
          <cell r="AE164">
            <v>10</v>
          </cell>
        </row>
        <row r="165">
          <cell r="A165">
            <v>157</v>
          </cell>
          <cell r="B165" t="str">
            <v>VARGAS APARCO FLAVIO</v>
          </cell>
          <cell r="C165" t="str">
            <v>ONP</v>
          </cell>
          <cell r="D165">
            <v>0.13</v>
          </cell>
          <cell r="E165">
            <v>35596</v>
          </cell>
          <cell r="F165">
            <v>39716</v>
          </cell>
          <cell r="G165" t="str">
            <v>7112221VGARF006</v>
          </cell>
          <cell r="H165" t="str">
            <v>PERFORISTA</v>
          </cell>
          <cell r="I165">
            <v>56.15</v>
          </cell>
          <cell r="J165" t="str">
            <v>SI</v>
          </cell>
          <cell r="K165">
            <v>1.8333333333333333</v>
          </cell>
          <cell r="L165">
            <v>23465918</v>
          </cell>
          <cell r="M165">
            <v>35</v>
          </cell>
          <cell r="N165">
            <v>0</v>
          </cell>
          <cell r="O165" t="str">
            <v>ONP</v>
          </cell>
          <cell r="P165">
            <v>26289</v>
          </cell>
          <cell r="Q165">
            <v>5</v>
          </cell>
          <cell r="R165">
            <v>0</v>
          </cell>
          <cell r="W165" t="str">
            <v>0414324011957</v>
          </cell>
          <cell r="X165">
            <v>53.29</v>
          </cell>
          <cell r="Z165">
            <v>0</v>
          </cell>
          <cell r="AC165" t="str">
            <v>CASADO</v>
          </cell>
        </row>
        <row r="166">
          <cell r="A166">
            <v>158</v>
          </cell>
          <cell r="B166" t="str">
            <v>VARGAS MAURE OSCAR</v>
          </cell>
          <cell r="C166" t="str">
            <v>IN</v>
          </cell>
          <cell r="D166">
            <v>0.14680000000000001</v>
          </cell>
          <cell r="E166">
            <v>38236</v>
          </cell>
          <cell r="F166">
            <v>39716</v>
          </cell>
          <cell r="G166" t="str">
            <v>7603291VGMRO002</v>
          </cell>
          <cell r="H166" t="str">
            <v>PERFORISTA</v>
          </cell>
          <cell r="I166">
            <v>56.15</v>
          </cell>
          <cell r="J166" t="str">
            <v>SI</v>
          </cell>
          <cell r="K166">
            <v>1.8333333333333333</v>
          </cell>
          <cell r="L166">
            <v>23470320</v>
          </cell>
          <cell r="M166">
            <v>35</v>
          </cell>
          <cell r="N166">
            <v>0</v>
          </cell>
          <cell r="O166" t="str">
            <v>579711OVMGR0</v>
          </cell>
          <cell r="P166">
            <v>27848</v>
          </cell>
          <cell r="Q166">
            <v>5</v>
          </cell>
          <cell r="R166">
            <v>0</v>
          </cell>
          <cell r="W166" t="str">
            <v>0414324018617</v>
          </cell>
          <cell r="X166">
            <v>36.869999999999997</v>
          </cell>
          <cell r="Z166">
            <v>0</v>
          </cell>
          <cell r="AC166" t="str">
            <v>CASADO</v>
          </cell>
        </row>
        <row r="167">
          <cell r="A167">
            <v>159</v>
          </cell>
          <cell r="B167" t="str">
            <v>VARGAS PEÑA MANUEL</v>
          </cell>
          <cell r="C167" t="str">
            <v>HR</v>
          </cell>
          <cell r="D167">
            <v>0.14829999999999999</v>
          </cell>
          <cell r="E167">
            <v>37956</v>
          </cell>
          <cell r="F167">
            <v>39716</v>
          </cell>
          <cell r="G167" t="str">
            <v>6404121VGPAM000</v>
          </cell>
          <cell r="H167" t="str">
            <v>PERFORISTA</v>
          </cell>
          <cell r="I167">
            <v>56.15</v>
          </cell>
          <cell r="J167" t="str">
            <v>SI</v>
          </cell>
          <cell r="K167">
            <v>1.8333333333333333</v>
          </cell>
          <cell r="L167">
            <v>22704439</v>
          </cell>
          <cell r="N167">
            <v>0</v>
          </cell>
          <cell r="O167" t="str">
            <v>534771MVPGA0</v>
          </cell>
          <cell r="P167">
            <v>23479</v>
          </cell>
          <cell r="Q167">
            <v>5</v>
          </cell>
          <cell r="R167">
            <v>0</v>
          </cell>
          <cell r="W167" t="str">
            <v>0414324007518</v>
          </cell>
          <cell r="X167">
            <v>10.51</v>
          </cell>
          <cell r="Z167">
            <v>0</v>
          </cell>
          <cell r="AC167" t="str">
            <v>CONVIVIENTE</v>
          </cell>
          <cell r="AD167" t="str">
            <v>HUANUCO</v>
          </cell>
        </row>
        <row r="168">
          <cell r="A168">
            <v>160</v>
          </cell>
          <cell r="B168" t="str">
            <v xml:space="preserve">VARGAS PORTAL FABIAN ANTONIO </v>
          </cell>
          <cell r="C168" t="str">
            <v>ONP</v>
          </cell>
          <cell r="D168">
            <v>0.13</v>
          </cell>
          <cell r="E168">
            <v>39676</v>
          </cell>
          <cell r="F168">
            <v>39716</v>
          </cell>
          <cell r="H168" t="str">
            <v>AYTE. PERF.</v>
          </cell>
          <cell r="I168">
            <v>50.15</v>
          </cell>
          <cell r="J168" t="str">
            <v>NO</v>
          </cell>
          <cell r="K168">
            <v>0</v>
          </cell>
          <cell r="L168">
            <v>45696611</v>
          </cell>
          <cell r="N168">
            <v>0</v>
          </cell>
          <cell r="P168">
            <v>32142</v>
          </cell>
          <cell r="Q168">
            <v>0</v>
          </cell>
          <cell r="R168">
            <v>0</v>
          </cell>
          <cell r="AC168" t="str">
            <v xml:space="preserve">SOLTERO </v>
          </cell>
          <cell r="AD168" t="str">
            <v>HUANUCO</v>
          </cell>
        </row>
        <row r="169">
          <cell r="A169">
            <v>161</v>
          </cell>
          <cell r="B169" t="str">
            <v>VEGA URBANO HENRY CIRO</v>
          </cell>
          <cell r="C169" t="str">
            <v>ONP</v>
          </cell>
          <cell r="D169">
            <v>0.13</v>
          </cell>
          <cell r="E169">
            <v>39366</v>
          </cell>
          <cell r="F169">
            <v>39716</v>
          </cell>
          <cell r="G169" t="str">
            <v>8311271VAUAH00</v>
          </cell>
          <cell r="H169" t="str">
            <v>AYTE. PERF.</v>
          </cell>
          <cell r="I169">
            <v>54.15</v>
          </cell>
          <cell r="J169" t="str">
            <v>NO</v>
          </cell>
          <cell r="K169">
            <v>0</v>
          </cell>
          <cell r="L169">
            <v>42154536</v>
          </cell>
          <cell r="M169">
            <v>30.15</v>
          </cell>
          <cell r="N169">
            <v>0</v>
          </cell>
          <cell r="P169">
            <v>30647</v>
          </cell>
          <cell r="Q169">
            <v>5</v>
          </cell>
          <cell r="R169">
            <v>0</v>
          </cell>
          <cell r="W169" t="str">
            <v>04-324-040949</v>
          </cell>
          <cell r="X169">
            <v>-14.76</v>
          </cell>
          <cell r="Z169">
            <v>0</v>
          </cell>
        </row>
        <row r="170">
          <cell r="A170">
            <v>162</v>
          </cell>
          <cell r="B170" t="str">
            <v>VENTOCILLA MELENDREZ EFRAIN MAXIMO</v>
          </cell>
          <cell r="C170" t="str">
            <v>PF</v>
          </cell>
          <cell r="D170">
            <v>0.14879999999999999</v>
          </cell>
          <cell r="E170">
            <v>38541</v>
          </cell>
          <cell r="F170">
            <v>39716</v>
          </cell>
          <cell r="G170" t="str">
            <v>7801191VTMEE002</v>
          </cell>
          <cell r="H170" t="str">
            <v>AYTE. PERF.</v>
          </cell>
          <cell r="I170">
            <v>54.15</v>
          </cell>
          <cell r="J170" t="str">
            <v>SI</v>
          </cell>
          <cell r="K170">
            <v>1.8333333333333333</v>
          </cell>
          <cell r="L170">
            <v>40850167</v>
          </cell>
          <cell r="M170">
            <v>35</v>
          </cell>
          <cell r="N170">
            <v>0</v>
          </cell>
          <cell r="O170" t="str">
            <v>585071EVMTE1</v>
          </cell>
          <cell r="P170">
            <v>28509</v>
          </cell>
          <cell r="Q170">
            <v>5</v>
          </cell>
          <cell r="R170">
            <v>0</v>
          </cell>
          <cell r="W170" t="str">
            <v>0414324023394</v>
          </cell>
          <cell r="X170">
            <v>12.9</v>
          </cell>
          <cell r="Z170">
            <v>0</v>
          </cell>
          <cell r="AC170" t="str">
            <v>CASADO</v>
          </cell>
          <cell r="AD170" t="str">
            <v>OYON</v>
          </cell>
        </row>
        <row r="171">
          <cell r="A171">
            <v>163</v>
          </cell>
          <cell r="B171" t="str">
            <v>VENTURA CABELLO TEODORO</v>
          </cell>
          <cell r="C171" t="str">
            <v>ONP</v>
          </cell>
          <cell r="D171">
            <v>0.13</v>
          </cell>
          <cell r="E171">
            <v>34851</v>
          </cell>
          <cell r="F171">
            <v>39716</v>
          </cell>
          <cell r="G171" t="str">
            <v>6309141VTCET009</v>
          </cell>
          <cell r="H171" t="str">
            <v>PERFORISTA</v>
          </cell>
          <cell r="I171">
            <v>56.15</v>
          </cell>
          <cell r="J171" t="str">
            <v>SI</v>
          </cell>
          <cell r="K171">
            <v>1.8333333333333333</v>
          </cell>
          <cell r="L171" t="str">
            <v>04022860</v>
          </cell>
          <cell r="M171">
            <v>36</v>
          </cell>
          <cell r="N171">
            <v>0</v>
          </cell>
          <cell r="O171" t="str">
            <v>ONP</v>
          </cell>
          <cell r="P171">
            <v>23268</v>
          </cell>
          <cell r="Q171">
            <v>5</v>
          </cell>
          <cell r="R171">
            <v>0</v>
          </cell>
          <cell r="W171" t="str">
            <v>0414324015308</v>
          </cell>
          <cell r="X171">
            <v>19.23</v>
          </cell>
          <cell r="Z171">
            <v>0</v>
          </cell>
          <cell r="AC171" t="str">
            <v>CASADO</v>
          </cell>
          <cell r="AE171">
            <v>10</v>
          </cell>
        </row>
        <row r="172">
          <cell r="A172">
            <v>164</v>
          </cell>
          <cell r="B172" t="str">
            <v>VILLANUEVA GALVEZ LIVER EMILIO</v>
          </cell>
          <cell r="C172" t="str">
            <v>ONP</v>
          </cell>
          <cell r="D172">
            <v>0.13</v>
          </cell>
          <cell r="E172">
            <v>38667</v>
          </cell>
          <cell r="F172">
            <v>39716</v>
          </cell>
          <cell r="G172" t="str">
            <v>7405281VLGVL000</v>
          </cell>
          <cell r="H172" t="str">
            <v>PERFORISTA</v>
          </cell>
          <cell r="I172">
            <v>56.15</v>
          </cell>
          <cell r="J172" t="str">
            <v>SI</v>
          </cell>
          <cell r="K172">
            <v>1.8333333333333333</v>
          </cell>
          <cell r="L172" t="str">
            <v>04084759</v>
          </cell>
          <cell r="M172">
            <v>35</v>
          </cell>
          <cell r="N172">
            <v>0.6</v>
          </cell>
          <cell r="O172" t="str">
            <v>ONP</v>
          </cell>
          <cell r="P172">
            <v>27177</v>
          </cell>
          <cell r="Q172">
            <v>5</v>
          </cell>
          <cell r="R172">
            <v>0</v>
          </cell>
          <cell r="W172" t="str">
            <v>0414324026652</v>
          </cell>
          <cell r="X172">
            <v>32.24</v>
          </cell>
          <cell r="Z172">
            <v>0</v>
          </cell>
          <cell r="AC172" t="str">
            <v xml:space="preserve">CASADO </v>
          </cell>
          <cell r="AD172" t="str">
            <v>OYON</v>
          </cell>
        </row>
        <row r="173">
          <cell r="A173">
            <v>165</v>
          </cell>
          <cell r="B173" t="str">
            <v>VILLAVICENCIO ESTRADA RAUL GODOFREDO</v>
          </cell>
          <cell r="C173" t="str">
            <v>IN</v>
          </cell>
          <cell r="D173">
            <v>0.14680000000000001</v>
          </cell>
          <cell r="E173">
            <v>38667</v>
          </cell>
          <cell r="F173">
            <v>39716</v>
          </cell>
          <cell r="G173" t="str">
            <v>7505151VLERR002</v>
          </cell>
          <cell r="H173" t="str">
            <v>PERFORISTA</v>
          </cell>
          <cell r="I173">
            <v>56.15</v>
          </cell>
          <cell r="J173" t="str">
            <v>SI</v>
          </cell>
          <cell r="K173">
            <v>1.8333333333333333</v>
          </cell>
          <cell r="L173">
            <v>15217148</v>
          </cell>
          <cell r="N173">
            <v>0</v>
          </cell>
          <cell r="O173" t="str">
            <v>575271RVELR8</v>
          </cell>
          <cell r="P173">
            <v>27529</v>
          </cell>
          <cell r="Q173">
            <v>5</v>
          </cell>
          <cell r="R173">
            <v>0</v>
          </cell>
          <cell r="W173" t="str">
            <v>0414324305934</v>
          </cell>
          <cell r="X173">
            <v>14.76</v>
          </cell>
          <cell r="Z173">
            <v>0</v>
          </cell>
          <cell r="AC173" t="str">
            <v>CASADO</v>
          </cell>
          <cell r="AD173" t="str">
            <v>OYON</v>
          </cell>
        </row>
        <row r="174">
          <cell r="A174">
            <v>166</v>
          </cell>
          <cell r="B174" t="str">
            <v>YARANGA CESAR BERNARDINO</v>
          </cell>
          <cell r="C174" t="str">
            <v>PF</v>
          </cell>
          <cell r="D174">
            <v>0.14879999999999999</v>
          </cell>
          <cell r="E174">
            <v>38786</v>
          </cell>
          <cell r="F174">
            <v>39716</v>
          </cell>
          <cell r="G174" t="str">
            <v>7907211YACAB005</v>
          </cell>
          <cell r="H174" t="str">
            <v>PERFORISTA</v>
          </cell>
          <cell r="I174">
            <v>56.15</v>
          </cell>
          <cell r="J174" t="str">
            <v>SI</v>
          </cell>
          <cell r="K174">
            <v>1.8333333333333333</v>
          </cell>
          <cell r="L174">
            <v>40238166</v>
          </cell>
          <cell r="N174">
            <v>0</v>
          </cell>
          <cell r="O174" t="str">
            <v>590551BYCAA5</v>
          </cell>
          <cell r="P174">
            <v>29057</v>
          </cell>
          <cell r="Q174">
            <v>5</v>
          </cell>
          <cell r="R174">
            <v>0</v>
          </cell>
          <cell r="W174" t="str">
            <v>0414324028124</v>
          </cell>
          <cell r="X174">
            <v>44.75</v>
          </cell>
          <cell r="Z174">
            <v>0</v>
          </cell>
          <cell r="AC174" t="str">
            <v>CASADO</v>
          </cell>
        </row>
        <row r="175">
          <cell r="A175">
            <v>167</v>
          </cell>
          <cell r="B175" t="str">
            <v>ZELADA CARHUAZ TEOFILO APOLINARIO</v>
          </cell>
          <cell r="C175" t="str">
            <v>ONP</v>
          </cell>
          <cell r="D175">
            <v>0.13</v>
          </cell>
          <cell r="E175">
            <v>38335</v>
          </cell>
          <cell r="F175">
            <v>39716</v>
          </cell>
          <cell r="G175" t="str">
            <v>6401161ZACHT008</v>
          </cell>
          <cell r="H175" t="str">
            <v>PERFORISTA</v>
          </cell>
          <cell r="I175">
            <v>56.15</v>
          </cell>
          <cell r="J175" t="str">
            <v>SI</v>
          </cell>
          <cell r="K175">
            <v>1.8333333333333333</v>
          </cell>
          <cell r="L175">
            <v>15212764</v>
          </cell>
          <cell r="N175">
            <v>0</v>
          </cell>
          <cell r="O175" t="str">
            <v>ONP</v>
          </cell>
          <cell r="P175">
            <v>23392</v>
          </cell>
          <cell r="Q175">
            <v>5</v>
          </cell>
          <cell r="R175">
            <v>0</v>
          </cell>
          <cell r="W175" t="str">
            <v>0414324009553</v>
          </cell>
          <cell r="X175">
            <v>62.84</v>
          </cell>
          <cell r="Z175">
            <v>0</v>
          </cell>
        </row>
        <row r="176">
          <cell r="R176">
            <v>0</v>
          </cell>
          <cell r="T176">
            <v>0</v>
          </cell>
          <cell r="U176">
            <v>0</v>
          </cell>
        </row>
      </sheetData>
      <sheetData sheetId="3" refreshError="1"/>
      <sheetData sheetId="4" refreshError="1">
        <row r="12">
          <cell r="A12">
            <v>1</v>
          </cell>
          <cell r="B12" t="str">
            <v>ADVINCULA CRISTOBAL AURELIO</v>
          </cell>
          <cell r="C12">
            <v>39647</v>
          </cell>
          <cell r="D12">
            <v>39716</v>
          </cell>
          <cell r="E12" t="str">
            <v>PERFORISTA</v>
          </cell>
          <cell r="F12">
            <v>54.15</v>
          </cell>
          <cell r="G12">
            <v>25</v>
          </cell>
          <cell r="H12">
            <v>200</v>
          </cell>
          <cell r="I12">
            <v>1353.75</v>
          </cell>
          <cell r="J12">
            <v>3.8461538461538463</v>
          </cell>
          <cell r="K12">
            <v>208.27</v>
          </cell>
          <cell r="L12">
            <v>0</v>
          </cell>
          <cell r="M12">
            <v>0</v>
          </cell>
          <cell r="N12">
            <v>31</v>
          </cell>
          <cell r="O12">
            <v>56.833333333333329</v>
          </cell>
          <cell r="P12">
            <v>26</v>
          </cell>
          <cell r="Q12">
            <v>219.984375</v>
          </cell>
          <cell r="R12">
            <v>26</v>
          </cell>
          <cell r="S12">
            <v>219.984375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16</v>
          </cell>
          <cell r="Y12">
            <v>216.6</v>
          </cell>
          <cell r="Z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496.94</v>
          </cell>
          <cell r="AH12">
            <v>0</v>
          </cell>
          <cell r="AI12">
            <v>307.2</v>
          </cell>
          <cell r="AJ12">
            <v>0</v>
          </cell>
          <cell r="AK12">
            <v>0</v>
          </cell>
          <cell r="AL12">
            <v>2859.5777083333332</v>
          </cell>
          <cell r="AM12">
            <v>371.74510208333334</v>
          </cell>
          <cell r="AN12">
            <v>0</v>
          </cell>
          <cell r="AO12" t="str">
            <v>ONP</v>
          </cell>
          <cell r="AP12">
            <v>0</v>
          </cell>
          <cell r="AQ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D12">
            <v>0</v>
          </cell>
          <cell r="BE12">
            <v>0</v>
          </cell>
          <cell r="BF12">
            <v>371.74510208333334</v>
          </cell>
          <cell r="BG12">
            <v>2487.83260625</v>
          </cell>
          <cell r="BH12">
            <v>257.36</v>
          </cell>
          <cell r="BI12">
            <v>28.958850391041665</v>
          </cell>
          <cell r="BJ12">
            <v>207.92454580767918</v>
          </cell>
          <cell r="BK12">
            <v>36.831159235208332</v>
          </cell>
          <cell r="BL12">
            <v>0</v>
          </cell>
          <cell r="BM12">
            <v>531.07455543392916</v>
          </cell>
        </row>
        <row r="13">
          <cell r="A13">
            <v>2</v>
          </cell>
          <cell r="B13" t="str">
            <v>AGUILAR DEUDOR ALFREDO EDUARDO</v>
          </cell>
          <cell r="C13">
            <v>39345</v>
          </cell>
          <cell r="D13">
            <v>39716</v>
          </cell>
          <cell r="E13" t="str">
            <v>OP. SCOOP</v>
          </cell>
          <cell r="F13">
            <v>59.65</v>
          </cell>
          <cell r="G13">
            <v>22</v>
          </cell>
          <cell r="H13">
            <v>176</v>
          </cell>
          <cell r="I13">
            <v>1312.3</v>
          </cell>
          <cell r="J13">
            <v>3.6923076923076925</v>
          </cell>
          <cell r="K13">
            <v>220.25</v>
          </cell>
          <cell r="L13">
            <v>0</v>
          </cell>
          <cell r="M13">
            <v>0</v>
          </cell>
          <cell r="N13">
            <v>31</v>
          </cell>
          <cell r="O13">
            <v>56.833333333333329</v>
          </cell>
          <cell r="P13">
            <v>34</v>
          </cell>
          <cell r="Q13">
            <v>316.890625</v>
          </cell>
          <cell r="R13">
            <v>34</v>
          </cell>
          <cell r="S13">
            <v>316.890625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845.91</v>
          </cell>
          <cell r="AH13">
            <v>1791.33</v>
          </cell>
          <cell r="AI13">
            <v>124.4</v>
          </cell>
          <cell r="AJ13">
            <v>2</v>
          </cell>
          <cell r="AK13">
            <v>119.3</v>
          </cell>
          <cell r="AL13">
            <v>4787.2139583333328</v>
          </cell>
          <cell r="AM13">
            <v>622.33781458333328</v>
          </cell>
          <cell r="AN13">
            <v>5</v>
          </cell>
          <cell r="AO13" t="str">
            <v>ONP</v>
          </cell>
          <cell r="AP13">
            <v>0</v>
          </cell>
          <cell r="AQ13">
            <v>0</v>
          </cell>
          <cell r="AS13">
            <v>0</v>
          </cell>
          <cell r="AT13">
            <v>0</v>
          </cell>
          <cell r="AU13">
            <v>22.55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D13">
            <v>0</v>
          </cell>
          <cell r="BE13">
            <v>0</v>
          </cell>
          <cell r="BF13">
            <v>649.88781458333324</v>
          </cell>
          <cell r="BG13">
            <v>4137.3261437499996</v>
          </cell>
          <cell r="BH13">
            <v>430.85</v>
          </cell>
          <cell r="BI13">
            <v>48.308562617291663</v>
          </cell>
          <cell r="BJ13">
            <v>346.85547959215415</v>
          </cell>
          <cell r="BK13">
            <v>61.440987406458333</v>
          </cell>
          <cell r="BL13">
            <v>0</v>
          </cell>
          <cell r="BM13">
            <v>887.45502961590421</v>
          </cell>
        </row>
        <row r="14">
          <cell r="A14">
            <v>3</v>
          </cell>
          <cell r="B14" t="str">
            <v>AGUIRRE BASILIO ZOSIMO DANIEL</v>
          </cell>
          <cell r="C14">
            <v>38173</v>
          </cell>
          <cell r="D14">
            <v>39716</v>
          </cell>
          <cell r="E14" t="str">
            <v>PERFORISTA</v>
          </cell>
          <cell r="F14">
            <v>56.15</v>
          </cell>
          <cell r="G14">
            <v>19</v>
          </cell>
          <cell r="H14">
            <v>152</v>
          </cell>
          <cell r="I14">
            <v>1066.8499999999999</v>
          </cell>
          <cell r="J14">
            <v>3.2307692307692308</v>
          </cell>
          <cell r="K14">
            <v>181.41</v>
          </cell>
          <cell r="L14">
            <v>0</v>
          </cell>
          <cell r="M14">
            <v>0</v>
          </cell>
          <cell r="N14">
            <v>31</v>
          </cell>
          <cell r="O14">
            <v>56.833333333333329</v>
          </cell>
          <cell r="P14">
            <v>30</v>
          </cell>
          <cell r="Q14">
            <v>263.203125</v>
          </cell>
          <cell r="R14">
            <v>30</v>
          </cell>
          <cell r="S14">
            <v>263.203125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16</v>
          </cell>
          <cell r="Y14">
            <v>224.6</v>
          </cell>
          <cell r="Z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796.32</v>
          </cell>
          <cell r="AH14">
            <v>1686.33</v>
          </cell>
          <cell r="AI14">
            <v>379.43</v>
          </cell>
          <cell r="AJ14">
            <v>2</v>
          </cell>
          <cell r="AK14">
            <v>112.3</v>
          </cell>
          <cell r="AL14">
            <v>4767.2764583333337</v>
          </cell>
          <cell r="AM14">
            <v>0</v>
          </cell>
          <cell r="AN14">
            <v>5</v>
          </cell>
          <cell r="AO14" t="str">
            <v>HR</v>
          </cell>
          <cell r="AP14">
            <v>706.98709877083331</v>
          </cell>
          <cell r="AQ14">
            <v>572.07317499999999</v>
          </cell>
          <cell r="AR14">
            <v>92.961890937500002</v>
          </cell>
          <cell r="AS14">
            <v>41.952032833333341</v>
          </cell>
          <cell r="AT14">
            <v>706.98709877083331</v>
          </cell>
          <cell r="AU14">
            <v>49.63</v>
          </cell>
          <cell r="AV14">
            <v>0</v>
          </cell>
          <cell r="AW14">
            <v>0</v>
          </cell>
          <cell r="AX14">
            <v>35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D14">
            <v>0</v>
          </cell>
          <cell r="BE14">
            <v>0</v>
          </cell>
          <cell r="BF14">
            <v>796.61709877083331</v>
          </cell>
          <cell r="BG14">
            <v>3970.6593595625004</v>
          </cell>
          <cell r="BH14">
            <v>429.05</v>
          </cell>
          <cell r="BI14">
            <v>48.67201330979168</v>
          </cell>
          <cell r="BJ14">
            <v>349.46505556430424</v>
          </cell>
          <cell r="BK14">
            <v>61.903240228958339</v>
          </cell>
          <cell r="BL14">
            <v>79.42</v>
          </cell>
          <cell r="BM14">
            <v>968.51030910305417</v>
          </cell>
        </row>
        <row r="15">
          <cell r="A15">
            <v>4</v>
          </cell>
          <cell r="B15" t="str">
            <v>ALCEDO LINARES OSCAR EDUARDO</v>
          </cell>
          <cell r="C15">
            <v>39484</v>
          </cell>
          <cell r="D15">
            <v>39716</v>
          </cell>
          <cell r="E15" t="str">
            <v>AYTE. PERF.</v>
          </cell>
          <cell r="F15">
            <v>50.15</v>
          </cell>
          <cell r="G15">
            <v>17</v>
          </cell>
          <cell r="H15">
            <v>136</v>
          </cell>
          <cell r="I15">
            <v>852.55</v>
          </cell>
          <cell r="J15">
            <v>3.2307692307692308</v>
          </cell>
          <cell r="K15">
            <v>162.02000000000001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18</v>
          </cell>
          <cell r="Q15">
            <v>141.046875</v>
          </cell>
          <cell r="R15">
            <v>18</v>
          </cell>
          <cell r="S15">
            <v>141.046875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B15">
            <v>116.28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710.46</v>
          </cell>
          <cell r="AH15">
            <v>0</v>
          </cell>
          <cell r="AI15">
            <v>982.1</v>
          </cell>
          <cell r="AJ15">
            <v>4</v>
          </cell>
          <cell r="AK15">
            <v>200.6</v>
          </cell>
          <cell r="AL15">
            <v>3165.0568749999998</v>
          </cell>
          <cell r="AM15">
            <v>411.45739374999999</v>
          </cell>
          <cell r="AN15">
            <v>5</v>
          </cell>
          <cell r="AO15" t="str">
            <v>ONP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D15">
            <v>0</v>
          </cell>
          <cell r="BE15">
            <v>0</v>
          </cell>
          <cell r="BF15">
            <v>416.45739374999999</v>
          </cell>
          <cell r="BG15">
            <v>2748.5994812499998</v>
          </cell>
          <cell r="BH15">
            <v>284.86</v>
          </cell>
          <cell r="BI15">
            <v>30.085993896874996</v>
          </cell>
          <cell r="BJ15">
            <v>216.01743617956248</v>
          </cell>
          <cell r="BK15">
            <v>38.264710684374997</v>
          </cell>
          <cell r="BL15">
            <v>0</v>
          </cell>
          <cell r="BM15">
            <v>569.22814076081249</v>
          </cell>
        </row>
        <row r="16">
          <cell r="A16">
            <v>5</v>
          </cell>
          <cell r="B16" t="str">
            <v>ALVARADO CALDERON BEATO</v>
          </cell>
          <cell r="C16">
            <v>37860</v>
          </cell>
          <cell r="D16">
            <v>39716</v>
          </cell>
          <cell r="E16" t="str">
            <v>PERFORISTA</v>
          </cell>
          <cell r="F16">
            <v>56.15</v>
          </cell>
          <cell r="G16">
            <v>25</v>
          </cell>
          <cell r="H16">
            <v>200</v>
          </cell>
          <cell r="I16">
            <v>1403.75</v>
          </cell>
          <cell r="J16">
            <v>3.8461538461538463</v>
          </cell>
          <cell r="K16">
            <v>215.96</v>
          </cell>
          <cell r="L16">
            <v>0</v>
          </cell>
          <cell r="M16">
            <v>0</v>
          </cell>
          <cell r="N16">
            <v>31</v>
          </cell>
          <cell r="O16">
            <v>56.833333333333329</v>
          </cell>
          <cell r="P16">
            <v>42</v>
          </cell>
          <cell r="Q16">
            <v>368.484375</v>
          </cell>
          <cell r="R16">
            <v>42</v>
          </cell>
          <cell r="S16">
            <v>368.484375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16</v>
          </cell>
          <cell r="Y16">
            <v>224.6</v>
          </cell>
          <cell r="Z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796.32</v>
          </cell>
          <cell r="AH16">
            <v>1686.33</v>
          </cell>
          <cell r="AI16">
            <v>135.84</v>
          </cell>
          <cell r="AJ16">
            <v>0</v>
          </cell>
          <cell r="AK16">
            <v>0</v>
          </cell>
          <cell r="AL16">
            <v>4888.1177083333332</v>
          </cell>
          <cell r="AM16">
            <v>0</v>
          </cell>
          <cell r="AN16">
            <v>5</v>
          </cell>
          <cell r="AO16" t="str">
            <v>IN</v>
          </cell>
          <cell r="AP16">
            <v>717.57567958333334</v>
          </cell>
          <cell r="AQ16">
            <v>586.57412499999998</v>
          </cell>
          <cell r="AR16">
            <v>95.318295312499998</v>
          </cell>
          <cell r="AS16">
            <v>43.015435833333335</v>
          </cell>
          <cell r="AT16">
            <v>724.90785614583331</v>
          </cell>
          <cell r="AU16">
            <v>42.29</v>
          </cell>
          <cell r="AV16">
            <v>0</v>
          </cell>
          <cell r="AW16">
            <v>0</v>
          </cell>
          <cell r="AX16">
            <v>36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D16">
            <v>0</v>
          </cell>
          <cell r="BE16">
            <v>0</v>
          </cell>
          <cell r="BF16">
            <v>808.19785614583327</v>
          </cell>
          <cell r="BG16">
            <v>4079.9198521875001</v>
          </cell>
          <cell r="BH16">
            <v>439.93</v>
          </cell>
          <cell r="BI16">
            <v>50.153164511041666</v>
          </cell>
          <cell r="BJ16">
            <v>360.09972118927914</v>
          </cell>
          <cell r="BK16">
            <v>63.787034475208337</v>
          </cell>
          <cell r="BL16">
            <v>81.84</v>
          </cell>
          <cell r="BM16">
            <v>995.8099201755291</v>
          </cell>
        </row>
        <row r="17">
          <cell r="A17">
            <v>6</v>
          </cell>
          <cell r="B17" t="str">
            <v>ALVAREZ HUAMANI BERNARDINO</v>
          </cell>
          <cell r="C17">
            <v>38019</v>
          </cell>
          <cell r="D17">
            <v>39716</v>
          </cell>
          <cell r="E17" t="str">
            <v>PERFORISTA</v>
          </cell>
          <cell r="F17">
            <v>56.15</v>
          </cell>
          <cell r="G17">
            <v>0</v>
          </cell>
          <cell r="H17">
            <v>0</v>
          </cell>
          <cell r="I17">
            <v>0</v>
          </cell>
          <cell r="J17">
            <v>4.615384615384615</v>
          </cell>
          <cell r="K17">
            <v>259.14999999999998</v>
          </cell>
          <cell r="L17">
            <v>0</v>
          </cell>
          <cell r="M17">
            <v>0</v>
          </cell>
          <cell r="N17">
            <v>31</v>
          </cell>
          <cell r="O17">
            <v>56.833333333333329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30</v>
          </cell>
          <cell r="AK17">
            <v>1684.5</v>
          </cell>
          <cell r="AL17">
            <v>2000.4833333333333</v>
          </cell>
          <cell r="AM17">
            <v>0</v>
          </cell>
          <cell r="AN17">
            <v>5</v>
          </cell>
          <cell r="AO17" t="str">
            <v>PR</v>
          </cell>
          <cell r="AP17">
            <v>287.46945499999998</v>
          </cell>
          <cell r="AQ17">
            <v>240.05799999999999</v>
          </cell>
          <cell r="AR17">
            <v>39.009425</v>
          </cell>
          <cell r="AS17">
            <v>17.604253333333336</v>
          </cell>
          <cell r="AT17">
            <v>296.67167833333338</v>
          </cell>
          <cell r="AU17">
            <v>33.020000000000003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D17">
            <v>0</v>
          </cell>
          <cell r="BE17">
            <v>0</v>
          </cell>
          <cell r="BF17">
            <v>334.69167833333336</v>
          </cell>
          <cell r="BG17">
            <v>1665.791655</v>
          </cell>
          <cell r="BH17">
            <v>180.04</v>
          </cell>
          <cell r="BI17">
            <v>24.51992421666667</v>
          </cell>
          <cell r="BJ17">
            <v>176.05305587566667</v>
          </cell>
          <cell r="BK17">
            <v>31.185534683333334</v>
          </cell>
          <cell r="BL17">
            <v>40.01</v>
          </cell>
          <cell r="BM17">
            <v>451.80851477566671</v>
          </cell>
        </row>
        <row r="18">
          <cell r="A18">
            <v>7</v>
          </cell>
          <cell r="B18" t="str">
            <v>ANTAHURCO LOPEZ VICTOR RAUL</v>
          </cell>
          <cell r="C18">
            <v>38924</v>
          </cell>
          <cell r="D18">
            <v>39716</v>
          </cell>
          <cell r="E18" t="str">
            <v>AYTE. PERF.</v>
          </cell>
          <cell r="F18">
            <v>54.15</v>
          </cell>
          <cell r="G18">
            <v>15</v>
          </cell>
          <cell r="H18">
            <v>120</v>
          </cell>
          <cell r="I18">
            <v>812.25</v>
          </cell>
          <cell r="J18">
            <v>2.4615384615384617</v>
          </cell>
          <cell r="K18">
            <v>133.29</v>
          </cell>
          <cell r="L18">
            <v>0</v>
          </cell>
          <cell r="M18">
            <v>0</v>
          </cell>
          <cell r="N18">
            <v>31</v>
          </cell>
          <cell r="O18">
            <v>56.833333333333329</v>
          </cell>
          <cell r="P18">
            <v>16</v>
          </cell>
          <cell r="Q18">
            <v>135.375</v>
          </cell>
          <cell r="R18">
            <v>16</v>
          </cell>
          <cell r="S18">
            <v>135.375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767.99</v>
          </cell>
          <cell r="AH18">
            <v>1626.33</v>
          </cell>
          <cell r="AI18">
            <v>203.29</v>
          </cell>
          <cell r="AJ18">
            <v>1</v>
          </cell>
          <cell r="AK18">
            <v>54.15</v>
          </cell>
          <cell r="AL18">
            <v>3789.5083333333337</v>
          </cell>
          <cell r="AM18">
            <v>0</v>
          </cell>
          <cell r="AN18">
            <v>5</v>
          </cell>
          <cell r="AO18" t="str">
            <v>HR</v>
          </cell>
          <cell r="AP18">
            <v>561.98408583333332</v>
          </cell>
          <cell r="AQ18">
            <v>454.74100000000004</v>
          </cell>
          <cell r="AR18">
            <v>73.895412500000006</v>
          </cell>
          <cell r="AS18">
            <v>33.34767333333334</v>
          </cell>
          <cell r="AT18">
            <v>561.98408583333332</v>
          </cell>
          <cell r="AU18">
            <v>0</v>
          </cell>
          <cell r="AV18">
            <v>0</v>
          </cell>
          <cell r="AW18">
            <v>0</v>
          </cell>
          <cell r="AX18">
            <v>35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D18">
            <v>0</v>
          </cell>
          <cell r="BE18">
            <v>0</v>
          </cell>
          <cell r="BF18">
            <v>601.98408583333332</v>
          </cell>
          <cell r="BG18">
            <v>3187.5242475000005</v>
          </cell>
          <cell r="BH18">
            <v>341.06</v>
          </cell>
          <cell r="BI18">
            <v>37.034750211666669</v>
          </cell>
          <cell r="BJ18">
            <v>265.90950651976669</v>
          </cell>
          <cell r="BK18">
            <v>47.102449298333333</v>
          </cell>
          <cell r="BL18">
            <v>60.43</v>
          </cell>
          <cell r="BM18">
            <v>751.53670602976672</v>
          </cell>
        </row>
        <row r="19">
          <cell r="A19">
            <v>8</v>
          </cell>
          <cell r="B19" t="str">
            <v>ATAUCUSI CARLOS HERNAN LUCHO</v>
          </cell>
          <cell r="C19">
            <v>38698</v>
          </cell>
          <cell r="D19">
            <v>39716</v>
          </cell>
          <cell r="E19" t="str">
            <v>PERFORISTA</v>
          </cell>
          <cell r="F19">
            <v>56.15</v>
          </cell>
          <cell r="G19">
            <v>24</v>
          </cell>
          <cell r="H19">
            <v>192</v>
          </cell>
          <cell r="I19">
            <v>1347.6</v>
          </cell>
          <cell r="J19">
            <v>3.6923076923076925</v>
          </cell>
          <cell r="K19">
            <v>207.32</v>
          </cell>
          <cell r="L19">
            <v>0</v>
          </cell>
          <cell r="M19">
            <v>0</v>
          </cell>
          <cell r="N19">
            <v>31</v>
          </cell>
          <cell r="O19">
            <v>56.833333333333329</v>
          </cell>
          <cell r="P19">
            <v>32</v>
          </cell>
          <cell r="Q19">
            <v>280.75</v>
          </cell>
          <cell r="R19">
            <v>32</v>
          </cell>
          <cell r="S19">
            <v>280.75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796.32</v>
          </cell>
          <cell r="AH19">
            <v>0</v>
          </cell>
          <cell r="AI19">
            <v>1330.33</v>
          </cell>
          <cell r="AJ19">
            <v>0</v>
          </cell>
          <cell r="AK19">
            <v>0</v>
          </cell>
          <cell r="AL19">
            <v>4019.1533333333332</v>
          </cell>
          <cell r="AM19">
            <v>0</v>
          </cell>
          <cell r="AN19">
            <v>5</v>
          </cell>
          <cell r="AO19" t="str">
            <v>IN</v>
          </cell>
          <cell r="AP19">
            <v>590.01170933333333</v>
          </cell>
          <cell r="AQ19">
            <v>482.29839999999996</v>
          </cell>
          <cell r="AR19">
            <v>78.373490000000004</v>
          </cell>
          <cell r="AS19">
            <v>35.368549333333334</v>
          </cell>
          <cell r="AT19">
            <v>596.04043933333332</v>
          </cell>
          <cell r="AU19">
            <v>76.86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D19">
            <v>0</v>
          </cell>
          <cell r="BE19">
            <v>0</v>
          </cell>
          <cell r="BF19">
            <v>677.90043933333334</v>
          </cell>
          <cell r="BG19">
            <v>3341.2528939999997</v>
          </cell>
          <cell r="BH19">
            <v>361.72</v>
          </cell>
          <cell r="BI19">
            <v>39.502268166666667</v>
          </cell>
          <cell r="BJ19">
            <v>283.62628543666665</v>
          </cell>
          <cell r="BK19">
            <v>50.240748833333328</v>
          </cell>
          <cell r="BL19">
            <v>64.459999999999994</v>
          </cell>
          <cell r="BM19">
            <v>799.54930243666672</v>
          </cell>
        </row>
        <row r="20">
          <cell r="A20">
            <v>9</v>
          </cell>
          <cell r="B20" t="str">
            <v>BENDEZU PAREDES FREDDY WALTER</v>
          </cell>
          <cell r="C20">
            <v>37145</v>
          </cell>
          <cell r="D20">
            <v>39716</v>
          </cell>
          <cell r="E20" t="str">
            <v>PERFORISTA</v>
          </cell>
          <cell r="F20">
            <v>56.15</v>
          </cell>
          <cell r="G20">
            <v>10</v>
          </cell>
          <cell r="H20">
            <v>80</v>
          </cell>
          <cell r="I20">
            <v>561.5</v>
          </cell>
          <cell r="J20">
            <v>1.5384615384615385</v>
          </cell>
          <cell r="K20">
            <v>86.38</v>
          </cell>
          <cell r="L20">
            <v>0</v>
          </cell>
          <cell r="M20">
            <v>0</v>
          </cell>
          <cell r="N20">
            <v>31</v>
          </cell>
          <cell r="O20">
            <v>56.833333333333329</v>
          </cell>
          <cell r="P20">
            <v>12</v>
          </cell>
          <cell r="Q20">
            <v>105.28125</v>
          </cell>
          <cell r="R20">
            <v>12</v>
          </cell>
          <cell r="S20">
            <v>105.28125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796.32</v>
          </cell>
          <cell r="AH20">
            <v>0</v>
          </cell>
          <cell r="AI20">
            <v>51.53</v>
          </cell>
          <cell r="AJ20">
            <v>0</v>
          </cell>
          <cell r="AK20">
            <v>0</v>
          </cell>
          <cell r="AL20">
            <v>1657.8445833333333</v>
          </cell>
          <cell r="AM20">
            <v>0</v>
          </cell>
          <cell r="AN20">
            <v>5</v>
          </cell>
          <cell r="AO20" t="str">
            <v>PF</v>
          </cell>
          <cell r="AP20">
            <v>246.68727399999997</v>
          </cell>
          <cell r="AQ20">
            <v>198.94135</v>
          </cell>
          <cell r="AR20">
            <v>32.327969375000002</v>
          </cell>
          <cell r="AS20">
            <v>14.589032333333334</v>
          </cell>
          <cell r="AT20">
            <v>245.85835170833334</v>
          </cell>
          <cell r="AU20">
            <v>21.58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D20">
            <v>0</v>
          </cell>
          <cell r="BE20">
            <v>0</v>
          </cell>
          <cell r="BF20">
            <v>272.43835170833336</v>
          </cell>
          <cell r="BG20">
            <v>1385.4062316249999</v>
          </cell>
          <cell r="BH20">
            <v>0</v>
          </cell>
          <cell r="BI20">
            <v>10.559706817916666</v>
          </cell>
          <cell r="BJ20">
            <v>75.818694952641664</v>
          </cell>
          <cell r="BK20">
            <v>13.430306729583332</v>
          </cell>
          <cell r="BL20">
            <v>17.23</v>
          </cell>
          <cell r="BM20">
            <v>117.03870850014167</v>
          </cell>
        </row>
        <row r="21">
          <cell r="A21">
            <v>10</v>
          </cell>
          <cell r="B21" t="str">
            <v>BERNARDO HUAYANAY EMERZON</v>
          </cell>
          <cell r="C21">
            <v>39452</v>
          </cell>
          <cell r="D21">
            <v>39716</v>
          </cell>
          <cell r="E21" t="str">
            <v>AYTE. PERF.</v>
          </cell>
          <cell r="F21">
            <v>50.15</v>
          </cell>
          <cell r="G21">
            <v>24</v>
          </cell>
          <cell r="H21">
            <v>192</v>
          </cell>
          <cell r="I21">
            <v>1203.5999999999999</v>
          </cell>
          <cell r="J21">
            <v>3.6923076923076925</v>
          </cell>
          <cell r="K21">
            <v>185.17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32</v>
          </cell>
          <cell r="Q21">
            <v>250.75</v>
          </cell>
          <cell r="R21">
            <v>32</v>
          </cell>
          <cell r="S21">
            <v>250.75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710.46</v>
          </cell>
          <cell r="AH21">
            <v>0</v>
          </cell>
          <cell r="AI21">
            <v>1090.76</v>
          </cell>
          <cell r="AJ21">
            <v>0</v>
          </cell>
          <cell r="AK21">
            <v>0</v>
          </cell>
          <cell r="AL21">
            <v>3440.74</v>
          </cell>
          <cell r="AM21">
            <v>0</v>
          </cell>
          <cell r="AN21">
            <v>5</v>
          </cell>
          <cell r="AO21" t="str">
            <v>PF</v>
          </cell>
          <cell r="AP21">
            <v>511.98211199999992</v>
          </cell>
          <cell r="AQ21">
            <v>412.88879999999995</v>
          </cell>
          <cell r="AR21">
            <v>67.094430000000003</v>
          </cell>
          <cell r="AS21">
            <v>30.278511999999999</v>
          </cell>
          <cell r="AT21">
            <v>510.26174199999991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E21">
            <v>0</v>
          </cell>
          <cell r="BF21">
            <v>515.26174199999991</v>
          </cell>
          <cell r="BG21">
            <v>2925.4782580000001</v>
          </cell>
          <cell r="BH21">
            <v>309.67</v>
          </cell>
          <cell r="BI21">
            <v>33.465041960000001</v>
          </cell>
          <cell r="BJ21">
            <v>240.2790012728</v>
          </cell>
          <cell r="BK21">
            <v>42.562334919999998</v>
          </cell>
          <cell r="BL21">
            <v>54.61</v>
          </cell>
          <cell r="BM21">
            <v>680.58637815280008</v>
          </cell>
        </row>
        <row r="22">
          <cell r="A22">
            <v>11</v>
          </cell>
          <cell r="B22" t="str">
            <v>BUENDIA ICHPAS EDGAR</v>
          </cell>
          <cell r="C22">
            <v>39639</v>
          </cell>
          <cell r="D22">
            <v>39716</v>
          </cell>
          <cell r="E22" t="str">
            <v>PERFORISTA</v>
          </cell>
          <cell r="F22">
            <v>54.15</v>
          </cell>
          <cell r="G22">
            <v>24</v>
          </cell>
          <cell r="H22">
            <v>192</v>
          </cell>
          <cell r="I22">
            <v>1299.5999999999999</v>
          </cell>
          <cell r="J22">
            <v>3.6923076923076925</v>
          </cell>
          <cell r="K22">
            <v>199.94</v>
          </cell>
          <cell r="L22">
            <v>0</v>
          </cell>
          <cell r="M22">
            <v>0</v>
          </cell>
          <cell r="N22">
            <v>31</v>
          </cell>
          <cell r="O22">
            <v>56.833333333333329</v>
          </cell>
          <cell r="P22">
            <v>34</v>
          </cell>
          <cell r="Q22">
            <v>287.671875</v>
          </cell>
          <cell r="R22">
            <v>34</v>
          </cell>
          <cell r="S22">
            <v>287.671875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16</v>
          </cell>
          <cell r="Y22">
            <v>216.6</v>
          </cell>
          <cell r="Z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496.94</v>
          </cell>
          <cell r="AH22">
            <v>0</v>
          </cell>
          <cell r="AI22">
            <v>343.34</v>
          </cell>
          <cell r="AJ22">
            <v>0</v>
          </cell>
          <cell r="AK22">
            <v>0</v>
          </cell>
          <cell r="AL22">
            <v>2900.9252083333336</v>
          </cell>
          <cell r="AM22">
            <v>0</v>
          </cell>
          <cell r="AN22">
            <v>0</v>
          </cell>
          <cell r="AO22" t="str">
            <v>HR</v>
          </cell>
          <cell r="AP22">
            <v>430.20720839583333</v>
          </cell>
          <cell r="AQ22">
            <v>348.11102500000004</v>
          </cell>
          <cell r="AR22">
            <v>56.568041562500007</v>
          </cell>
          <cell r="AS22">
            <v>25.528141833333336</v>
          </cell>
          <cell r="AT22">
            <v>430.20720839583339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D22">
            <v>0</v>
          </cell>
          <cell r="BE22">
            <v>0</v>
          </cell>
          <cell r="BF22">
            <v>430.20720839583339</v>
          </cell>
          <cell r="BG22">
            <v>2470.7179999375003</v>
          </cell>
          <cell r="BH22">
            <v>261.08</v>
          </cell>
          <cell r="BI22">
            <v>29.465646698541669</v>
          </cell>
          <cell r="BJ22">
            <v>211.56334329552919</v>
          </cell>
          <cell r="BK22">
            <v>37.475725412708336</v>
          </cell>
          <cell r="BL22">
            <v>48.08</v>
          </cell>
          <cell r="BM22">
            <v>587.66471540677924</v>
          </cell>
        </row>
        <row r="23">
          <cell r="A23">
            <v>12</v>
          </cell>
          <cell r="B23" t="str">
            <v>BUENDIA ICHPAS GAUDENCIO</v>
          </cell>
          <cell r="C23">
            <v>39639</v>
          </cell>
          <cell r="D23">
            <v>39716</v>
          </cell>
          <cell r="E23" t="str">
            <v>PERFORISTA</v>
          </cell>
          <cell r="F23">
            <v>54.15</v>
          </cell>
          <cell r="G23">
            <v>25</v>
          </cell>
          <cell r="H23">
            <v>200</v>
          </cell>
          <cell r="I23">
            <v>1353.75</v>
          </cell>
          <cell r="J23">
            <v>3.8461538461538463</v>
          </cell>
          <cell r="K23">
            <v>208.27</v>
          </cell>
          <cell r="L23">
            <v>0</v>
          </cell>
          <cell r="M23">
            <v>0</v>
          </cell>
          <cell r="N23">
            <v>31</v>
          </cell>
          <cell r="O23">
            <v>56.833333333333329</v>
          </cell>
          <cell r="P23">
            <v>34</v>
          </cell>
          <cell r="Q23">
            <v>287.671875</v>
          </cell>
          <cell r="R23">
            <v>34</v>
          </cell>
          <cell r="S23">
            <v>287.671875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16</v>
          </cell>
          <cell r="Y23">
            <v>216.6</v>
          </cell>
          <cell r="Z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496.94</v>
          </cell>
          <cell r="AH23">
            <v>0</v>
          </cell>
          <cell r="AI23">
            <v>343.34</v>
          </cell>
          <cell r="AJ23">
            <v>0</v>
          </cell>
          <cell r="AK23">
            <v>0</v>
          </cell>
          <cell r="AL23">
            <v>2963.4052083333336</v>
          </cell>
          <cell r="AM23">
            <v>0</v>
          </cell>
          <cell r="AN23">
            <v>0</v>
          </cell>
          <cell r="AO23" t="str">
            <v>PR</v>
          </cell>
          <cell r="AP23">
            <v>425.84132843750001</v>
          </cell>
          <cell r="AQ23">
            <v>355.60862500000002</v>
          </cell>
          <cell r="AR23">
            <v>57.786401562500004</v>
          </cell>
          <cell r="AS23">
            <v>26.077965833333337</v>
          </cell>
          <cell r="AT23">
            <v>439.47299239583333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D23">
            <v>0</v>
          </cell>
          <cell r="BE23">
            <v>0</v>
          </cell>
          <cell r="BF23">
            <v>439.47299239583333</v>
          </cell>
          <cell r="BG23">
            <v>2523.9322159375001</v>
          </cell>
          <cell r="BH23">
            <v>266.70999999999998</v>
          </cell>
          <cell r="BI23">
            <v>30.231464058541668</v>
          </cell>
          <cell r="BJ23">
            <v>217.06191194032922</v>
          </cell>
          <cell r="BK23">
            <v>38.449726132708335</v>
          </cell>
          <cell r="BL23">
            <v>49.33</v>
          </cell>
          <cell r="BM23">
            <v>601.7831021315792</v>
          </cell>
        </row>
        <row r="24">
          <cell r="A24">
            <v>13</v>
          </cell>
          <cell r="B24" t="str">
            <v>BUSICH FERNANDEZ ELI RICHT</v>
          </cell>
          <cell r="C24">
            <v>38299</v>
          </cell>
          <cell r="D24">
            <v>39716</v>
          </cell>
          <cell r="E24" t="str">
            <v>OP. SCOOP</v>
          </cell>
          <cell r="F24">
            <v>59.65</v>
          </cell>
          <cell r="G24">
            <v>22</v>
          </cell>
          <cell r="H24">
            <v>176</v>
          </cell>
          <cell r="I24">
            <v>1312.3</v>
          </cell>
          <cell r="J24">
            <v>3.6923076923076925</v>
          </cell>
          <cell r="K24">
            <v>220.25</v>
          </cell>
          <cell r="L24">
            <v>0</v>
          </cell>
          <cell r="M24">
            <v>0</v>
          </cell>
          <cell r="N24">
            <v>31</v>
          </cell>
          <cell r="O24">
            <v>56.833333333333329</v>
          </cell>
          <cell r="P24">
            <v>34</v>
          </cell>
          <cell r="Q24">
            <v>316.890625</v>
          </cell>
          <cell r="R24">
            <v>34</v>
          </cell>
          <cell r="S24">
            <v>316.890625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8</v>
          </cell>
          <cell r="Y24">
            <v>119.3</v>
          </cell>
          <cell r="Z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845.91</v>
          </cell>
          <cell r="AH24">
            <v>0</v>
          </cell>
          <cell r="AI24">
            <v>1572.39</v>
          </cell>
          <cell r="AJ24">
            <v>2</v>
          </cell>
          <cell r="AK24">
            <v>119.3</v>
          </cell>
          <cell r="AL24">
            <v>4563.1739583333338</v>
          </cell>
          <cell r="AM24">
            <v>0</v>
          </cell>
          <cell r="AN24">
            <v>5</v>
          </cell>
          <cell r="AO24" t="str">
            <v>PR</v>
          </cell>
          <cell r="AP24">
            <v>655.72809781249998</v>
          </cell>
          <cell r="AQ24">
            <v>547.58087499999999</v>
          </cell>
          <cell r="AR24">
            <v>88.981892187500009</v>
          </cell>
          <cell r="AS24">
            <v>40.155930833333336</v>
          </cell>
          <cell r="AT24">
            <v>676.71869802083324</v>
          </cell>
          <cell r="AU24">
            <v>66.91</v>
          </cell>
          <cell r="AV24">
            <v>0</v>
          </cell>
          <cell r="AW24">
            <v>0</v>
          </cell>
          <cell r="AX24">
            <v>51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D24">
            <v>0</v>
          </cell>
          <cell r="BE24">
            <v>0</v>
          </cell>
          <cell r="BF24">
            <v>799.62869802083321</v>
          </cell>
          <cell r="BG24">
            <v>3763.5452603125004</v>
          </cell>
          <cell r="BH24">
            <v>410.69</v>
          </cell>
          <cell r="BI24">
            <v>45.562504337291671</v>
          </cell>
          <cell r="BJ24">
            <v>327.13878114175424</v>
          </cell>
          <cell r="BK24">
            <v>57.948427846458344</v>
          </cell>
          <cell r="BL24">
            <v>74.349999999999994</v>
          </cell>
          <cell r="BM24">
            <v>915.68971332550427</v>
          </cell>
        </row>
        <row r="25">
          <cell r="A25">
            <v>14</v>
          </cell>
          <cell r="B25" t="str">
            <v>BRICEÑO UGARTE EDGAR CALENDARIO</v>
          </cell>
          <cell r="C25">
            <v>39484</v>
          </cell>
          <cell r="D25">
            <v>39716</v>
          </cell>
          <cell r="E25" t="str">
            <v>PERFORISTA</v>
          </cell>
          <cell r="F25">
            <v>54.15</v>
          </cell>
          <cell r="G25">
            <v>21</v>
          </cell>
          <cell r="H25">
            <v>168</v>
          </cell>
          <cell r="I25">
            <v>1137.1500000000001</v>
          </cell>
          <cell r="J25">
            <v>3.8461538461538463</v>
          </cell>
          <cell r="K25">
            <v>208.27</v>
          </cell>
          <cell r="L25">
            <v>0</v>
          </cell>
          <cell r="M25">
            <v>0</v>
          </cell>
          <cell r="N25">
            <v>31</v>
          </cell>
          <cell r="O25">
            <v>56.833333333333329</v>
          </cell>
          <cell r="P25">
            <v>28</v>
          </cell>
          <cell r="Q25">
            <v>236.90625</v>
          </cell>
          <cell r="R25">
            <v>28</v>
          </cell>
          <cell r="S25">
            <v>236.90625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767.99</v>
          </cell>
          <cell r="AH25">
            <v>0</v>
          </cell>
          <cell r="AI25">
            <v>1039.05</v>
          </cell>
          <cell r="AJ25">
            <v>4</v>
          </cell>
          <cell r="AK25">
            <v>216.6</v>
          </cell>
          <cell r="AL25">
            <v>3662.799583333333</v>
          </cell>
          <cell r="AM25">
            <v>0</v>
          </cell>
          <cell r="AN25">
            <v>5</v>
          </cell>
          <cell r="AO25" t="str">
            <v>IN</v>
          </cell>
          <cell r="AP25">
            <v>537.69897883333329</v>
          </cell>
          <cell r="AQ25">
            <v>439.53594999999996</v>
          </cell>
          <cell r="AR25">
            <v>71.42459187499999</v>
          </cell>
          <cell r="AS25">
            <v>32.232636333333332</v>
          </cell>
          <cell r="AT25">
            <v>543.19317820833328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D25">
            <v>0</v>
          </cell>
          <cell r="BE25">
            <v>0</v>
          </cell>
          <cell r="BF25">
            <v>548.19317820833328</v>
          </cell>
          <cell r="BG25">
            <v>3114.6064051249996</v>
          </cell>
          <cell r="BH25">
            <v>329.65</v>
          </cell>
          <cell r="BI25">
            <v>35.481681062916657</v>
          </cell>
          <cell r="BJ25">
            <v>254.75847003174164</v>
          </cell>
          <cell r="BK25">
            <v>45.127186594583328</v>
          </cell>
          <cell r="BL25">
            <v>57.9</v>
          </cell>
          <cell r="BM25">
            <v>722.91733768924166</v>
          </cell>
        </row>
        <row r="26">
          <cell r="A26">
            <v>15</v>
          </cell>
          <cell r="B26" t="str">
            <v>CALSINA MAMANI ESTEBAN MARIANO</v>
          </cell>
          <cell r="C26">
            <v>39611</v>
          </cell>
          <cell r="D26">
            <v>39716</v>
          </cell>
          <cell r="E26" t="str">
            <v>PERFORISTA</v>
          </cell>
          <cell r="F26">
            <v>54.15</v>
          </cell>
          <cell r="G26">
            <v>26</v>
          </cell>
          <cell r="H26">
            <v>208</v>
          </cell>
          <cell r="I26">
            <v>1407.9</v>
          </cell>
          <cell r="J26">
            <v>4</v>
          </cell>
          <cell r="K26">
            <v>216.6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36</v>
          </cell>
          <cell r="Q26">
            <v>304.59375</v>
          </cell>
          <cell r="R26">
            <v>36</v>
          </cell>
          <cell r="S26">
            <v>304.59375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16</v>
          </cell>
          <cell r="Y26">
            <v>216.6</v>
          </cell>
          <cell r="Z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767.99</v>
          </cell>
          <cell r="AH26">
            <v>0</v>
          </cell>
          <cell r="AI26">
            <v>469.83</v>
          </cell>
          <cell r="AJ26">
            <v>0</v>
          </cell>
          <cell r="AK26">
            <v>0</v>
          </cell>
          <cell r="AL26">
            <v>3383.5137500000001</v>
          </cell>
          <cell r="AM26">
            <v>439.85678750000005</v>
          </cell>
          <cell r="AN26">
            <v>0</v>
          </cell>
          <cell r="AO26" t="str">
            <v>ONP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D26">
            <v>0</v>
          </cell>
          <cell r="BE26">
            <v>0</v>
          </cell>
          <cell r="BF26">
            <v>439.85678750000005</v>
          </cell>
          <cell r="BG26">
            <v>2943.6569625000002</v>
          </cell>
          <cell r="BH26">
            <v>304.52</v>
          </cell>
          <cell r="BI26">
            <v>32.05847460375</v>
          </cell>
          <cell r="BJ26">
            <v>230.17984765492503</v>
          </cell>
          <cell r="BK26">
            <v>40.773399738750001</v>
          </cell>
          <cell r="BL26">
            <v>0</v>
          </cell>
          <cell r="BM26">
            <v>607.53172199742494</v>
          </cell>
        </row>
        <row r="27">
          <cell r="A27">
            <v>16</v>
          </cell>
          <cell r="B27" t="str">
            <v>CANTURIN URBANO, WILMER PEDRO</v>
          </cell>
          <cell r="C27">
            <v>39150</v>
          </cell>
          <cell r="D27">
            <v>39716</v>
          </cell>
          <cell r="E27" t="str">
            <v>AYTE. PERF.</v>
          </cell>
          <cell r="F27">
            <v>54.15</v>
          </cell>
          <cell r="G27">
            <v>24</v>
          </cell>
          <cell r="H27">
            <v>192</v>
          </cell>
          <cell r="I27">
            <v>1299.5999999999999</v>
          </cell>
          <cell r="J27">
            <v>3.6923076923076925</v>
          </cell>
          <cell r="K27">
            <v>199.94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48</v>
          </cell>
          <cell r="Q27">
            <v>406.125</v>
          </cell>
          <cell r="R27">
            <v>48</v>
          </cell>
          <cell r="S27">
            <v>406.125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16</v>
          </cell>
          <cell r="Y27">
            <v>216.6</v>
          </cell>
          <cell r="Z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767.13</v>
          </cell>
          <cell r="AH27">
            <v>1624.5</v>
          </cell>
          <cell r="AI27">
            <v>888.96</v>
          </cell>
          <cell r="AJ27">
            <v>0</v>
          </cell>
          <cell r="AK27">
            <v>0</v>
          </cell>
          <cell r="AL27">
            <v>5402.8550000000005</v>
          </cell>
          <cell r="AM27">
            <v>0</v>
          </cell>
          <cell r="AN27">
            <v>5</v>
          </cell>
          <cell r="AO27" t="str">
            <v>HR</v>
          </cell>
          <cell r="AP27">
            <v>801.24339650000002</v>
          </cell>
          <cell r="AQ27">
            <v>648.34260000000006</v>
          </cell>
          <cell r="AR27">
            <v>105.35567250000001</v>
          </cell>
          <cell r="AS27">
            <v>47.545124000000008</v>
          </cell>
          <cell r="AT27">
            <v>801.24339650000002</v>
          </cell>
          <cell r="AU27">
            <v>36.67</v>
          </cell>
          <cell r="AV27">
            <v>0</v>
          </cell>
          <cell r="AW27">
            <v>0</v>
          </cell>
          <cell r="AX27">
            <v>45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D27">
            <v>0</v>
          </cell>
          <cell r="BE27">
            <v>0</v>
          </cell>
          <cell r="BF27">
            <v>887.91339649999998</v>
          </cell>
          <cell r="BG27">
            <v>4514.9416035000004</v>
          </cell>
          <cell r="BH27">
            <v>486.26</v>
          </cell>
          <cell r="BI27">
            <v>56.820081325000011</v>
          </cell>
          <cell r="BJ27">
            <v>407.96818391350007</v>
          </cell>
          <cell r="BK27">
            <v>72.266317025000006</v>
          </cell>
          <cell r="BL27">
            <v>92.71</v>
          </cell>
          <cell r="BM27">
            <v>1116.0245822635002</v>
          </cell>
        </row>
        <row r="28">
          <cell r="A28">
            <v>17</v>
          </cell>
          <cell r="B28" t="str">
            <v>CARBAJAL TUMBA RUDECINDO</v>
          </cell>
          <cell r="C28">
            <v>38755</v>
          </cell>
          <cell r="D28">
            <v>39716</v>
          </cell>
          <cell r="E28" t="str">
            <v>PERFORISTA</v>
          </cell>
          <cell r="F28">
            <v>56.15</v>
          </cell>
          <cell r="G28">
            <v>22</v>
          </cell>
          <cell r="H28">
            <v>176</v>
          </cell>
          <cell r="I28">
            <v>1235.3</v>
          </cell>
          <cell r="J28">
            <v>3.8461538461538463</v>
          </cell>
          <cell r="K28">
            <v>215.96</v>
          </cell>
          <cell r="L28">
            <v>0</v>
          </cell>
          <cell r="M28">
            <v>0</v>
          </cell>
          <cell r="N28">
            <v>31</v>
          </cell>
          <cell r="O28">
            <v>56.833333333333329</v>
          </cell>
          <cell r="P28">
            <v>24</v>
          </cell>
          <cell r="Q28">
            <v>210.5625</v>
          </cell>
          <cell r="R28">
            <v>24</v>
          </cell>
          <cell r="S28">
            <v>210.5625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796.32</v>
          </cell>
          <cell r="AH28">
            <v>0</v>
          </cell>
          <cell r="AI28">
            <v>0</v>
          </cell>
          <cell r="AJ28">
            <v>3</v>
          </cell>
          <cell r="AK28">
            <v>168.45</v>
          </cell>
          <cell r="AL28">
            <v>2683.4258333333332</v>
          </cell>
          <cell r="AM28">
            <v>0</v>
          </cell>
          <cell r="AN28">
            <v>5</v>
          </cell>
          <cell r="AO28" t="str">
            <v>IN</v>
          </cell>
          <cell r="AP28">
            <v>393.92691233333335</v>
          </cell>
          <cell r="AQ28">
            <v>322.0111</v>
          </cell>
          <cell r="AR28">
            <v>52.326803749999996</v>
          </cell>
          <cell r="AS28">
            <v>23.614147333333335</v>
          </cell>
          <cell r="AT28">
            <v>397.95205108333334</v>
          </cell>
          <cell r="AU28">
            <v>60.47</v>
          </cell>
          <cell r="AV28">
            <v>0</v>
          </cell>
          <cell r="AW28">
            <v>0</v>
          </cell>
          <cell r="AX28">
            <v>40.15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D28">
            <v>0</v>
          </cell>
          <cell r="BE28">
            <v>0</v>
          </cell>
          <cell r="BF28">
            <v>503.57205108333335</v>
          </cell>
          <cell r="BG28">
            <v>2179.8537822499998</v>
          </cell>
          <cell r="BH28">
            <v>0</v>
          </cell>
          <cell r="BI28">
            <v>23.130256199166663</v>
          </cell>
          <cell r="BJ28">
            <v>166.07523951001667</v>
          </cell>
          <cell r="BK28">
            <v>29.418092835833331</v>
          </cell>
          <cell r="BL28">
            <v>37.74</v>
          </cell>
          <cell r="BM28">
            <v>256.36358854501663</v>
          </cell>
        </row>
        <row r="29">
          <cell r="A29">
            <v>18</v>
          </cell>
          <cell r="B29" t="str">
            <v>CARHUAZ HILARIO RAUL ROBIN</v>
          </cell>
          <cell r="C29">
            <v>39489</v>
          </cell>
          <cell r="D29">
            <v>39716</v>
          </cell>
          <cell r="E29" t="str">
            <v>AYTE. PERF.</v>
          </cell>
          <cell r="F29">
            <v>50.15</v>
          </cell>
          <cell r="G29">
            <v>21</v>
          </cell>
          <cell r="H29">
            <v>168</v>
          </cell>
          <cell r="I29">
            <v>1053.1500000000001</v>
          </cell>
          <cell r="J29">
            <v>3.2307692307692308</v>
          </cell>
          <cell r="K29">
            <v>162.02000000000001</v>
          </cell>
          <cell r="L29">
            <v>0</v>
          </cell>
          <cell r="M29">
            <v>0</v>
          </cell>
          <cell r="N29">
            <v>31</v>
          </cell>
          <cell r="O29">
            <v>56.833333333333329</v>
          </cell>
          <cell r="P29">
            <v>24</v>
          </cell>
          <cell r="Q29">
            <v>188.0625</v>
          </cell>
          <cell r="R29">
            <v>24</v>
          </cell>
          <cell r="S29">
            <v>188.0625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460.27</v>
          </cell>
          <cell r="AH29">
            <v>0</v>
          </cell>
          <cell r="AI29">
            <v>962.38</v>
          </cell>
          <cell r="AJ29">
            <v>0</v>
          </cell>
          <cell r="AK29">
            <v>0</v>
          </cell>
          <cell r="AL29">
            <v>2882.7158333333332</v>
          </cell>
          <cell r="AM29">
            <v>0</v>
          </cell>
          <cell r="AN29">
            <v>5</v>
          </cell>
          <cell r="AO29" t="str">
            <v>PR</v>
          </cell>
          <cell r="AP29">
            <v>414.24626524999996</v>
          </cell>
          <cell r="AQ29">
            <v>345.92589999999996</v>
          </cell>
          <cell r="AR29">
            <v>56.212958749999999</v>
          </cell>
          <cell r="AS29">
            <v>25.367899333333334</v>
          </cell>
          <cell r="AT29">
            <v>427.5067580833333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D29">
            <v>0</v>
          </cell>
          <cell r="BE29">
            <v>0</v>
          </cell>
          <cell r="BF29">
            <v>432.5067580833333</v>
          </cell>
          <cell r="BG29">
            <v>2450.2090752499998</v>
          </cell>
          <cell r="BH29">
            <v>259.44</v>
          </cell>
          <cell r="BI29">
            <v>29.691918579166664</v>
          </cell>
          <cell r="BJ29">
            <v>213.18797539841668</v>
          </cell>
          <cell r="BK29">
            <v>37.76350809583333</v>
          </cell>
          <cell r="BL29">
            <v>48.45</v>
          </cell>
          <cell r="BM29">
            <v>588.53340207341671</v>
          </cell>
        </row>
        <row r="30">
          <cell r="A30">
            <v>19</v>
          </cell>
          <cell r="B30" t="str">
            <v>CARRANZA FERNANDEZ FERNANDO</v>
          </cell>
          <cell r="C30">
            <v>39373</v>
          </cell>
          <cell r="D30">
            <v>39694</v>
          </cell>
          <cell r="E30" t="str">
            <v>ELECTRICISTA</v>
          </cell>
          <cell r="F30">
            <v>54.15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31</v>
          </cell>
          <cell r="O30">
            <v>56.833333333333329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569.22</v>
          </cell>
          <cell r="AH30">
            <v>0</v>
          </cell>
          <cell r="AI30">
            <v>1427.56</v>
          </cell>
          <cell r="AJ30">
            <v>0</v>
          </cell>
          <cell r="AK30">
            <v>0</v>
          </cell>
          <cell r="AL30">
            <v>2053.6133333333332</v>
          </cell>
          <cell r="AM30">
            <v>0</v>
          </cell>
          <cell r="AN30">
            <v>5</v>
          </cell>
          <cell r="AO30" t="str">
            <v>HR</v>
          </cell>
          <cell r="AP30">
            <v>304.55085733333328</v>
          </cell>
          <cell r="AQ30">
            <v>246.43359999999998</v>
          </cell>
          <cell r="AR30">
            <v>40.045459999999999</v>
          </cell>
          <cell r="AS30">
            <v>18.071797333333333</v>
          </cell>
          <cell r="AT30">
            <v>304.55085733333334</v>
          </cell>
          <cell r="AU30">
            <v>-11.82</v>
          </cell>
          <cell r="AV30">
            <v>0</v>
          </cell>
          <cell r="AW30">
            <v>0</v>
          </cell>
          <cell r="AX30">
            <v>35</v>
          </cell>
          <cell r="AY30">
            <v>0</v>
          </cell>
          <cell r="AZ30">
            <v>0</v>
          </cell>
          <cell r="BA30">
            <v>1</v>
          </cell>
          <cell r="BB30">
            <v>0</v>
          </cell>
          <cell r="BD30">
            <v>0</v>
          </cell>
          <cell r="BE30">
            <v>0</v>
          </cell>
          <cell r="BF30">
            <v>333.73085733333335</v>
          </cell>
          <cell r="BG30">
            <v>1719.8824759999998</v>
          </cell>
          <cell r="BH30">
            <v>184.83</v>
          </cell>
          <cell r="BI30">
            <v>18.194209086666667</v>
          </cell>
          <cell r="BJ30">
            <v>130.63442124226665</v>
          </cell>
          <cell r="BK30">
            <v>23.140207673333329</v>
          </cell>
          <cell r="BL30">
            <v>29.69</v>
          </cell>
          <cell r="BM30">
            <v>386.48883800226668</v>
          </cell>
        </row>
        <row r="31">
          <cell r="A31">
            <v>20</v>
          </cell>
          <cell r="B31" t="str">
            <v>CASO RAMOS ARTEMIO DAVID</v>
          </cell>
          <cell r="C31">
            <v>38909</v>
          </cell>
          <cell r="D31">
            <v>39716</v>
          </cell>
          <cell r="E31" t="str">
            <v>AYTE. PERF.</v>
          </cell>
          <cell r="F31">
            <v>54.15</v>
          </cell>
          <cell r="G31">
            <v>24</v>
          </cell>
          <cell r="H31">
            <v>192</v>
          </cell>
          <cell r="I31">
            <v>1299.5999999999999</v>
          </cell>
          <cell r="J31">
            <v>4</v>
          </cell>
          <cell r="K31">
            <v>216.6</v>
          </cell>
          <cell r="L31">
            <v>0</v>
          </cell>
          <cell r="M31">
            <v>0</v>
          </cell>
          <cell r="N31">
            <v>31</v>
          </cell>
          <cell r="O31">
            <v>56.833333333333329</v>
          </cell>
          <cell r="P31">
            <v>40</v>
          </cell>
          <cell r="Q31">
            <v>338.4375</v>
          </cell>
          <cell r="R31">
            <v>40</v>
          </cell>
          <cell r="S31">
            <v>338.4375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8</v>
          </cell>
          <cell r="Y31">
            <v>108.3</v>
          </cell>
          <cell r="Z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767.99</v>
          </cell>
          <cell r="AH31">
            <v>1626.33</v>
          </cell>
          <cell r="AI31">
            <v>338.82</v>
          </cell>
          <cell r="AJ31">
            <v>2</v>
          </cell>
          <cell r="AK31">
            <v>108.3</v>
          </cell>
          <cell r="AL31">
            <v>4861.2108333333326</v>
          </cell>
          <cell r="AM31">
            <v>0</v>
          </cell>
          <cell r="AN31">
            <v>5</v>
          </cell>
          <cell r="AO31" t="str">
            <v>PF</v>
          </cell>
          <cell r="AP31">
            <v>723.34817199999986</v>
          </cell>
          <cell r="AQ31">
            <v>583.34529999999984</v>
          </cell>
          <cell r="AR31">
            <v>94.793611249999984</v>
          </cell>
          <cell r="AS31">
            <v>42.778655333333333</v>
          </cell>
          <cell r="AT31">
            <v>720.91756658333315</v>
          </cell>
          <cell r="AU31">
            <v>0</v>
          </cell>
          <cell r="AV31">
            <v>0</v>
          </cell>
          <cell r="AW31">
            <v>0</v>
          </cell>
          <cell r="AX31">
            <v>35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D31">
            <v>0</v>
          </cell>
          <cell r="BE31">
            <v>0</v>
          </cell>
          <cell r="BF31">
            <v>760.91756658333315</v>
          </cell>
          <cell r="BG31">
            <v>4100.293266749999</v>
          </cell>
          <cell r="BH31">
            <v>437.51</v>
          </cell>
          <cell r="BI31">
            <v>50.17060775416666</v>
          </cell>
          <cell r="BJ31">
            <v>360.22496367491658</v>
          </cell>
          <cell r="BK31">
            <v>63.809219570833335</v>
          </cell>
          <cell r="BL31">
            <v>81.86</v>
          </cell>
          <cell r="BM31">
            <v>993.57479099991656</v>
          </cell>
        </row>
        <row r="32">
          <cell r="A32">
            <v>21</v>
          </cell>
          <cell r="B32" t="str">
            <v>CAYETANO AIRE ELMER DIONICIO</v>
          </cell>
          <cell r="C32">
            <v>38335</v>
          </cell>
          <cell r="D32">
            <v>39716</v>
          </cell>
          <cell r="E32" t="str">
            <v>PERFORISTA</v>
          </cell>
          <cell r="F32">
            <v>56.15</v>
          </cell>
          <cell r="G32">
            <v>19</v>
          </cell>
          <cell r="H32">
            <v>152</v>
          </cell>
          <cell r="I32">
            <v>1066.8499999999999</v>
          </cell>
          <cell r="J32">
            <v>3.2307692307692308</v>
          </cell>
          <cell r="K32">
            <v>181.41</v>
          </cell>
          <cell r="L32">
            <v>0</v>
          </cell>
          <cell r="M32">
            <v>0</v>
          </cell>
          <cell r="N32">
            <v>31</v>
          </cell>
          <cell r="O32">
            <v>56.833333333333329</v>
          </cell>
          <cell r="P32">
            <v>24</v>
          </cell>
          <cell r="Q32">
            <v>210.5625</v>
          </cell>
          <cell r="R32">
            <v>24</v>
          </cell>
          <cell r="S32">
            <v>210.5625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355</v>
          </cell>
          <cell r="AB32">
            <v>258</v>
          </cell>
          <cell r="AC32">
            <v>9</v>
          </cell>
          <cell r="AD32">
            <v>505.35</v>
          </cell>
          <cell r="AE32">
            <v>0</v>
          </cell>
          <cell r="AF32">
            <v>0</v>
          </cell>
          <cell r="AG32">
            <v>796.32</v>
          </cell>
          <cell r="AH32">
            <v>0</v>
          </cell>
          <cell r="AI32">
            <v>0</v>
          </cell>
          <cell r="AJ32">
            <v>2</v>
          </cell>
          <cell r="AK32">
            <v>112.3</v>
          </cell>
          <cell r="AL32">
            <v>3542.6258333333335</v>
          </cell>
          <cell r="AM32">
            <v>0</v>
          </cell>
          <cell r="AN32">
            <v>0</v>
          </cell>
          <cell r="AO32" t="str">
            <v>IN</v>
          </cell>
          <cell r="AP32">
            <v>520.05747233333341</v>
          </cell>
          <cell r="AQ32">
            <v>425.11509999999998</v>
          </cell>
          <cell r="AR32">
            <v>69.08120375</v>
          </cell>
          <cell r="AS32">
            <v>31.175107333333337</v>
          </cell>
          <cell r="AT32">
            <v>525.37141108333333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D32">
            <v>0</v>
          </cell>
          <cell r="BE32">
            <v>0</v>
          </cell>
          <cell r="BF32">
            <v>525.37141108333333</v>
          </cell>
          <cell r="BG32">
            <v>3017.2544222500001</v>
          </cell>
          <cell r="BH32">
            <v>273.35000000000002</v>
          </cell>
          <cell r="BI32">
            <v>33.66147059916667</v>
          </cell>
          <cell r="BJ32">
            <v>241.68935890201669</v>
          </cell>
          <cell r="BK32">
            <v>42.812161635833334</v>
          </cell>
          <cell r="BL32">
            <v>54.93</v>
          </cell>
          <cell r="BM32">
            <v>646.44299113701675</v>
          </cell>
        </row>
        <row r="33">
          <cell r="A33">
            <v>22</v>
          </cell>
          <cell r="B33" t="str">
            <v>CAYETANO ARIAS MIGUEL ANGEL</v>
          </cell>
          <cell r="C33">
            <v>39034</v>
          </cell>
          <cell r="D33">
            <v>39716</v>
          </cell>
          <cell r="E33" t="str">
            <v>PERFORISTA</v>
          </cell>
          <cell r="F33">
            <v>56.15</v>
          </cell>
          <cell r="G33">
            <v>25</v>
          </cell>
          <cell r="H33">
            <v>200</v>
          </cell>
          <cell r="I33">
            <v>1403.75</v>
          </cell>
          <cell r="J33">
            <v>3.8461538461538463</v>
          </cell>
          <cell r="K33">
            <v>215.96</v>
          </cell>
          <cell r="L33">
            <v>0</v>
          </cell>
          <cell r="M33">
            <v>0</v>
          </cell>
          <cell r="N33">
            <v>31</v>
          </cell>
          <cell r="O33">
            <v>56.833333333333329</v>
          </cell>
          <cell r="P33">
            <v>28</v>
          </cell>
          <cell r="Q33">
            <v>245.65625</v>
          </cell>
          <cell r="R33">
            <v>28</v>
          </cell>
          <cell r="S33">
            <v>245.65625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796.32299999999998</v>
          </cell>
          <cell r="AH33">
            <v>0</v>
          </cell>
          <cell r="AI33">
            <v>1466.17</v>
          </cell>
          <cell r="AJ33">
            <v>0</v>
          </cell>
          <cell r="AK33">
            <v>0</v>
          </cell>
          <cell r="AL33">
            <v>4184.6925833333335</v>
          </cell>
          <cell r="AM33">
            <v>544.0100358333334</v>
          </cell>
          <cell r="AN33">
            <v>5</v>
          </cell>
          <cell r="AO33" t="str">
            <v>ONP</v>
          </cell>
          <cell r="AP33">
            <v>0</v>
          </cell>
          <cell r="AQ33">
            <v>502.16311000000002</v>
          </cell>
          <cell r="AR33">
            <v>81.601505375000002</v>
          </cell>
          <cell r="AS33">
            <v>36.825294733333337</v>
          </cell>
          <cell r="AT33">
            <v>620.58991010833336</v>
          </cell>
          <cell r="AU33">
            <v>92.42</v>
          </cell>
          <cell r="AV33">
            <v>708.65250950000006</v>
          </cell>
          <cell r="AW33">
            <v>0</v>
          </cell>
          <cell r="AX33">
            <v>51</v>
          </cell>
          <cell r="AY33">
            <v>0</v>
          </cell>
          <cell r="AZ33">
            <v>0</v>
          </cell>
          <cell r="BA33">
            <v>0</v>
          </cell>
          <cell r="BB33">
            <v>258</v>
          </cell>
          <cell r="BD33">
            <v>0</v>
          </cell>
          <cell r="BE33">
            <v>0</v>
          </cell>
          <cell r="BF33">
            <v>2279.6724554416669</v>
          </cell>
          <cell r="BG33">
            <v>1905.0201278916666</v>
          </cell>
          <cell r="BH33">
            <v>0</v>
          </cell>
          <cell r="BI33">
            <v>41.531245982916673</v>
          </cell>
          <cell r="BJ33">
            <v>298.19434615734167</v>
          </cell>
          <cell r="BK33">
            <v>52.821293434583339</v>
          </cell>
          <cell r="BL33">
            <v>0</v>
          </cell>
          <cell r="BM33">
            <v>392.54688557484167</v>
          </cell>
        </row>
        <row r="34">
          <cell r="A34">
            <v>23</v>
          </cell>
          <cell r="B34" t="str">
            <v>CAYETANO HURTADO TIMOTEO</v>
          </cell>
          <cell r="C34">
            <v>38663</v>
          </cell>
          <cell r="D34">
            <v>39716</v>
          </cell>
          <cell r="E34" t="str">
            <v>OP. SCOOP</v>
          </cell>
          <cell r="F34">
            <v>59.65</v>
          </cell>
          <cell r="G34">
            <v>25</v>
          </cell>
          <cell r="H34">
            <v>200</v>
          </cell>
          <cell r="I34">
            <v>1491.25</v>
          </cell>
          <cell r="J34">
            <v>3.8461538461538463</v>
          </cell>
          <cell r="K34">
            <v>229.42</v>
          </cell>
          <cell r="L34">
            <v>0</v>
          </cell>
          <cell r="M34">
            <v>0</v>
          </cell>
          <cell r="N34">
            <v>31</v>
          </cell>
          <cell r="O34">
            <v>56.833333333333329</v>
          </cell>
          <cell r="P34">
            <v>24</v>
          </cell>
          <cell r="Q34">
            <v>223.6875</v>
          </cell>
          <cell r="R34">
            <v>24</v>
          </cell>
          <cell r="S34">
            <v>223.6875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845.91</v>
          </cell>
          <cell r="AH34">
            <v>0</v>
          </cell>
          <cell r="AI34">
            <v>1587.32</v>
          </cell>
          <cell r="AJ34">
            <v>0</v>
          </cell>
          <cell r="AK34">
            <v>0</v>
          </cell>
          <cell r="AL34">
            <v>4434.4208333333336</v>
          </cell>
          <cell r="AM34">
            <v>0</v>
          </cell>
          <cell r="AN34">
            <v>5</v>
          </cell>
          <cell r="AO34" t="str">
            <v>IN</v>
          </cell>
          <cell r="AP34">
            <v>650.97297833333346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31.7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D34">
            <v>0</v>
          </cell>
          <cell r="BE34">
            <v>0</v>
          </cell>
          <cell r="BF34">
            <v>36.700000000000003</v>
          </cell>
          <cell r="BG34">
            <v>4397.7208333333338</v>
          </cell>
          <cell r="BH34">
            <v>399.1</v>
          </cell>
          <cell r="BI34">
            <v>43.984377284166669</v>
          </cell>
          <cell r="BJ34">
            <v>315.80782890031679</v>
          </cell>
          <cell r="BK34">
            <v>55.941295380833346</v>
          </cell>
          <cell r="BL34">
            <v>71.77</v>
          </cell>
          <cell r="BM34">
            <v>886.60350156531683</v>
          </cell>
        </row>
        <row r="35">
          <cell r="A35">
            <v>24</v>
          </cell>
          <cell r="B35" t="str">
            <v>CHACA CRUZ MANUEL</v>
          </cell>
          <cell r="C35">
            <v>39034</v>
          </cell>
          <cell r="D35">
            <v>39716</v>
          </cell>
          <cell r="E35" t="str">
            <v>AYTE. PERF.</v>
          </cell>
          <cell r="F35">
            <v>54.15</v>
          </cell>
          <cell r="G35">
            <v>25</v>
          </cell>
          <cell r="H35">
            <v>200</v>
          </cell>
          <cell r="I35">
            <v>1353.75</v>
          </cell>
          <cell r="J35">
            <v>4</v>
          </cell>
          <cell r="K35">
            <v>216.6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26</v>
          </cell>
          <cell r="Q35">
            <v>219.984375</v>
          </cell>
          <cell r="R35">
            <v>26</v>
          </cell>
          <cell r="S35">
            <v>219.984375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496.38</v>
          </cell>
          <cell r="AH35">
            <v>0</v>
          </cell>
          <cell r="AI35">
            <v>1547.79</v>
          </cell>
          <cell r="AJ35">
            <v>1</v>
          </cell>
          <cell r="AK35">
            <v>54.15</v>
          </cell>
          <cell r="AL35">
            <v>3888.6543750000001</v>
          </cell>
          <cell r="AM35">
            <v>505.52506875</v>
          </cell>
          <cell r="AN35">
            <v>5</v>
          </cell>
          <cell r="AO35" t="str">
            <v>ONP</v>
          </cell>
          <cell r="AP35">
            <v>0</v>
          </cell>
          <cell r="AQ35">
            <v>466.63852500000002</v>
          </cell>
          <cell r="AR35">
            <v>75.828760312499995</v>
          </cell>
          <cell r="AS35">
            <v>34.220158500000004</v>
          </cell>
          <cell r="AT35">
            <v>576.68744381250008</v>
          </cell>
          <cell r="AU35">
            <v>30.47</v>
          </cell>
          <cell r="AV35">
            <v>0</v>
          </cell>
          <cell r="AW35">
            <v>0</v>
          </cell>
          <cell r="AX35">
            <v>35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D35">
            <v>0</v>
          </cell>
          <cell r="BE35">
            <v>0</v>
          </cell>
          <cell r="BF35">
            <v>1152.6825125625001</v>
          </cell>
          <cell r="BG35">
            <v>2735.9718624375</v>
          </cell>
          <cell r="BH35">
            <v>349.98</v>
          </cell>
          <cell r="BI35">
            <v>41.579107014375005</v>
          </cell>
          <cell r="BJ35">
            <v>298.53798836321249</v>
          </cell>
          <cell r="BK35">
            <v>52.882165231875</v>
          </cell>
          <cell r="BL35">
            <v>0</v>
          </cell>
          <cell r="BM35">
            <v>742.97926060946247</v>
          </cell>
        </row>
        <row r="36">
          <cell r="A36">
            <v>25</v>
          </cell>
          <cell r="B36" t="str">
            <v>CHACON FERNANDEZ OMAR ALFONSO</v>
          </cell>
          <cell r="C36">
            <v>38931</v>
          </cell>
          <cell r="D36">
            <v>39716</v>
          </cell>
          <cell r="E36" t="str">
            <v>AYTE. PERF.</v>
          </cell>
          <cell r="F36">
            <v>54.15</v>
          </cell>
          <cell r="G36">
            <v>24</v>
          </cell>
          <cell r="H36">
            <v>192</v>
          </cell>
          <cell r="I36">
            <v>1299.5999999999999</v>
          </cell>
          <cell r="J36">
            <v>3.6923076923076925</v>
          </cell>
          <cell r="K36">
            <v>199.94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17</v>
          </cell>
          <cell r="Q36">
            <v>143.8359375</v>
          </cell>
          <cell r="R36">
            <v>17</v>
          </cell>
          <cell r="S36">
            <v>143.8359375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8</v>
          </cell>
          <cell r="Y36">
            <v>108.3</v>
          </cell>
          <cell r="Z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767.13</v>
          </cell>
          <cell r="AH36">
            <v>1624.5</v>
          </cell>
          <cell r="AI36">
            <v>243.68</v>
          </cell>
          <cell r="AJ36">
            <v>0</v>
          </cell>
          <cell r="AK36">
            <v>0</v>
          </cell>
          <cell r="AL36">
            <v>4386.9859374999996</v>
          </cell>
          <cell r="AM36">
            <v>570.30817187499997</v>
          </cell>
          <cell r="AN36">
            <v>5</v>
          </cell>
          <cell r="AO36" t="str">
            <v>ONP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-4.0999999999999996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D36">
            <v>0</v>
          </cell>
          <cell r="BE36">
            <v>0</v>
          </cell>
          <cell r="BF36">
            <v>571.20817187499995</v>
          </cell>
          <cell r="BG36">
            <v>3815.7777656249996</v>
          </cell>
          <cell r="BH36">
            <v>394.83</v>
          </cell>
          <cell r="BI36">
            <v>44.368574225937493</v>
          </cell>
          <cell r="BJ36">
            <v>318.56636294223119</v>
          </cell>
          <cell r="BK36">
            <v>56.429934209687495</v>
          </cell>
          <cell r="BL36">
            <v>0</v>
          </cell>
          <cell r="BM36">
            <v>814.1948713778562</v>
          </cell>
        </row>
        <row r="37">
          <cell r="A37">
            <v>26</v>
          </cell>
          <cell r="B37" t="str">
            <v>CHACON PRUDENCIO EDGAR</v>
          </cell>
          <cell r="C37">
            <v>38667</v>
          </cell>
          <cell r="D37">
            <v>39716</v>
          </cell>
          <cell r="E37" t="str">
            <v>AYTE. PERF.</v>
          </cell>
          <cell r="F37">
            <v>54.15</v>
          </cell>
          <cell r="G37">
            <v>20</v>
          </cell>
          <cell r="H37">
            <v>160</v>
          </cell>
          <cell r="I37">
            <v>1083</v>
          </cell>
          <cell r="J37">
            <v>3.2307692307692308</v>
          </cell>
          <cell r="K37">
            <v>174.95</v>
          </cell>
          <cell r="L37">
            <v>0</v>
          </cell>
          <cell r="M37">
            <v>0</v>
          </cell>
          <cell r="N37">
            <v>31</v>
          </cell>
          <cell r="O37">
            <v>56.833333333333329</v>
          </cell>
          <cell r="P37">
            <v>24</v>
          </cell>
          <cell r="Q37">
            <v>203.0625</v>
          </cell>
          <cell r="R37">
            <v>24</v>
          </cell>
          <cell r="S37">
            <v>203.0625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355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767.99</v>
          </cell>
          <cell r="AH37">
            <v>0</v>
          </cell>
          <cell r="AI37">
            <v>0</v>
          </cell>
          <cell r="AJ37">
            <v>1</v>
          </cell>
          <cell r="AK37">
            <v>54.15</v>
          </cell>
          <cell r="AL37">
            <v>2694.9858333333336</v>
          </cell>
          <cell r="AM37">
            <v>0</v>
          </cell>
          <cell r="AN37">
            <v>0</v>
          </cell>
          <cell r="AO37" t="str">
            <v>PR</v>
          </cell>
          <cell r="AP37">
            <v>387.26946425000006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2694.9858333333336</v>
          </cell>
          <cell r="BH37">
            <v>242.55</v>
          </cell>
          <cell r="BI37">
            <v>23.619187929166667</v>
          </cell>
          <cell r="BJ37">
            <v>169.58576933141669</v>
          </cell>
          <cell r="BK37">
            <v>30.039938045833338</v>
          </cell>
          <cell r="BL37">
            <v>38.54</v>
          </cell>
          <cell r="BM37">
            <v>504.33489530641668</v>
          </cell>
        </row>
        <row r="38">
          <cell r="A38">
            <v>27</v>
          </cell>
          <cell r="B38" t="str">
            <v xml:space="preserve">CHANCAS CHOCCELAHUA ROLANDO ADOLFO </v>
          </cell>
          <cell r="C38">
            <v>39674</v>
          </cell>
          <cell r="D38">
            <v>39716</v>
          </cell>
          <cell r="E38" t="str">
            <v>AYTE. PERF.</v>
          </cell>
          <cell r="F38">
            <v>54.15</v>
          </cell>
          <cell r="G38">
            <v>24</v>
          </cell>
          <cell r="H38">
            <v>192</v>
          </cell>
          <cell r="I38">
            <v>1299.5999999999999</v>
          </cell>
          <cell r="J38">
            <v>4.9230769230769234</v>
          </cell>
          <cell r="K38">
            <v>266.58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34</v>
          </cell>
          <cell r="Q38">
            <v>287.671875</v>
          </cell>
          <cell r="R38">
            <v>34</v>
          </cell>
          <cell r="S38">
            <v>287.671875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16</v>
          </cell>
          <cell r="Y38">
            <v>216.6</v>
          </cell>
          <cell r="Z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270.75</v>
          </cell>
          <cell r="AH38">
            <v>0</v>
          </cell>
          <cell r="AI38">
            <v>189.53</v>
          </cell>
          <cell r="AJ38">
            <v>8</v>
          </cell>
          <cell r="AK38">
            <v>433.2</v>
          </cell>
          <cell r="AL38">
            <v>2963.9318749999998</v>
          </cell>
          <cell r="AM38">
            <v>0</v>
          </cell>
          <cell r="AN38">
            <v>0</v>
          </cell>
          <cell r="AO38" t="str">
            <v>IN</v>
          </cell>
          <cell r="AP38">
            <v>435.10519925</v>
          </cell>
          <cell r="AQ38">
            <v>355.67182499999996</v>
          </cell>
          <cell r="AR38">
            <v>57.796671562499995</v>
          </cell>
          <cell r="AS38">
            <v>25.786207312499997</v>
          </cell>
          <cell r="AT38">
            <v>439.2547038749999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D38">
            <v>0</v>
          </cell>
          <cell r="BE38">
            <v>0</v>
          </cell>
          <cell r="BF38">
            <v>439.2547038749999</v>
          </cell>
          <cell r="BG38">
            <v>2524.6771711249999</v>
          </cell>
          <cell r="BH38">
            <v>0</v>
          </cell>
          <cell r="BI38">
            <v>33.010330241874996</v>
          </cell>
          <cell r="BJ38">
            <v>237.0141711366625</v>
          </cell>
          <cell r="BK38">
            <v>41.984012249374999</v>
          </cell>
          <cell r="BL38">
            <v>53.86</v>
          </cell>
          <cell r="BM38">
            <v>365.86851362791248</v>
          </cell>
        </row>
        <row r="39">
          <cell r="A39">
            <v>28</v>
          </cell>
          <cell r="B39" t="str">
            <v>CHANCAS TORRES CARLOS</v>
          </cell>
          <cell r="C39">
            <v>38541</v>
          </cell>
          <cell r="D39">
            <v>39716</v>
          </cell>
          <cell r="E39" t="str">
            <v>PERFORISTA</v>
          </cell>
          <cell r="F39">
            <v>56.15</v>
          </cell>
          <cell r="G39">
            <v>26</v>
          </cell>
          <cell r="H39">
            <v>208</v>
          </cell>
          <cell r="I39">
            <v>1459.9</v>
          </cell>
          <cell r="J39">
            <v>4</v>
          </cell>
          <cell r="K39">
            <v>224.6</v>
          </cell>
          <cell r="L39">
            <v>0</v>
          </cell>
          <cell r="M39">
            <v>0</v>
          </cell>
          <cell r="N39">
            <v>31</v>
          </cell>
          <cell r="O39">
            <v>56.833333333333329</v>
          </cell>
          <cell r="P39">
            <v>32</v>
          </cell>
          <cell r="Q39">
            <v>280.75</v>
          </cell>
          <cell r="R39">
            <v>32</v>
          </cell>
          <cell r="S39">
            <v>280.75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795.46</v>
          </cell>
          <cell r="AH39">
            <v>1684.5</v>
          </cell>
          <cell r="AI39">
            <v>364.98</v>
          </cell>
          <cell r="AJ39">
            <v>0</v>
          </cell>
          <cell r="AK39">
            <v>0</v>
          </cell>
          <cell r="AL39">
            <v>4867.0233333333326</v>
          </cell>
          <cell r="AM39">
            <v>0</v>
          </cell>
          <cell r="AN39">
            <v>5</v>
          </cell>
          <cell r="AO39" t="str">
            <v>IN</v>
          </cell>
          <cell r="AP39">
            <v>714.47902533333331</v>
          </cell>
          <cell r="AQ39">
            <v>584.04279999999994</v>
          </cell>
          <cell r="AR39">
            <v>94.906954999999982</v>
          </cell>
          <cell r="AS39">
            <v>42.343102999999992</v>
          </cell>
          <cell r="AT39">
            <v>721.29285799999991</v>
          </cell>
          <cell r="AU39">
            <v>25.55</v>
          </cell>
          <cell r="AV39">
            <v>0</v>
          </cell>
          <cell r="AW39">
            <v>0</v>
          </cell>
          <cell r="AX39">
            <v>35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D39">
            <v>0</v>
          </cell>
          <cell r="BE39">
            <v>0</v>
          </cell>
          <cell r="BF39">
            <v>786.84285799999986</v>
          </cell>
          <cell r="BG39">
            <v>4080.1804753333327</v>
          </cell>
          <cell r="BH39">
            <v>438.03</v>
          </cell>
          <cell r="BI39">
            <v>49.905151776666663</v>
          </cell>
          <cell r="BJ39">
            <v>358.31898975646664</v>
          </cell>
          <cell r="BK39">
            <v>63.471600803333324</v>
          </cell>
          <cell r="BL39">
            <v>81.430000000000007</v>
          </cell>
          <cell r="BM39">
            <v>991.15574233646657</v>
          </cell>
        </row>
        <row r="40">
          <cell r="A40">
            <v>29</v>
          </cell>
          <cell r="B40" t="str">
            <v>CHAVEZ CHOCCELAHUA SIMION</v>
          </cell>
          <cell r="C40">
            <v>38541</v>
          </cell>
          <cell r="D40">
            <v>39716</v>
          </cell>
          <cell r="E40" t="str">
            <v>PERFORISTA</v>
          </cell>
          <cell r="F40">
            <v>56.15</v>
          </cell>
          <cell r="G40">
            <v>25</v>
          </cell>
          <cell r="H40">
            <v>200</v>
          </cell>
          <cell r="I40">
            <v>1403.75</v>
          </cell>
          <cell r="J40">
            <v>3.8461538461538463</v>
          </cell>
          <cell r="K40">
            <v>215.96</v>
          </cell>
          <cell r="L40">
            <v>0</v>
          </cell>
          <cell r="M40">
            <v>0</v>
          </cell>
          <cell r="N40">
            <v>31</v>
          </cell>
          <cell r="O40">
            <v>56.833333333333329</v>
          </cell>
          <cell r="P40">
            <v>28</v>
          </cell>
          <cell r="Q40">
            <v>245.65625</v>
          </cell>
          <cell r="R40">
            <v>28</v>
          </cell>
          <cell r="S40">
            <v>245.65625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8</v>
          </cell>
          <cell r="Y40">
            <v>112.3</v>
          </cell>
          <cell r="Z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796.32</v>
          </cell>
          <cell r="AH40">
            <v>1686.33</v>
          </cell>
          <cell r="AI40">
            <v>365.38</v>
          </cell>
          <cell r="AJ40">
            <v>0</v>
          </cell>
          <cell r="AK40">
            <v>0</v>
          </cell>
          <cell r="AL40">
            <v>4882.5295833333339</v>
          </cell>
          <cell r="AM40">
            <v>0</v>
          </cell>
          <cell r="AN40">
            <v>5</v>
          </cell>
          <cell r="AO40" t="str">
            <v>IN</v>
          </cell>
          <cell r="AP40">
            <v>716.75534283333343</v>
          </cell>
          <cell r="AQ40">
            <v>585.90355</v>
          </cell>
          <cell r="AR40">
            <v>95.209326875000016</v>
          </cell>
          <cell r="AS40">
            <v>42.478007375000004</v>
          </cell>
          <cell r="AT40">
            <v>723.59088425000004</v>
          </cell>
          <cell r="AU40">
            <v>28.97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D40">
            <v>0</v>
          </cell>
          <cell r="BE40">
            <v>0</v>
          </cell>
          <cell r="BF40">
            <v>757.56088425000007</v>
          </cell>
          <cell r="BG40">
            <v>4124.9686990833343</v>
          </cell>
          <cell r="BH40">
            <v>439.43</v>
          </cell>
          <cell r="BI40">
            <v>50.084670862916667</v>
          </cell>
          <cell r="BJ40">
            <v>359.60793679574169</v>
          </cell>
          <cell r="BK40">
            <v>63.699921194583339</v>
          </cell>
          <cell r="BL40">
            <v>81.72</v>
          </cell>
          <cell r="BM40">
            <v>994.54252885324172</v>
          </cell>
        </row>
        <row r="41">
          <cell r="A41">
            <v>30</v>
          </cell>
          <cell r="B41" t="str">
            <v>CHAVEZ CUCHULA CESARIO</v>
          </cell>
          <cell r="C41">
            <v>38667</v>
          </cell>
          <cell r="D41">
            <v>39716</v>
          </cell>
          <cell r="E41" t="str">
            <v>PERFORISTA</v>
          </cell>
          <cell r="F41">
            <v>56.15</v>
          </cell>
          <cell r="G41">
            <v>25</v>
          </cell>
          <cell r="H41">
            <v>200</v>
          </cell>
          <cell r="I41">
            <v>1403.75</v>
          </cell>
          <cell r="J41">
            <v>3.8461538461538463</v>
          </cell>
          <cell r="K41">
            <v>215.96</v>
          </cell>
          <cell r="L41">
            <v>0</v>
          </cell>
          <cell r="M41">
            <v>0</v>
          </cell>
          <cell r="N41">
            <v>31</v>
          </cell>
          <cell r="O41">
            <v>56.833333333333329</v>
          </cell>
          <cell r="P41">
            <v>34</v>
          </cell>
          <cell r="Q41">
            <v>298.296875</v>
          </cell>
          <cell r="R41">
            <v>34</v>
          </cell>
          <cell r="S41">
            <v>298.296875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796.32</v>
          </cell>
          <cell r="AH41">
            <v>0</v>
          </cell>
          <cell r="AI41">
            <v>1475.54</v>
          </cell>
          <cell r="AJ41">
            <v>0</v>
          </cell>
          <cell r="AK41">
            <v>0</v>
          </cell>
          <cell r="AL41">
            <v>4246.7002083333336</v>
          </cell>
          <cell r="AM41">
            <v>0</v>
          </cell>
          <cell r="AN41">
            <v>5</v>
          </cell>
          <cell r="AO41" t="str">
            <v>PR</v>
          </cell>
          <cell r="AP41">
            <v>610.25081993750007</v>
          </cell>
          <cell r="AQ41">
            <v>509.60402500000004</v>
          </cell>
          <cell r="AR41">
            <v>82.810654062500006</v>
          </cell>
          <cell r="AS41">
            <v>36.9462918125</v>
          </cell>
          <cell r="AT41">
            <v>629.36097087500002</v>
          </cell>
          <cell r="AU41">
            <v>50.86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D41">
            <v>0</v>
          </cell>
          <cell r="BE41">
            <v>0</v>
          </cell>
          <cell r="BF41">
            <v>685.22097087500003</v>
          </cell>
          <cell r="BG41">
            <v>3561.4792374583335</v>
          </cell>
          <cell r="BH41">
            <v>382.2</v>
          </cell>
          <cell r="BI41">
            <v>42.291310213541664</v>
          </cell>
          <cell r="BJ41">
            <v>303.65160733322921</v>
          </cell>
          <cell r="BK41">
            <v>53.787977067708333</v>
          </cell>
          <cell r="BL41">
            <v>69.010000000000005</v>
          </cell>
          <cell r="BM41">
            <v>850.94089461447913</v>
          </cell>
        </row>
        <row r="42">
          <cell r="A42">
            <v>31</v>
          </cell>
          <cell r="B42" t="str">
            <v>CHAVEZ HUACHO FELIPE</v>
          </cell>
          <cell r="C42">
            <v>38541</v>
          </cell>
          <cell r="D42">
            <v>39716</v>
          </cell>
          <cell r="E42" t="str">
            <v>PERFORISTA</v>
          </cell>
          <cell r="F42">
            <v>56.15</v>
          </cell>
          <cell r="G42">
            <v>23</v>
          </cell>
          <cell r="H42">
            <v>184</v>
          </cell>
          <cell r="I42">
            <v>1291.45</v>
          </cell>
          <cell r="J42">
            <v>3.5384615384615383</v>
          </cell>
          <cell r="K42">
            <v>198.68</v>
          </cell>
          <cell r="L42">
            <v>0</v>
          </cell>
          <cell r="M42">
            <v>0</v>
          </cell>
          <cell r="N42">
            <v>31</v>
          </cell>
          <cell r="O42">
            <v>56.833333333333329</v>
          </cell>
          <cell r="P42">
            <v>24</v>
          </cell>
          <cell r="Q42">
            <v>210.5625</v>
          </cell>
          <cell r="R42">
            <v>24</v>
          </cell>
          <cell r="S42">
            <v>210.5625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8</v>
          </cell>
          <cell r="Y42">
            <v>112.3</v>
          </cell>
          <cell r="Z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796.32</v>
          </cell>
          <cell r="AH42">
            <v>1686.33</v>
          </cell>
          <cell r="AI42">
            <v>356.01</v>
          </cell>
          <cell r="AJ42">
            <v>0</v>
          </cell>
          <cell r="AK42">
            <v>0</v>
          </cell>
          <cell r="AL42">
            <v>4708.4858333333341</v>
          </cell>
          <cell r="AM42">
            <v>0</v>
          </cell>
          <cell r="AN42">
            <v>5</v>
          </cell>
          <cell r="AO42" t="str">
            <v>PF</v>
          </cell>
          <cell r="AP42">
            <v>700.62269200000003</v>
          </cell>
          <cell r="AQ42">
            <v>565.01830000000007</v>
          </cell>
          <cell r="AR42">
            <v>91.81547375000001</v>
          </cell>
          <cell r="AS42">
            <v>40.963826750000003</v>
          </cell>
          <cell r="AT42">
            <v>697.79760050000004</v>
          </cell>
          <cell r="AU42">
            <v>43.08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D42">
            <v>0</v>
          </cell>
          <cell r="BE42">
            <v>0</v>
          </cell>
          <cell r="BF42">
            <v>745.87760050000009</v>
          </cell>
          <cell r="BG42">
            <v>3962.6082328333341</v>
          </cell>
          <cell r="BH42">
            <v>423.76</v>
          </cell>
          <cell r="BI42">
            <v>47.951416619166679</v>
          </cell>
          <cell r="BJ42">
            <v>344.29117132561674</v>
          </cell>
          <cell r="BK42">
            <v>60.986753175833343</v>
          </cell>
          <cell r="BL42">
            <v>78.239999999999995</v>
          </cell>
          <cell r="BM42">
            <v>955.22934112061682</v>
          </cell>
        </row>
        <row r="43">
          <cell r="A43">
            <v>32</v>
          </cell>
          <cell r="B43" t="str">
            <v>CHAVEZ SARMIENTO SEVERINO</v>
          </cell>
          <cell r="C43">
            <v>38019</v>
          </cell>
          <cell r="D43">
            <v>39716</v>
          </cell>
          <cell r="E43" t="str">
            <v>PERFORISTA</v>
          </cell>
          <cell r="F43">
            <v>56.15</v>
          </cell>
          <cell r="G43">
            <v>25</v>
          </cell>
          <cell r="H43">
            <v>200</v>
          </cell>
          <cell r="I43">
            <v>1403.75</v>
          </cell>
          <cell r="J43">
            <v>3.8461538461538463</v>
          </cell>
          <cell r="K43">
            <v>215.96</v>
          </cell>
          <cell r="L43">
            <v>0</v>
          </cell>
          <cell r="M43">
            <v>0</v>
          </cell>
          <cell r="N43">
            <v>31</v>
          </cell>
          <cell r="O43">
            <v>56.833333333333329</v>
          </cell>
          <cell r="P43">
            <v>32</v>
          </cell>
          <cell r="Q43">
            <v>280.75</v>
          </cell>
          <cell r="R43">
            <v>32</v>
          </cell>
          <cell r="S43">
            <v>280.75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796.32</v>
          </cell>
          <cell r="AH43">
            <v>0</v>
          </cell>
          <cell r="AI43">
            <v>1100.8</v>
          </cell>
          <cell r="AJ43">
            <v>0</v>
          </cell>
          <cell r="AK43">
            <v>0</v>
          </cell>
          <cell r="AL43">
            <v>3854.413333333333</v>
          </cell>
          <cell r="AM43">
            <v>0</v>
          </cell>
          <cell r="AN43">
            <v>5</v>
          </cell>
          <cell r="AO43" t="str">
            <v>IN</v>
          </cell>
          <cell r="AP43">
            <v>565.82787733333328</v>
          </cell>
          <cell r="AQ43">
            <v>462.52959999999996</v>
          </cell>
          <cell r="AR43">
            <v>75.161059999999992</v>
          </cell>
          <cell r="AS43">
            <v>33.533395999999996</v>
          </cell>
          <cell r="AT43">
            <v>571.22405600000002</v>
          </cell>
          <cell r="AU43">
            <v>21.75</v>
          </cell>
          <cell r="AV43">
            <v>0</v>
          </cell>
          <cell r="AW43">
            <v>0</v>
          </cell>
          <cell r="AX43">
            <v>35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D43">
            <v>0</v>
          </cell>
          <cell r="BE43">
            <v>0</v>
          </cell>
          <cell r="BF43">
            <v>632.97405600000002</v>
          </cell>
          <cell r="BG43">
            <v>3221.4392773333329</v>
          </cell>
          <cell r="BH43">
            <v>346.9</v>
          </cell>
          <cell r="BI43">
            <v>37.483049986666657</v>
          </cell>
          <cell r="BJ43">
            <v>269.12829890426661</v>
          </cell>
          <cell r="BK43">
            <v>47.672616973333326</v>
          </cell>
          <cell r="BL43">
            <v>61.16</v>
          </cell>
          <cell r="BM43">
            <v>762.34396586426647</v>
          </cell>
        </row>
        <row r="44">
          <cell r="A44">
            <v>33</v>
          </cell>
          <cell r="B44" t="str">
            <v>CHOCCELAHUA ICHPAS MAURICIO</v>
          </cell>
          <cell r="C44">
            <v>38446</v>
          </cell>
          <cell r="D44">
            <v>39716</v>
          </cell>
          <cell r="E44" t="str">
            <v>OP. SCOOP</v>
          </cell>
          <cell r="F44">
            <v>59.65</v>
          </cell>
          <cell r="G44">
            <v>25</v>
          </cell>
          <cell r="H44">
            <v>200</v>
          </cell>
          <cell r="I44">
            <v>1491.25</v>
          </cell>
          <cell r="J44">
            <v>3.8461538461538463</v>
          </cell>
          <cell r="K44">
            <v>229.42</v>
          </cell>
          <cell r="L44">
            <v>0</v>
          </cell>
          <cell r="M44">
            <v>0</v>
          </cell>
          <cell r="N44">
            <v>31</v>
          </cell>
          <cell r="O44">
            <v>56.833333333333329</v>
          </cell>
          <cell r="P44">
            <v>48</v>
          </cell>
          <cell r="Q44">
            <v>447.375</v>
          </cell>
          <cell r="R44">
            <v>48</v>
          </cell>
          <cell r="S44">
            <v>447.375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16</v>
          </cell>
          <cell r="Y44">
            <v>238.6</v>
          </cell>
          <cell r="Z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845.91</v>
          </cell>
          <cell r="AH44">
            <v>1791.33</v>
          </cell>
          <cell r="AI44">
            <v>855.86</v>
          </cell>
          <cell r="AJ44">
            <v>0</v>
          </cell>
          <cell r="AK44">
            <v>0</v>
          </cell>
          <cell r="AL44">
            <v>5956.578333333332</v>
          </cell>
          <cell r="AM44">
            <v>0</v>
          </cell>
          <cell r="AN44">
            <v>5</v>
          </cell>
          <cell r="AO44" t="str">
            <v>IN</v>
          </cell>
          <cell r="AP44">
            <v>874.42569933333323</v>
          </cell>
          <cell r="AQ44">
            <v>714.78939999999977</v>
          </cell>
          <cell r="AR44">
            <v>116.15327749999997</v>
          </cell>
          <cell r="AS44">
            <v>51.822231499999987</v>
          </cell>
          <cell r="AT44">
            <v>882.76490899999976</v>
          </cell>
          <cell r="AU44">
            <v>83.38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D44">
            <v>0</v>
          </cell>
          <cell r="BE44">
            <v>0</v>
          </cell>
          <cell r="BF44">
            <v>971.14490899999976</v>
          </cell>
          <cell r="BG44">
            <v>4985.4334243333324</v>
          </cell>
          <cell r="BH44">
            <v>536.09</v>
          </cell>
          <cell r="BI44">
            <v>62.641461761666655</v>
          </cell>
          <cell r="BJ44">
            <v>449.76569544876662</v>
          </cell>
          <cell r="BK44">
            <v>79.670208648333315</v>
          </cell>
          <cell r="BL44">
            <v>102.21</v>
          </cell>
          <cell r="BM44">
            <v>1230.3773658587666</v>
          </cell>
        </row>
        <row r="45">
          <cell r="A45">
            <v>34</v>
          </cell>
          <cell r="B45" t="str">
            <v>CONDOR AMEZAGA ANTONIO</v>
          </cell>
          <cell r="C45">
            <v>39638</v>
          </cell>
          <cell r="D45">
            <v>39716</v>
          </cell>
          <cell r="E45" t="str">
            <v>CHOFER</v>
          </cell>
          <cell r="F45">
            <v>50.15</v>
          </cell>
          <cell r="G45">
            <v>26</v>
          </cell>
          <cell r="H45">
            <v>208</v>
          </cell>
          <cell r="I45">
            <v>1303.9000000000001</v>
          </cell>
          <cell r="J45">
            <v>4</v>
          </cell>
          <cell r="K45">
            <v>200.6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50</v>
          </cell>
          <cell r="Q45">
            <v>401.2</v>
          </cell>
          <cell r="R45">
            <v>48</v>
          </cell>
          <cell r="S45">
            <v>376.125</v>
          </cell>
          <cell r="T45">
            <v>0</v>
          </cell>
          <cell r="U45">
            <v>0</v>
          </cell>
          <cell r="V45">
            <v>2</v>
          </cell>
          <cell r="W45">
            <v>25.074999999999999</v>
          </cell>
          <cell r="X45">
            <v>32</v>
          </cell>
          <cell r="Y45">
            <v>401.2</v>
          </cell>
          <cell r="Z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644.38</v>
          </cell>
          <cell r="AH45">
            <v>0</v>
          </cell>
          <cell r="AI45">
            <v>322.19</v>
          </cell>
          <cell r="AJ45">
            <v>0</v>
          </cell>
          <cell r="AK45">
            <v>0</v>
          </cell>
          <cell r="AL45">
            <v>3273.4700000000003</v>
          </cell>
          <cell r="AM45">
            <v>0</v>
          </cell>
          <cell r="AN45">
            <v>0</v>
          </cell>
          <cell r="AO45" t="str">
            <v>HR</v>
          </cell>
          <cell r="AP45">
            <v>485.455601</v>
          </cell>
          <cell r="AQ45">
            <v>392.81640000000004</v>
          </cell>
          <cell r="AR45">
            <v>63.832665000000006</v>
          </cell>
          <cell r="AS45">
            <v>28.479189000000002</v>
          </cell>
          <cell r="AT45">
            <v>485.12825400000008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D45">
            <v>0</v>
          </cell>
          <cell r="BE45">
            <v>0</v>
          </cell>
          <cell r="BF45">
            <v>485.12825400000008</v>
          </cell>
          <cell r="BG45">
            <v>2788.3417460000001</v>
          </cell>
          <cell r="BH45">
            <v>294.61</v>
          </cell>
          <cell r="BI45">
            <v>32.224756130000003</v>
          </cell>
          <cell r="BJ45">
            <v>231.37374901340002</v>
          </cell>
          <cell r="BK45">
            <v>40.984884010000002</v>
          </cell>
          <cell r="BL45">
            <v>52.58</v>
          </cell>
          <cell r="BM45">
            <v>651.77338915339999</v>
          </cell>
        </row>
        <row r="46">
          <cell r="A46">
            <v>35</v>
          </cell>
          <cell r="B46" t="str">
            <v>CONTRERAS JURADO EDWIN</v>
          </cell>
          <cell r="C46">
            <v>38743</v>
          </cell>
          <cell r="D46">
            <v>39716</v>
          </cell>
          <cell r="E46" t="str">
            <v>PERFORISTA</v>
          </cell>
          <cell r="F46">
            <v>56.15</v>
          </cell>
          <cell r="G46">
            <v>24</v>
          </cell>
          <cell r="H46">
            <v>192</v>
          </cell>
          <cell r="I46">
            <v>1347.6</v>
          </cell>
          <cell r="J46">
            <v>3.6923076923076925</v>
          </cell>
          <cell r="K46">
            <v>207.32</v>
          </cell>
          <cell r="L46">
            <v>0</v>
          </cell>
          <cell r="M46">
            <v>0</v>
          </cell>
          <cell r="N46">
            <v>31</v>
          </cell>
          <cell r="O46">
            <v>56.833333333333329</v>
          </cell>
          <cell r="P46">
            <v>32</v>
          </cell>
          <cell r="Q46">
            <v>280.75</v>
          </cell>
          <cell r="R46">
            <v>32</v>
          </cell>
          <cell r="S46">
            <v>280.75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16</v>
          </cell>
          <cell r="Y46">
            <v>224.6</v>
          </cell>
          <cell r="Z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795.46</v>
          </cell>
          <cell r="AH46">
            <v>0</v>
          </cell>
          <cell r="AI46">
            <v>1123</v>
          </cell>
          <cell r="AJ46">
            <v>0</v>
          </cell>
          <cell r="AK46">
            <v>0</v>
          </cell>
          <cell r="AL46">
            <v>4035.563333333333</v>
          </cell>
          <cell r="AM46">
            <v>0</v>
          </cell>
          <cell r="AN46">
            <v>5</v>
          </cell>
          <cell r="AO46" t="str">
            <v>IN</v>
          </cell>
          <cell r="AP46">
            <v>592.42069733333335</v>
          </cell>
          <cell r="AQ46">
            <v>484.26759999999996</v>
          </cell>
          <cell r="AR46">
            <v>78.693484999999995</v>
          </cell>
          <cell r="AS46">
            <v>35.109400999999998</v>
          </cell>
          <cell r="AT46">
            <v>598.07048599999996</v>
          </cell>
          <cell r="AU46">
            <v>74.040000000000006</v>
          </cell>
          <cell r="AV46">
            <v>0</v>
          </cell>
          <cell r="AW46">
            <v>0</v>
          </cell>
          <cell r="AX46">
            <v>35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D46">
            <v>0</v>
          </cell>
          <cell r="BE46">
            <v>0</v>
          </cell>
          <cell r="BF46">
            <v>712.11048599999992</v>
          </cell>
          <cell r="BG46">
            <v>3323.452847333333</v>
          </cell>
          <cell r="BH46">
            <v>363.2</v>
          </cell>
          <cell r="BI46">
            <v>39.713946556666663</v>
          </cell>
          <cell r="BJ46">
            <v>285.14613627686663</v>
          </cell>
          <cell r="BK46">
            <v>50.509970863333329</v>
          </cell>
          <cell r="BL46">
            <v>64.8</v>
          </cell>
          <cell r="BM46">
            <v>803.37005369686665</v>
          </cell>
        </row>
        <row r="47">
          <cell r="A47">
            <v>36</v>
          </cell>
          <cell r="B47" t="str">
            <v>CRUZ RODRIGUEZ, ELIAS SOLIS</v>
          </cell>
          <cell r="C47">
            <v>39150</v>
          </cell>
          <cell r="D47">
            <v>39716</v>
          </cell>
          <cell r="E47" t="str">
            <v>AYTE. PERF.</v>
          </cell>
          <cell r="F47">
            <v>54.15</v>
          </cell>
          <cell r="G47">
            <v>23</v>
          </cell>
          <cell r="H47">
            <v>184</v>
          </cell>
          <cell r="I47">
            <v>1245.45</v>
          </cell>
          <cell r="J47">
            <v>3.5384615384615383</v>
          </cell>
          <cell r="K47">
            <v>191.61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22</v>
          </cell>
          <cell r="Q47">
            <v>186.140625</v>
          </cell>
          <cell r="R47">
            <v>22</v>
          </cell>
          <cell r="S47">
            <v>186.140625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16</v>
          </cell>
          <cell r="Y47">
            <v>216.6</v>
          </cell>
          <cell r="Z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796.32</v>
          </cell>
          <cell r="AH47">
            <v>1686.33</v>
          </cell>
          <cell r="AI47">
            <v>922.8</v>
          </cell>
          <cell r="AJ47">
            <v>0</v>
          </cell>
          <cell r="AK47">
            <v>0</v>
          </cell>
          <cell r="AL47">
            <v>5245.2506249999997</v>
          </cell>
          <cell r="AM47">
            <v>0</v>
          </cell>
          <cell r="AN47">
            <v>5</v>
          </cell>
          <cell r="AO47" t="str">
            <v>PF</v>
          </cell>
          <cell r="AP47">
            <v>780.49329299999988</v>
          </cell>
          <cell r="AQ47">
            <v>629.43007499999999</v>
          </cell>
          <cell r="AR47">
            <v>102.28238718749999</v>
          </cell>
          <cell r="AS47">
            <v>45.633680437499997</v>
          </cell>
          <cell r="AT47">
            <v>777.34614262499997</v>
          </cell>
          <cell r="AU47">
            <v>34.270000000000003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D47">
            <v>0</v>
          </cell>
          <cell r="BE47">
            <v>0</v>
          </cell>
          <cell r="BF47">
            <v>816.61614262499995</v>
          </cell>
          <cell r="BG47">
            <v>4428.6344823749996</v>
          </cell>
          <cell r="BH47">
            <v>472.07</v>
          </cell>
          <cell r="BI47">
            <v>54.530542670624996</v>
          </cell>
          <cell r="BJ47">
            <v>391.52929637508754</v>
          </cell>
          <cell r="BK47">
            <v>69.354379513124996</v>
          </cell>
          <cell r="BL47">
            <v>88.98</v>
          </cell>
          <cell r="BM47">
            <v>1076.4642185588375</v>
          </cell>
        </row>
        <row r="48">
          <cell r="A48">
            <v>37</v>
          </cell>
          <cell r="B48" t="str">
            <v>DE LA CRUZ HILARIO DANIEL</v>
          </cell>
          <cell r="C48">
            <v>38786</v>
          </cell>
          <cell r="D48">
            <v>39716</v>
          </cell>
          <cell r="E48" t="str">
            <v>PERFORISTA</v>
          </cell>
          <cell r="F48">
            <v>56.15</v>
          </cell>
          <cell r="G48">
            <v>22</v>
          </cell>
          <cell r="H48">
            <v>176</v>
          </cell>
          <cell r="I48">
            <v>1235.3</v>
          </cell>
          <cell r="J48">
            <v>3.8461538461538463</v>
          </cell>
          <cell r="K48">
            <v>215.96</v>
          </cell>
          <cell r="L48">
            <v>0</v>
          </cell>
          <cell r="M48">
            <v>0</v>
          </cell>
          <cell r="N48">
            <v>31</v>
          </cell>
          <cell r="O48">
            <v>56.833333333333329</v>
          </cell>
          <cell r="P48">
            <v>28</v>
          </cell>
          <cell r="Q48">
            <v>245.65625</v>
          </cell>
          <cell r="R48">
            <v>28</v>
          </cell>
          <cell r="S48">
            <v>245.65625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767.13</v>
          </cell>
          <cell r="AH48">
            <v>0</v>
          </cell>
          <cell r="AI48">
            <v>884.45</v>
          </cell>
          <cell r="AJ48">
            <v>3</v>
          </cell>
          <cell r="AK48">
            <v>168.45</v>
          </cell>
          <cell r="AL48">
            <v>3573.779583333333</v>
          </cell>
          <cell r="AM48">
            <v>0</v>
          </cell>
          <cell r="AN48">
            <v>5</v>
          </cell>
          <cell r="AO48" t="str">
            <v>HR</v>
          </cell>
          <cell r="AP48">
            <v>529.99151220833323</v>
          </cell>
          <cell r="AQ48">
            <v>428.85354999999993</v>
          </cell>
          <cell r="AR48">
            <v>69.688701874999992</v>
          </cell>
          <cell r="AS48">
            <v>31.091882374999994</v>
          </cell>
          <cell r="AT48">
            <v>529.63413424999987</v>
          </cell>
          <cell r="AU48">
            <v>21.81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D48">
            <v>0</v>
          </cell>
          <cell r="BE48">
            <v>0</v>
          </cell>
          <cell r="BF48">
            <v>556.44413424999982</v>
          </cell>
          <cell r="BG48">
            <v>3017.3354490833331</v>
          </cell>
          <cell r="BH48">
            <v>321.64</v>
          </cell>
          <cell r="BI48">
            <v>34.401103942916663</v>
          </cell>
          <cell r="BJ48">
            <v>246.99992631014163</v>
          </cell>
          <cell r="BK48">
            <v>43.752860354583326</v>
          </cell>
          <cell r="BL48">
            <v>56.13</v>
          </cell>
          <cell r="BM48">
            <v>702.92389060764151</v>
          </cell>
        </row>
        <row r="49">
          <cell r="A49">
            <v>38</v>
          </cell>
          <cell r="B49" t="str">
            <v>DE LA ROSA LOYOLA VALERIANO ORLANDO</v>
          </cell>
          <cell r="C49">
            <v>38667</v>
          </cell>
          <cell r="D49">
            <v>39716</v>
          </cell>
          <cell r="E49" t="str">
            <v>PERFORISTA</v>
          </cell>
          <cell r="F49">
            <v>56.15</v>
          </cell>
          <cell r="G49">
            <v>25</v>
          </cell>
          <cell r="H49">
            <v>200</v>
          </cell>
          <cell r="I49">
            <v>1403.75</v>
          </cell>
          <cell r="J49">
            <v>4.3076923076923075</v>
          </cell>
          <cell r="K49">
            <v>241.88</v>
          </cell>
          <cell r="L49">
            <v>0</v>
          </cell>
          <cell r="M49">
            <v>0</v>
          </cell>
          <cell r="N49">
            <v>31</v>
          </cell>
          <cell r="O49">
            <v>56.833333333333329</v>
          </cell>
          <cell r="P49">
            <v>36</v>
          </cell>
          <cell r="Q49">
            <v>315.84375</v>
          </cell>
          <cell r="R49">
            <v>36</v>
          </cell>
          <cell r="S49">
            <v>315.84375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796.32</v>
          </cell>
          <cell r="AH49">
            <v>0</v>
          </cell>
          <cell r="AI49">
            <v>1475.54</v>
          </cell>
          <cell r="AJ49">
            <v>3</v>
          </cell>
          <cell r="AK49">
            <v>168.45</v>
          </cell>
          <cell r="AL49">
            <v>4458.6170833333335</v>
          </cell>
          <cell r="AM49">
            <v>0</v>
          </cell>
          <cell r="AN49">
            <v>5</v>
          </cell>
          <cell r="AO49" t="str">
            <v>PR</v>
          </cell>
          <cell r="AP49">
            <v>640.70327487500003</v>
          </cell>
          <cell r="AQ49">
            <v>535.03404999999998</v>
          </cell>
          <cell r="AR49">
            <v>86.943033124999999</v>
          </cell>
          <cell r="AS49">
            <v>38.789968625</v>
          </cell>
          <cell r="AT49">
            <v>660.76705175000006</v>
          </cell>
          <cell r="AU49">
            <v>41.74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D49">
            <v>0</v>
          </cell>
          <cell r="BE49">
            <v>0</v>
          </cell>
          <cell r="BF49">
            <v>707.50705175000007</v>
          </cell>
          <cell r="BG49">
            <v>3751.1100315833337</v>
          </cell>
          <cell r="BH49">
            <v>401.28</v>
          </cell>
          <cell r="BI49">
            <v>44.888775350416665</v>
          </cell>
          <cell r="BJ49">
            <v>322.30140701599169</v>
          </cell>
          <cell r="BK49">
            <v>57.091549232083338</v>
          </cell>
          <cell r="BL49">
            <v>73.25</v>
          </cell>
          <cell r="BM49">
            <v>898.81173159849163</v>
          </cell>
        </row>
        <row r="50">
          <cell r="A50">
            <v>39</v>
          </cell>
          <cell r="B50" t="str">
            <v>DE LA ROSA OSORIO TEOFILO</v>
          </cell>
          <cell r="C50">
            <v>39034</v>
          </cell>
          <cell r="D50">
            <v>39716</v>
          </cell>
          <cell r="E50" t="str">
            <v>PERFORISTA</v>
          </cell>
          <cell r="F50">
            <v>56.15</v>
          </cell>
          <cell r="G50">
            <v>26</v>
          </cell>
          <cell r="H50">
            <v>208</v>
          </cell>
          <cell r="I50">
            <v>1459.9</v>
          </cell>
          <cell r="J50">
            <v>4</v>
          </cell>
          <cell r="K50">
            <v>224.6</v>
          </cell>
          <cell r="L50">
            <v>0</v>
          </cell>
          <cell r="M50">
            <v>0</v>
          </cell>
          <cell r="N50">
            <v>31</v>
          </cell>
          <cell r="O50">
            <v>56.833333333333329</v>
          </cell>
          <cell r="P50">
            <v>8</v>
          </cell>
          <cell r="Q50">
            <v>70.1875</v>
          </cell>
          <cell r="R50">
            <v>8</v>
          </cell>
          <cell r="S50">
            <v>70.1875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16</v>
          </cell>
          <cell r="Y50">
            <v>224.6</v>
          </cell>
          <cell r="Z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796.32</v>
          </cell>
          <cell r="AH50">
            <v>0</v>
          </cell>
          <cell r="AI50">
            <v>1466.17</v>
          </cell>
          <cell r="AJ50">
            <v>0</v>
          </cell>
          <cell r="AK50">
            <v>0</v>
          </cell>
          <cell r="AL50">
            <v>4298.6108333333332</v>
          </cell>
          <cell r="AM50">
            <v>558.81940833333329</v>
          </cell>
          <cell r="AN50">
            <v>5</v>
          </cell>
          <cell r="AO50" t="str">
            <v>ONP</v>
          </cell>
          <cell r="AP50">
            <v>0</v>
          </cell>
          <cell r="AQ50">
            <v>515.83330000000001</v>
          </cell>
          <cell r="AR50">
            <v>83.82291124999999</v>
          </cell>
          <cell r="AS50">
            <v>37.397914249999999</v>
          </cell>
          <cell r="AT50">
            <v>637.05412549999994</v>
          </cell>
          <cell r="AU50">
            <v>11.33</v>
          </cell>
          <cell r="AV50">
            <v>0</v>
          </cell>
          <cell r="AW50">
            <v>0</v>
          </cell>
          <cell r="AX50">
            <v>35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D50">
            <v>0</v>
          </cell>
          <cell r="BE50">
            <v>0</v>
          </cell>
          <cell r="BF50">
            <v>1247.203533833333</v>
          </cell>
          <cell r="BG50">
            <v>3051.4072995000001</v>
          </cell>
          <cell r="BH50">
            <v>386.87</v>
          </cell>
          <cell r="BI50">
            <v>42.927578744166667</v>
          </cell>
          <cell r="BJ50">
            <v>308.22001538311662</v>
          </cell>
          <cell r="BK50">
            <v>54.597211800833335</v>
          </cell>
          <cell r="BL50">
            <v>0</v>
          </cell>
          <cell r="BM50">
            <v>792.61480592811654</v>
          </cell>
        </row>
        <row r="51">
          <cell r="A51">
            <v>40</v>
          </cell>
          <cell r="B51" t="str">
            <v>DELGADO MORALES ELFER EDUD</v>
          </cell>
          <cell r="C51">
            <v>38173</v>
          </cell>
          <cell r="D51">
            <v>39716</v>
          </cell>
          <cell r="E51" t="str">
            <v>PERFORISTA</v>
          </cell>
          <cell r="F51">
            <v>56.15</v>
          </cell>
          <cell r="G51">
            <v>21</v>
          </cell>
          <cell r="H51">
            <v>168</v>
          </cell>
          <cell r="I51">
            <v>1179.1500000000001</v>
          </cell>
          <cell r="J51">
            <v>3.2307692307692308</v>
          </cell>
          <cell r="K51">
            <v>181.41</v>
          </cell>
          <cell r="L51">
            <v>0</v>
          </cell>
          <cell r="M51">
            <v>0</v>
          </cell>
          <cell r="N51">
            <v>31</v>
          </cell>
          <cell r="O51">
            <v>56.833333333333329</v>
          </cell>
          <cell r="P51">
            <v>18</v>
          </cell>
          <cell r="Q51">
            <v>157.921875</v>
          </cell>
          <cell r="R51">
            <v>18</v>
          </cell>
          <cell r="S51">
            <v>157.921875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796.32</v>
          </cell>
          <cell r="AH51">
            <v>1686.33</v>
          </cell>
          <cell r="AI51">
            <v>379.43</v>
          </cell>
          <cell r="AJ51">
            <v>0</v>
          </cell>
          <cell r="AK51">
            <v>0</v>
          </cell>
          <cell r="AL51">
            <v>4437.3952083333334</v>
          </cell>
          <cell r="AM51">
            <v>0</v>
          </cell>
          <cell r="AN51">
            <v>5</v>
          </cell>
          <cell r="AO51" t="str">
            <v>HR</v>
          </cell>
          <cell r="AP51">
            <v>658.06570939583332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35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D51">
            <v>0</v>
          </cell>
          <cell r="BE51">
            <v>0</v>
          </cell>
          <cell r="BF51">
            <v>40</v>
          </cell>
          <cell r="BG51">
            <v>4397.3952083333334</v>
          </cell>
          <cell r="BH51">
            <v>399.37</v>
          </cell>
          <cell r="BI51">
            <v>44.628658828541674</v>
          </cell>
          <cell r="BJ51">
            <v>320.43377038892919</v>
          </cell>
          <cell r="BK51">
            <v>56.760721422708329</v>
          </cell>
          <cell r="BL51">
            <v>72.819999999999993</v>
          </cell>
          <cell r="BM51">
            <v>894.01315064017911</v>
          </cell>
        </row>
        <row r="52">
          <cell r="A52">
            <v>41</v>
          </cell>
          <cell r="B52" t="str">
            <v>DIAZ MEDICO  MARCO</v>
          </cell>
          <cell r="C52">
            <v>39452</v>
          </cell>
          <cell r="D52">
            <v>39716</v>
          </cell>
          <cell r="E52" t="str">
            <v>AYTE. PERF.</v>
          </cell>
          <cell r="F52">
            <v>50.15</v>
          </cell>
          <cell r="G52">
            <v>25</v>
          </cell>
          <cell r="H52">
            <v>200</v>
          </cell>
          <cell r="I52">
            <v>1253.75</v>
          </cell>
          <cell r="J52">
            <v>3.8461538461538463</v>
          </cell>
          <cell r="K52">
            <v>192.88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34</v>
          </cell>
          <cell r="Q52">
            <v>266.421875</v>
          </cell>
          <cell r="R52">
            <v>34</v>
          </cell>
          <cell r="S52">
            <v>266.421875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711.32</v>
          </cell>
          <cell r="AH52">
            <v>0</v>
          </cell>
          <cell r="AI52">
            <v>1092.0899999999999</v>
          </cell>
          <cell r="AJ52">
            <v>0</v>
          </cell>
          <cell r="AK52">
            <v>0</v>
          </cell>
          <cell r="AL52">
            <v>3516.461875</v>
          </cell>
          <cell r="AM52">
            <v>457.14004375000002</v>
          </cell>
          <cell r="AN52">
            <v>5</v>
          </cell>
          <cell r="AO52" t="str">
            <v>ONP</v>
          </cell>
          <cell r="AP52">
            <v>0</v>
          </cell>
          <cell r="AQ52">
            <v>421.97542499999997</v>
          </cell>
          <cell r="AR52">
            <v>68.571006562500003</v>
          </cell>
          <cell r="AS52">
            <v>30.593218312499996</v>
          </cell>
          <cell r="AT52">
            <v>521.13964987499992</v>
          </cell>
          <cell r="AU52">
            <v>0</v>
          </cell>
          <cell r="AV52">
            <v>0</v>
          </cell>
          <cell r="AW52">
            <v>0</v>
          </cell>
          <cell r="AX52">
            <v>34.590000000000003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D52">
            <v>0</v>
          </cell>
          <cell r="BE52">
            <v>0</v>
          </cell>
          <cell r="BF52">
            <v>1017.869693625</v>
          </cell>
          <cell r="BG52">
            <v>2498.5921813750001</v>
          </cell>
          <cell r="BH52">
            <v>316.48</v>
          </cell>
          <cell r="BI52">
            <v>34.382623961874998</v>
          </cell>
          <cell r="BJ52">
            <v>246.86724004626248</v>
          </cell>
          <cell r="BK52">
            <v>43.729356689374995</v>
          </cell>
          <cell r="BL52">
            <v>0</v>
          </cell>
          <cell r="BM52">
            <v>641.45922069751248</v>
          </cell>
        </row>
        <row r="53">
          <cell r="A53">
            <v>42</v>
          </cell>
          <cell r="B53" t="str">
            <v>ESCALANTE VALENTIN MIGUEL</v>
          </cell>
          <cell r="C53">
            <v>39007</v>
          </cell>
          <cell r="D53">
            <v>39716</v>
          </cell>
          <cell r="E53" t="str">
            <v>PERFORISTA</v>
          </cell>
          <cell r="F53">
            <v>56.15</v>
          </cell>
          <cell r="G53">
            <v>25</v>
          </cell>
          <cell r="H53">
            <v>200</v>
          </cell>
          <cell r="I53">
            <v>1403.75</v>
          </cell>
          <cell r="J53">
            <v>3.8461538461538463</v>
          </cell>
          <cell r="K53">
            <v>215.96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46</v>
          </cell>
          <cell r="Q53">
            <v>403.578125</v>
          </cell>
          <cell r="R53">
            <v>46</v>
          </cell>
          <cell r="S53">
            <v>403.578125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24</v>
          </cell>
          <cell r="Y53">
            <v>336.9</v>
          </cell>
          <cell r="Z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795.46</v>
          </cell>
          <cell r="AH53">
            <v>0</v>
          </cell>
          <cell r="AI53">
            <v>1586.24</v>
          </cell>
          <cell r="AJ53">
            <v>0</v>
          </cell>
          <cell r="AK53">
            <v>0</v>
          </cell>
          <cell r="AL53">
            <v>4741.8881250000004</v>
          </cell>
          <cell r="AM53">
            <v>0</v>
          </cell>
          <cell r="AN53">
            <v>5</v>
          </cell>
          <cell r="AO53" t="str">
            <v>IN</v>
          </cell>
          <cell r="AP53">
            <v>696.10917675000007</v>
          </cell>
          <cell r="AQ53">
            <v>0</v>
          </cell>
          <cell r="AR53">
            <v>0</v>
          </cell>
          <cell r="AS53">
            <v>41.254426687500001</v>
          </cell>
          <cell r="AT53">
            <v>41.254426687500001</v>
          </cell>
          <cell r="AU53">
            <v>80.930000000000007</v>
          </cell>
          <cell r="AV53">
            <v>0</v>
          </cell>
          <cell r="AW53">
            <v>0</v>
          </cell>
          <cell r="AX53">
            <v>35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D53">
            <v>0</v>
          </cell>
          <cell r="BE53">
            <v>0</v>
          </cell>
          <cell r="BF53">
            <v>162.18442668750001</v>
          </cell>
          <cell r="BG53">
            <v>4579.7036983125008</v>
          </cell>
          <cell r="BH53">
            <v>426.77</v>
          </cell>
          <cell r="BI53">
            <v>48.371369528125008</v>
          </cell>
          <cell r="BJ53">
            <v>347.30643321193753</v>
          </cell>
          <cell r="BK53">
            <v>61.520868040625011</v>
          </cell>
          <cell r="BL53">
            <v>78.930000000000007</v>
          </cell>
          <cell r="BM53">
            <v>962.89867078068744</v>
          </cell>
        </row>
        <row r="54">
          <cell r="A54">
            <v>43</v>
          </cell>
          <cell r="B54" t="str">
            <v>ESPADA SANTOS  JUAN ANTOGENES</v>
          </cell>
          <cell r="C54">
            <v>39423</v>
          </cell>
          <cell r="D54">
            <v>39716</v>
          </cell>
          <cell r="E54" t="str">
            <v>AYTE. PERF.</v>
          </cell>
          <cell r="F54">
            <v>50.15</v>
          </cell>
          <cell r="G54">
            <v>20</v>
          </cell>
          <cell r="H54">
            <v>160</v>
          </cell>
          <cell r="I54">
            <v>1003</v>
          </cell>
          <cell r="J54">
            <v>3.6923076923076925</v>
          </cell>
          <cell r="K54">
            <v>185.17</v>
          </cell>
          <cell r="L54">
            <v>0</v>
          </cell>
          <cell r="M54">
            <v>0</v>
          </cell>
          <cell r="N54">
            <v>31</v>
          </cell>
          <cell r="O54">
            <v>56.833333333333329</v>
          </cell>
          <cell r="P54">
            <v>22</v>
          </cell>
          <cell r="Q54">
            <v>172.390625</v>
          </cell>
          <cell r="R54">
            <v>22</v>
          </cell>
          <cell r="S54">
            <v>172.390625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710.46</v>
          </cell>
          <cell r="AH54">
            <v>0</v>
          </cell>
          <cell r="AI54">
            <v>1207.78</v>
          </cell>
          <cell r="AJ54">
            <v>4</v>
          </cell>
          <cell r="AK54">
            <v>200.6</v>
          </cell>
          <cell r="AL54">
            <v>3536.2339583333328</v>
          </cell>
          <cell r="AM54">
            <v>459.71041458333326</v>
          </cell>
          <cell r="AN54">
            <v>5</v>
          </cell>
          <cell r="AO54" t="str">
            <v>ONP</v>
          </cell>
          <cell r="AP54">
            <v>0</v>
          </cell>
          <cell r="AQ54">
            <v>424.34807499999994</v>
          </cell>
          <cell r="AR54">
            <v>68.956562187499983</v>
          </cell>
          <cell r="AS54">
            <v>30.765235437499992</v>
          </cell>
          <cell r="AT54">
            <v>524.0698726249999</v>
          </cell>
          <cell r="AU54">
            <v>0</v>
          </cell>
          <cell r="AV54">
            <v>0</v>
          </cell>
          <cell r="AW54">
            <v>0</v>
          </cell>
          <cell r="AX54">
            <v>36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D54">
            <v>0</v>
          </cell>
          <cell r="BE54">
            <v>0</v>
          </cell>
          <cell r="BF54">
            <v>1024.7802872083332</v>
          </cell>
          <cell r="BG54">
            <v>2511.4536711249993</v>
          </cell>
          <cell r="BH54">
            <v>318.26</v>
          </cell>
          <cell r="BI54">
            <v>34.635511407291659</v>
          </cell>
          <cell r="BJ54">
            <v>248.68297190435413</v>
          </cell>
          <cell r="BK54">
            <v>44.050990236458325</v>
          </cell>
          <cell r="BL54">
            <v>0</v>
          </cell>
          <cell r="BM54">
            <v>645.62947354810422</v>
          </cell>
        </row>
        <row r="55">
          <cell r="A55">
            <v>44</v>
          </cell>
          <cell r="B55" t="str">
            <v>FIERRO CAPCHA CESAR RAUL</v>
          </cell>
          <cell r="C55">
            <v>37865</v>
          </cell>
          <cell r="D55">
            <v>39716</v>
          </cell>
          <cell r="E55" t="str">
            <v>PERFORISTA</v>
          </cell>
          <cell r="F55">
            <v>56.15</v>
          </cell>
          <cell r="G55">
            <v>25</v>
          </cell>
          <cell r="H55">
            <v>200</v>
          </cell>
          <cell r="I55">
            <v>1403.75</v>
          </cell>
          <cell r="J55">
            <v>3.8461538461538463</v>
          </cell>
          <cell r="K55">
            <v>215.96</v>
          </cell>
          <cell r="L55">
            <v>0</v>
          </cell>
          <cell r="M55">
            <v>0</v>
          </cell>
          <cell r="N55">
            <v>31</v>
          </cell>
          <cell r="O55">
            <v>56.833333333333329</v>
          </cell>
          <cell r="P55">
            <v>34</v>
          </cell>
          <cell r="Q55">
            <v>298.296875</v>
          </cell>
          <cell r="R55">
            <v>34</v>
          </cell>
          <cell r="S55">
            <v>298.296875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796.32</v>
          </cell>
          <cell r="AH55">
            <v>1686.33</v>
          </cell>
          <cell r="AI55">
            <v>117.11</v>
          </cell>
          <cell r="AJ55">
            <v>0</v>
          </cell>
          <cell r="AK55">
            <v>0</v>
          </cell>
          <cell r="AL55">
            <v>4574.6002083333324</v>
          </cell>
          <cell r="AM55">
            <v>0</v>
          </cell>
          <cell r="AN55">
            <v>5</v>
          </cell>
          <cell r="AO55" t="str">
            <v>IN</v>
          </cell>
          <cell r="AP55">
            <v>671.55131058333325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1.23</v>
          </cell>
          <cell r="AV55">
            <v>0</v>
          </cell>
          <cell r="AW55">
            <v>0</v>
          </cell>
          <cell r="AX55">
            <v>35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D55">
            <v>0</v>
          </cell>
          <cell r="BE55">
            <v>0</v>
          </cell>
          <cell r="BF55">
            <v>41.230000000000004</v>
          </cell>
          <cell r="BG55">
            <v>4533.3702083333328</v>
          </cell>
          <cell r="BH55">
            <v>411.71</v>
          </cell>
          <cell r="BI55">
            <v>46.310380513541659</v>
          </cell>
          <cell r="BJ55">
            <v>332.50853208722913</v>
          </cell>
          <cell r="BK55">
            <v>58.899610167708317</v>
          </cell>
          <cell r="BL55">
            <v>75.569999999999993</v>
          </cell>
          <cell r="BM55">
            <v>924.99852276847901</v>
          </cell>
        </row>
        <row r="56">
          <cell r="A56">
            <v>45</v>
          </cell>
          <cell r="B56" t="str">
            <v>GIL LOPEZ ROCKEFELLER</v>
          </cell>
          <cell r="C56">
            <v>38864</v>
          </cell>
          <cell r="D56">
            <v>39716</v>
          </cell>
          <cell r="E56" t="str">
            <v>AYTE. PERF.</v>
          </cell>
          <cell r="F56">
            <v>54.15</v>
          </cell>
          <cell r="G56">
            <v>10</v>
          </cell>
          <cell r="H56">
            <v>80</v>
          </cell>
          <cell r="I56">
            <v>541.5</v>
          </cell>
          <cell r="J56">
            <v>1.5384615384615385</v>
          </cell>
          <cell r="K56">
            <v>83.31</v>
          </cell>
          <cell r="L56">
            <v>0</v>
          </cell>
          <cell r="M56">
            <v>0</v>
          </cell>
          <cell r="N56">
            <v>31</v>
          </cell>
          <cell r="O56">
            <v>56.833333333333329</v>
          </cell>
          <cell r="P56">
            <v>16</v>
          </cell>
          <cell r="Q56">
            <v>135.375</v>
          </cell>
          <cell r="R56">
            <v>16</v>
          </cell>
          <cell r="S56">
            <v>135.375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767.99</v>
          </cell>
          <cell r="AH56">
            <v>0</v>
          </cell>
          <cell r="AI56">
            <v>537.59</v>
          </cell>
          <cell r="AJ56">
            <v>0</v>
          </cell>
          <cell r="AK56">
            <v>0</v>
          </cell>
          <cell r="AL56">
            <v>2122.5983333333334</v>
          </cell>
          <cell r="AM56">
            <v>0</v>
          </cell>
          <cell r="AN56">
            <v>5</v>
          </cell>
          <cell r="AO56" t="str">
            <v>PF</v>
          </cell>
          <cell r="AP56">
            <v>315.84263199999998</v>
          </cell>
          <cell r="AQ56">
            <v>254.71179999999998</v>
          </cell>
          <cell r="AR56">
            <v>41.390667499999999</v>
          </cell>
          <cell r="AS56">
            <v>18.4666055</v>
          </cell>
          <cell r="AT56">
            <v>314.569073</v>
          </cell>
          <cell r="AU56">
            <v>5.61</v>
          </cell>
          <cell r="AV56">
            <v>0</v>
          </cell>
          <cell r="AW56">
            <v>0</v>
          </cell>
          <cell r="AX56">
            <v>0</v>
          </cell>
          <cell r="AY56">
            <v>0</v>
          </cell>
          <cell r="AZ56">
            <v>0</v>
          </cell>
          <cell r="BA56">
            <v>0</v>
          </cell>
          <cell r="BB56">
            <v>0</v>
          </cell>
          <cell r="BD56">
            <v>0</v>
          </cell>
          <cell r="BE56">
            <v>0</v>
          </cell>
          <cell r="BF56">
            <v>325.17907300000002</v>
          </cell>
          <cell r="BG56">
            <v>1797.4192603333333</v>
          </cell>
          <cell r="BH56">
            <v>191.03</v>
          </cell>
          <cell r="BI56">
            <v>16.603434341666667</v>
          </cell>
          <cell r="BJ56">
            <v>119.21265857316666</v>
          </cell>
          <cell r="BK56">
            <v>21.116989308333334</v>
          </cell>
          <cell r="BL56">
            <v>27.09</v>
          </cell>
          <cell r="BM56">
            <v>375.05308222316671</v>
          </cell>
        </row>
        <row r="57">
          <cell r="A57">
            <v>46</v>
          </cell>
          <cell r="B57" t="str">
            <v>GIL LOPEZ, JORGE  YVAIR</v>
          </cell>
          <cell r="C57">
            <v>39263</v>
          </cell>
          <cell r="D57">
            <v>39716</v>
          </cell>
          <cell r="E57" t="str">
            <v>AYTE. PERF.</v>
          </cell>
          <cell r="F57">
            <v>54.15</v>
          </cell>
          <cell r="G57">
            <v>25</v>
          </cell>
          <cell r="H57">
            <v>200</v>
          </cell>
          <cell r="I57">
            <v>1353.75</v>
          </cell>
          <cell r="J57">
            <v>3.8461538461538463</v>
          </cell>
          <cell r="K57">
            <v>208.27</v>
          </cell>
          <cell r="L57">
            <v>0</v>
          </cell>
          <cell r="M57">
            <v>0</v>
          </cell>
          <cell r="N57">
            <v>31</v>
          </cell>
          <cell r="O57">
            <v>56.833333333333329</v>
          </cell>
          <cell r="P57">
            <v>28</v>
          </cell>
          <cell r="Q57">
            <v>236.90625</v>
          </cell>
          <cell r="R57">
            <v>28</v>
          </cell>
          <cell r="S57">
            <v>236.90625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767.99</v>
          </cell>
          <cell r="AH57">
            <v>1626.33</v>
          </cell>
          <cell r="AI57">
            <v>388.52</v>
          </cell>
          <cell r="AJ57">
            <v>0</v>
          </cell>
          <cell r="AK57">
            <v>0</v>
          </cell>
          <cell r="AL57">
            <v>4638.5995833333327</v>
          </cell>
          <cell r="AM57">
            <v>603.01794583333333</v>
          </cell>
          <cell r="AN57">
            <v>5</v>
          </cell>
          <cell r="AO57" t="str">
            <v>ONP</v>
          </cell>
          <cell r="AP57">
            <v>0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  <cell r="AU57">
            <v>5.68</v>
          </cell>
          <cell r="AV57">
            <v>0</v>
          </cell>
          <cell r="AW57">
            <v>0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0</v>
          </cell>
          <cell r="BD57">
            <v>0</v>
          </cell>
          <cell r="BE57">
            <v>0</v>
          </cell>
          <cell r="BF57">
            <v>613.69794583333328</v>
          </cell>
          <cell r="BG57">
            <v>4024.9016374999992</v>
          </cell>
          <cell r="BH57">
            <v>417.47</v>
          </cell>
          <cell r="BI57">
            <v>47.442061662916664</v>
          </cell>
          <cell r="BJ57">
            <v>340.63400273974162</v>
          </cell>
          <cell r="BK57">
            <v>60.338932794583329</v>
          </cell>
          <cell r="BL57">
            <v>0</v>
          </cell>
          <cell r="BM57">
            <v>865.88499719724166</v>
          </cell>
        </row>
        <row r="58">
          <cell r="A58">
            <v>47</v>
          </cell>
          <cell r="B58" t="str">
            <v>GIRON URBANO GIOMAR WILLIAMS</v>
          </cell>
          <cell r="C58">
            <v>38915</v>
          </cell>
          <cell r="D58">
            <v>39716</v>
          </cell>
          <cell r="E58" t="str">
            <v>AYTE. PERF.</v>
          </cell>
          <cell r="F58">
            <v>54.15</v>
          </cell>
          <cell r="G58">
            <v>16</v>
          </cell>
          <cell r="H58">
            <v>128</v>
          </cell>
          <cell r="I58">
            <v>866.4</v>
          </cell>
          <cell r="J58">
            <v>2.4615384615384617</v>
          </cell>
          <cell r="K58">
            <v>133.29</v>
          </cell>
          <cell r="L58">
            <v>0</v>
          </cell>
          <cell r="M58">
            <v>0</v>
          </cell>
          <cell r="N58">
            <v>31</v>
          </cell>
          <cell r="O58">
            <v>56.833333333333329</v>
          </cell>
          <cell r="P58">
            <v>16</v>
          </cell>
          <cell r="Q58">
            <v>135.375</v>
          </cell>
          <cell r="R58">
            <v>16</v>
          </cell>
          <cell r="S58">
            <v>135.375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767.99</v>
          </cell>
          <cell r="AH58">
            <v>1626.33</v>
          </cell>
          <cell r="AI58">
            <v>347.86</v>
          </cell>
          <cell r="AJ58">
            <v>0</v>
          </cell>
          <cell r="AK58">
            <v>0</v>
          </cell>
          <cell r="AL58">
            <v>3934.0783333333334</v>
          </cell>
          <cell r="AM58">
            <v>0</v>
          </cell>
          <cell r="AN58">
            <v>5</v>
          </cell>
          <cell r="AO58" t="str">
            <v>HR</v>
          </cell>
          <cell r="AP58">
            <v>583.42381683333326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15.4</v>
          </cell>
          <cell r="AV58">
            <v>0</v>
          </cell>
          <cell r="AW58">
            <v>0</v>
          </cell>
          <cell r="AX58">
            <v>35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D58">
            <v>0</v>
          </cell>
          <cell r="BE58">
            <v>0</v>
          </cell>
          <cell r="BF58">
            <v>55.4</v>
          </cell>
          <cell r="BG58">
            <v>3878.6783333333333</v>
          </cell>
          <cell r="BH58">
            <v>354.07</v>
          </cell>
          <cell r="BI58">
            <v>38.806744701666666</v>
          </cell>
          <cell r="BJ58">
            <v>278.63242695796669</v>
          </cell>
          <cell r="BK58">
            <v>49.356151028333336</v>
          </cell>
          <cell r="BL58">
            <v>63.32</v>
          </cell>
          <cell r="BM58">
            <v>784.18532268796673</v>
          </cell>
        </row>
        <row r="59">
          <cell r="A59">
            <v>48</v>
          </cell>
          <cell r="B59" t="str">
            <v>GIRON URBANO, FELIPE JUAN</v>
          </cell>
          <cell r="C59">
            <v>39263</v>
          </cell>
          <cell r="D59">
            <v>39716</v>
          </cell>
          <cell r="E59" t="str">
            <v>AYTE. PERF.</v>
          </cell>
          <cell r="F59">
            <v>54.15</v>
          </cell>
          <cell r="G59">
            <v>24</v>
          </cell>
          <cell r="H59">
            <v>192</v>
          </cell>
          <cell r="I59">
            <v>1299.5999999999999</v>
          </cell>
          <cell r="J59">
            <v>3.6923076923076925</v>
          </cell>
          <cell r="K59">
            <v>199.94</v>
          </cell>
          <cell r="L59">
            <v>0</v>
          </cell>
          <cell r="M59">
            <v>0</v>
          </cell>
          <cell r="N59">
            <v>31</v>
          </cell>
          <cell r="O59">
            <v>56.833333333333329</v>
          </cell>
          <cell r="P59">
            <v>2</v>
          </cell>
          <cell r="Q59">
            <v>16.921875</v>
          </cell>
          <cell r="R59">
            <v>2</v>
          </cell>
          <cell r="S59">
            <v>16.921875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767.99</v>
          </cell>
          <cell r="AH59">
            <v>1626.33</v>
          </cell>
          <cell r="AI59">
            <v>388.52</v>
          </cell>
          <cell r="AJ59">
            <v>0</v>
          </cell>
          <cell r="AK59">
            <v>0</v>
          </cell>
          <cell r="AL59">
            <v>4356.1352083333331</v>
          </cell>
          <cell r="AM59">
            <v>566.29757708333329</v>
          </cell>
          <cell r="AN59">
            <v>5</v>
          </cell>
          <cell r="AO59" t="str">
            <v>ONP</v>
          </cell>
          <cell r="AP59">
            <v>0</v>
          </cell>
          <cell r="AQ59">
            <v>522.73622499999999</v>
          </cell>
          <cell r="AR59">
            <v>84.944636562499994</v>
          </cell>
          <cell r="AS59">
            <v>37.898376312499998</v>
          </cell>
          <cell r="AT59">
            <v>645.57923787499999</v>
          </cell>
          <cell r="AU59">
            <v>-20.83</v>
          </cell>
          <cell r="AV59">
            <v>0</v>
          </cell>
          <cell r="AW59">
            <v>0</v>
          </cell>
          <cell r="AX59">
            <v>0</v>
          </cell>
          <cell r="AY59">
            <v>0</v>
          </cell>
          <cell r="AZ59">
            <v>0</v>
          </cell>
          <cell r="BA59">
            <v>0</v>
          </cell>
          <cell r="BB59">
            <v>0</v>
          </cell>
          <cell r="BD59">
            <v>0</v>
          </cell>
          <cell r="BE59">
            <v>0</v>
          </cell>
          <cell r="BF59">
            <v>1196.0468149583335</v>
          </cell>
          <cell r="BG59">
            <v>3160.0883933749997</v>
          </cell>
          <cell r="BH59">
            <v>392.05</v>
          </cell>
          <cell r="BI59">
            <v>43.979895818541678</v>
          </cell>
          <cell r="BJ59">
            <v>315.77565197712914</v>
          </cell>
          <cell r="BK59">
            <v>55.935595652708336</v>
          </cell>
          <cell r="BL59">
            <v>0</v>
          </cell>
          <cell r="BM59">
            <v>807.74114344837926</v>
          </cell>
        </row>
        <row r="60">
          <cell r="A60">
            <v>49</v>
          </cell>
          <cell r="B60" t="str">
            <v>GUTIERREZ AYALA NICOLAS EDMUNDO</v>
          </cell>
          <cell r="C60">
            <v>38755</v>
          </cell>
          <cell r="D60">
            <v>39716</v>
          </cell>
          <cell r="E60" t="str">
            <v>PERFORISTA</v>
          </cell>
          <cell r="F60">
            <v>56.15</v>
          </cell>
          <cell r="G60">
            <v>24</v>
          </cell>
          <cell r="H60">
            <v>192</v>
          </cell>
          <cell r="I60">
            <v>1347.6</v>
          </cell>
          <cell r="J60">
            <v>3.6923076923076925</v>
          </cell>
          <cell r="K60">
            <v>207.32</v>
          </cell>
          <cell r="L60">
            <v>0</v>
          </cell>
          <cell r="M60">
            <v>0</v>
          </cell>
          <cell r="N60">
            <v>31</v>
          </cell>
          <cell r="O60">
            <v>56.833333333333329</v>
          </cell>
          <cell r="P60">
            <v>26</v>
          </cell>
          <cell r="Q60">
            <v>228.109375</v>
          </cell>
          <cell r="R60">
            <v>26</v>
          </cell>
          <cell r="S60">
            <v>228.109375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796.32</v>
          </cell>
          <cell r="AH60">
            <v>1686.33</v>
          </cell>
          <cell r="AI60">
            <v>1072.69</v>
          </cell>
          <cell r="AJ60">
            <v>0</v>
          </cell>
          <cell r="AK60">
            <v>0</v>
          </cell>
          <cell r="AL60">
            <v>5395.2027083333342</v>
          </cell>
          <cell r="AM60">
            <v>0</v>
          </cell>
          <cell r="AN60">
            <v>5</v>
          </cell>
          <cell r="AO60" t="str">
            <v>IN</v>
          </cell>
          <cell r="AP60">
            <v>792.01575758333354</v>
          </cell>
          <cell r="AQ60">
            <v>647.42432500000007</v>
          </cell>
          <cell r="AR60">
            <v>105.20645281250002</v>
          </cell>
          <cell r="AS60">
            <v>46.938263562500005</v>
          </cell>
          <cell r="AT60">
            <v>799.5690413750001</v>
          </cell>
          <cell r="AU60">
            <v>32.67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D60">
            <v>0</v>
          </cell>
          <cell r="BE60">
            <v>0</v>
          </cell>
          <cell r="BF60">
            <v>837.23904137500006</v>
          </cell>
          <cell r="BG60">
            <v>4557.9636669583342</v>
          </cell>
          <cell r="BH60">
            <v>485.57</v>
          </cell>
          <cell r="BI60">
            <v>56.368505356041688</v>
          </cell>
          <cell r="BJ60">
            <v>404.7258684563792</v>
          </cell>
          <cell r="BK60">
            <v>71.691982540208357</v>
          </cell>
          <cell r="BL60">
            <v>91.98</v>
          </cell>
          <cell r="BM60">
            <v>1110.3363563526291</v>
          </cell>
        </row>
        <row r="61">
          <cell r="A61">
            <v>50</v>
          </cell>
          <cell r="B61" t="str">
            <v>HOBISPO VILLANUEVA MIGUEL ANGEL</v>
          </cell>
          <cell r="C61">
            <v>37956</v>
          </cell>
          <cell r="D61">
            <v>39691</v>
          </cell>
          <cell r="E61" t="str">
            <v>SUPERVISOR SEGURIDAD</v>
          </cell>
          <cell r="F61">
            <v>56.15</v>
          </cell>
          <cell r="G61">
            <v>4</v>
          </cell>
          <cell r="H61">
            <v>32</v>
          </cell>
          <cell r="I61">
            <v>224.6</v>
          </cell>
          <cell r="J61">
            <v>0.61538461538461542</v>
          </cell>
          <cell r="K61">
            <v>34.549999999999997</v>
          </cell>
          <cell r="L61">
            <v>0</v>
          </cell>
          <cell r="M61">
            <v>0</v>
          </cell>
          <cell r="N61">
            <v>31</v>
          </cell>
          <cell r="O61">
            <v>56.833333333333329</v>
          </cell>
          <cell r="P61">
            <v>8</v>
          </cell>
          <cell r="Q61">
            <v>70.1875</v>
          </cell>
          <cell r="R61">
            <v>8</v>
          </cell>
          <cell r="S61">
            <v>70.1875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16</v>
          </cell>
          <cell r="Y61">
            <v>224.6</v>
          </cell>
          <cell r="Z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562.11</v>
          </cell>
          <cell r="AH61">
            <v>0</v>
          </cell>
          <cell r="AI61">
            <v>1264.75</v>
          </cell>
          <cell r="AJ61">
            <v>0</v>
          </cell>
          <cell r="AK61">
            <v>0</v>
          </cell>
          <cell r="AL61">
            <v>2437.6308333333332</v>
          </cell>
          <cell r="AM61">
            <v>0</v>
          </cell>
          <cell r="AN61">
            <v>5</v>
          </cell>
          <cell r="AO61" t="str">
            <v>IN</v>
          </cell>
          <cell r="AP61">
            <v>357.84420633333332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80.760000000000005</v>
          </cell>
          <cell r="AV61">
            <v>0</v>
          </cell>
          <cell r="AW61">
            <v>0</v>
          </cell>
          <cell r="AX61">
            <v>32</v>
          </cell>
          <cell r="AY61">
            <v>0</v>
          </cell>
          <cell r="AZ61">
            <v>0</v>
          </cell>
          <cell r="BA61">
            <v>0</v>
          </cell>
          <cell r="BB61">
            <v>161.15</v>
          </cell>
          <cell r="BD61">
            <v>0</v>
          </cell>
          <cell r="BE61">
            <v>0</v>
          </cell>
          <cell r="BF61">
            <v>278.91000000000003</v>
          </cell>
          <cell r="BG61">
            <v>2158.7208333333333</v>
          </cell>
          <cell r="BH61">
            <v>219.39</v>
          </cell>
          <cell r="BI61">
            <v>22.988258854166666</v>
          </cell>
          <cell r="BJ61">
            <v>165.05569857291661</v>
          </cell>
          <cell r="BK61">
            <v>29.237494270833331</v>
          </cell>
          <cell r="BL61">
            <v>37.51</v>
          </cell>
          <cell r="BM61">
            <v>474.18145169791666</v>
          </cell>
        </row>
        <row r="62">
          <cell r="A62">
            <v>51</v>
          </cell>
          <cell r="B62" t="str">
            <v>HUACHO CONDORI MAXIMO</v>
          </cell>
          <cell r="C62">
            <v>37746</v>
          </cell>
          <cell r="D62">
            <v>39716</v>
          </cell>
          <cell r="E62" t="str">
            <v>PERFORISTA</v>
          </cell>
          <cell r="F62">
            <v>56.15</v>
          </cell>
          <cell r="G62">
            <v>8</v>
          </cell>
          <cell r="H62">
            <v>64</v>
          </cell>
          <cell r="I62">
            <v>449.2</v>
          </cell>
          <cell r="J62">
            <v>2.6153846153846154</v>
          </cell>
          <cell r="K62">
            <v>146.85</v>
          </cell>
          <cell r="L62">
            <v>0</v>
          </cell>
          <cell r="M62">
            <v>0</v>
          </cell>
          <cell r="N62">
            <v>31</v>
          </cell>
          <cell r="O62">
            <v>56.833333333333329</v>
          </cell>
          <cell r="P62">
            <v>15</v>
          </cell>
          <cell r="Q62">
            <v>131.6015625</v>
          </cell>
          <cell r="R62">
            <v>15</v>
          </cell>
          <cell r="S62">
            <v>131.6015625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796.32</v>
          </cell>
          <cell r="AH62">
            <v>0</v>
          </cell>
          <cell r="AI62">
            <v>660.48</v>
          </cell>
          <cell r="AJ62">
            <v>9</v>
          </cell>
          <cell r="AK62">
            <v>505.35</v>
          </cell>
          <cell r="AL62">
            <v>2746.6348958333333</v>
          </cell>
          <cell r="AM62">
            <v>357.06253645833334</v>
          </cell>
          <cell r="AN62">
            <v>5</v>
          </cell>
          <cell r="AO62" t="str">
            <v>ONP</v>
          </cell>
          <cell r="AP62">
            <v>0</v>
          </cell>
          <cell r="AQ62">
            <v>329.59618749999998</v>
          </cell>
          <cell r="AR62">
            <v>53.55938046875</v>
          </cell>
          <cell r="AS62">
            <v>23.895723593749999</v>
          </cell>
          <cell r="AT62">
            <v>407.05129156250001</v>
          </cell>
          <cell r="AU62">
            <v>48.01</v>
          </cell>
          <cell r="AV62">
            <v>0</v>
          </cell>
          <cell r="AW62">
            <v>0</v>
          </cell>
          <cell r="AX62">
            <v>35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D62">
            <v>0</v>
          </cell>
          <cell r="BE62">
            <v>0</v>
          </cell>
          <cell r="BF62">
            <v>852.12382802083334</v>
          </cell>
          <cell r="BG62">
            <v>1894.5110678125</v>
          </cell>
          <cell r="BH62">
            <v>247.2</v>
          </cell>
          <cell r="BI62">
            <v>23.905009678229163</v>
          </cell>
          <cell r="BJ62">
            <v>171.63796948968542</v>
          </cell>
          <cell r="BK62">
            <v>30.403458911145833</v>
          </cell>
          <cell r="BL62">
            <v>0</v>
          </cell>
          <cell r="BM62">
            <v>473.14643807906043</v>
          </cell>
        </row>
        <row r="63">
          <cell r="A63">
            <v>52</v>
          </cell>
          <cell r="B63" t="str">
            <v>HUACHO ILLANES PABLO</v>
          </cell>
          <cell r="C63">
            <v>37669</v>
          </cell>
          <cell r="D63">
            <v>39716</v>
          </cell>
          <cell r="E63" t="str">
            <v>PERFORISTA</v>
          </cell>
          <cell r="F63">
            <v>56.15</v>
          </cell>
          <cell r="G63">
            <v>24</v>
          </cell>
          <cell r="H63">
            <v>192</v>
          </cell>
          <cell r="I63">
            <v>1347.6</v>
          </cell>
          <cell r="J63">
            <v>3.8461538461538463</v>
          </cell>
          <cell r="K63">
            <v>215.96</v>
          </cell>
          <cell r="L63">
            <v>0</v>
          </cell>
          <cell r="M63">
            <v>0</v>
          </cell>
          <cell r="N63">
            <v>31</v>
          </cell>
          <cell r="O63">
            <v>56.833333333333329</v>
          </cell>
          <cell r="P63">
            <v>30</v>
          </cell>
          <cell r="Q63">
            <v>263.203125</v>
          </cell>
          <cell r="R63">
            <v>30</v>
          </cell>
          <cell r="S63">
            <v>263.203125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796.32</v>
          </cell>
          <cell r="AH63">
            <v>1686.33</v>
          </cell>
          <cell r="AI63">
            <v>1025.8499999999999</v>
          </cell>
          <cell r="AJ63">
            <v>1</v>
          </cell>
          <cell r="AK63">
            <v>56.15</v>
          </cell>
          <cell r="AL63">
            <v>5448.2464583333331</v>
          </cell>
          <cell r="AM63">
            <v>0</v>
          </cell>
          <cell r="AN63">
            <v>5</v>
          </cell>
          <cell r="AO63" t="str">
            <v>IN</v>
          </cell>
          <cell r="AP63">
            <v>799.8025800833334</v>
          </cell>
          <cell r="AQ63">
            <v>653.7895749999999</v>
          </cell>
          <cell r="AR63">
            <v>106.2408059375</v>
          </cell>
          <cell r="AS63">
            <v>47.399744187499998</v>
          </cell>
          <cell r="AT63">
            <v>807.4301251249999</v>
          </cell>
          <cell r="AU63">
            <v>0</v>
          </cell>
          <cell r="AV63">
            <v>0</v>
          </cell>
          <cell r="AW63">
            <v>0</v>
          </cell>
          <cell r="AX63">
            <v>35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D63">
            <v>0</v>
          </cell>
          <cell r="BE63">
            <v>0</v>
          </cell>
          <cell r="BF63">
            <v>847.4301251249999</v>
          </cell>
          <cell r="BG63">
            <v>4600.8163332083332</v>
          </cell>
          <cell r="BH63">
            <v>490.34</v>
          </cell>
          <cell r="BI63">
            <v>57.018662599791668</v>
          </cell>
          <cell r="BJ63">
            <v>409.39399746650417</v>
          </cell>
          <cell r="BK63">
            <v>72.518881558958341</v>
          </cell>
          <cell r="BL63">
            <v>93.04</v>
          </cell>
          <cell r="BM63">
            <v>1122.3115416252542</v>
          </cell>
        </row>
        <row r="64">
          <cell r="A64">
            <v>53</v>
          </cell>
          <cell r="B64" t="str">
            <v>HUACHO LLANCARI CARLOS</v>
          </cell>
          <cell r="C64">
            <v>38541</v>
          </cell>
          <cell r="D64">
            <v>39716</v>
          </cell>
          <cell r="E64" t="str">
            <v>PERFORISTA</v>
          </cell>
          <cell r="F64">
            <v>56.15</v>
          </cell>
          <cell r="G64">
            <v>20</v>
          </cell>
          <cell r="H64">
            <v>160</v>
          </cell>
          <cell r="I64">
            <v>1123</v>
          </cell>
          <cell r="J64">
            <v>3.0769230769230771</v>
          </cell>
          <cell r="K64">
            <v>172.77</v>
          </cell>
          <cell r="L64">
            <v>0</v>
          </cell>
          <cell r="M64">
            <v>0</v>
          </cell>
          <cell r="N64">
            <v>31</v>
          </cell>
          <cell r="O64">
            <v>56.833333333333329</v>
          </cell>
          <cell r="P64">
            <v>34</v>
          </cell>
          <cell r="Q64">
            <v>298.296875</v>
          </cell>
          <cell r="R64">
            <v>34</v>
          </cell>
          <cell r="S64">
            <v>298.296875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796.32</v>
          </cell>
          <cell r="AH64">
            <v>1686.33</v>
          </cell>
          <cell r="AI64">
            <v>365.38</v>
          </cell>
          <cell r="AJ64">
            <v>0</v>
          </cell>
          <cell r="AK64">
            <v>0</v>
          </cell>
          <cell r="AL64">
            <v>4498.9302083333332</v>
          </cell>
          <cell r="AM64">
            <v>584.86092708333331</v>
          </cell>
          <cell r="AN64">
            <v>5</v>
          </cell>
          <cell r="AO64" t="str">
            <v>ONP</v>
          </cell>
          <cell r="AP64">
            <v>0</v>
          </cell>
          <cell r="AQ64">
            <v>539.87162499999999</v>
          </cell>
          <cell r="AR64">
            <v>87.729139062499996</v>
          </cell>
          <cell r="AS64">
            <v>39.140692812499999</v>
          </cell>
          <cell r="AT64">
            <v>666.74145687500004</v>
          </cell>
          <cell r="AU64">
            <v>31.04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D64">
            <v>0</v>
          </cell>
          <cell r="BE64">
            <v>0</v>
          </cell>
          <cell r="BF64">
            <v>1287.6423839583333</v>
          </cell>
          <cell r="BG64">
            <v>3211.2878243750001</v>
          </cell>
          <cell r="BH64">
            <v>404.9</v>
          </cell>
          <cell r="BI64">
            <v>45.382893323541666</v>
          </cell>
          <cell r="BJ64">
            <v>325.84917406302918</v>
          </cell>
          <cell r="BK64">
            <v>57.719990537708334</v>
          </cell>
          <cell r="BL64">
            <v>0</v>
          </cell>
          <cell r="BM64">
            <v>833.85205792427917</v>
          </cell>
        </row>
        <row r="65">
          <cell r="A65">
            <v>54</v>
          </cell>
          <cell r="B65" t="str">
            <v>HUACHO LLANCARI ISAIAS</v>
          </cell>
          <cell r="C65">
            <v>39639</v>
          </cell>
          <cell r="D65">
            <v>39716</v>
          </cell>
          <cell r="E65" t="str">
            <v>PERFORISTA</v>
          </cell>
          <cell r="F65">
            <v>54.15</v>
          </cell>
          <cell r="G65">
            <v>23</v>
          </cell>
          <cell r="H65">
            <v>184</v>
          </cell>
          <cell r="I65">
            <v>1245.45</v>
          </cell>
          <cell r="J65">
            <v>3.5384615384615383</v>
          </cell>
          <cell r="K65">
            <v>191.61</v>
          </cell>
          <cell r="L65">
            <v>0</v>
          </cell>
          <cell r="M65">
            <v>0</v>
          </cell>
          <cell r="N65">
            <v>31</v>
          </cell>
          <cell r="O65">
            <v>56.833333333333329</v>
          </cell>
          <cell r="P65">
            <v>28</v>
          </cell>
          <cell r="Q65">
            <v>236.90625</v>
          </cell>
          <cell r="R65">
            <v>28</v>
          </cell>
          <cell r="S65">
            <v>236.90625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8</v>
          </cell>
          <cell r="Y65">
            <v>108.3</v>
          </cell>
          <cell r="Z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415.62</v>
          </cell>
          <cell r="AH65">
            <v>0</v>
          </cell>
          <cell r="AI65">
            <v>343.34</v>
          </cell>
          <cell r="AJ65">
            <v>0</v>
          </cell>
          <cell r="AK65">
            <v>0</v>
          </cell>
          <cell r="AL65">
            <v>2598.0595833333332</v>
          </cell>
          <cell r="AM65">
            <v>0</v>
          </cell>
          <cell r="AN65">
            <v>0</v>
          </cell>
          <cell r="AO65" t="str">
            <v>IN</v>
          </cell>
          <cell r="AP65">
            <v>381.39514683333334</v>
          </cell>
          <cell r="AQ65">
            <v>311.76714999999996</v>
          </cell>
          <cell r="AR65">
            <v>50.662161874999995</v>
          </cell>
          <cell r="AS65">
            <v>22.603118374999998</v>
          </cell>
          <cell r="AT65">
            <v>385.03243024999995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D65">
            <v>0</v>
          </cell>
          <cell r="BE65">
            <v>0</v>
          </cell>
          <cell r="BF65">
            <v>385.03243024999995</v>
          </cell>
          <cell r="BG65">
            <v>2213.0271530833334</v>
          </cell>
          <cell r="BH65">
            <v>233.83</v>
          </cell>
          <cell r="BI65">
            <v>26.750161972916665</v>
          </cell>
          <cell r="BJ65">
            <v>192.06616296554168</v>
          </cell>
          <cell r="BK65">
            <v>34.022050664583332</v>
          </cell>
          <cell r="BL65">
            <v>43.65</v>
          </cell>
          <cell r="BM65">
            <v>530.31837560304166</v>
          </cell>
        </row>
        <row r="66">
          <cell r="A66">
            <v>55</v>
          </cell>
          <cell r="B66" t="str">
            <v xml:space="preserve">HUACHO TORRES ISAIAS  POMPEYO </v>
          </cell>
          <cell r="C66">
            <v>39655</v>
          </cell>
          <cell r="D66">
            <v>39716</v>
          </cell>
          <cell r="E66" t="str">
            <v>PERFORISTA</v>
          </cell>
          <cell r="F66">
            <v>54.15</v>
          </cell>
          <cell r="G66">
            <v>25</v>
          </cell>
          <cell r="H66">
            <v>200</v>
          </cell>
          <cell r="I66">
            <v>1353.75</v>
          </cell>
          <cell r="J66">
            <v>3.8461538461538463</v>
          </cell>
          <cell r="K66">
            <v>208.27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39</v>
          </cell>
          <cell r="Q66">
            <v>329.9765625</v>
          </cell>
          <cell r="R66">
            <v>39</v>
          </cell>
          <cell r="S66">
            <v>329.9765625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24</v>
          </cell>
          <cell r="Y66">
            <v>324.89999999999998</v>
          </cell>
          <cell r="Z66">
            <v>0</v>
          </cell>
          <cell r="AB66">
            <v>1624.5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496.38</v>
          </cell>
          <cell r="AH66">
            <v>0</v>
          </cell>
          <cell r="AI66">
            <v>270.75</v>
          </cell>
          <cell r="AJ66">
            <v>0</v>
          </cell>
          <cell r="AK66">
            <v>0</v>
          </cell>
          <cell r="AL66">
            <v>4608.5265625000002</v>
          </cell>
          <cell r="AM66">
            <v>0</v>
          </cell>
          <cell r="AN66">
            <v>0</v>
          </cell>
          <cell r="AO66" t="str">
            <v>HR</v>
          </cell>
          <cell r="AP66">
            <v>683.44448921874994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4608.5265625000002</v>
          </cell>
          <cell r="BH66">
            <v>414.77</v>
          </cell>
          <cell r="BI66">
            <v>50.4025804165625</v>
          </cell>
          <cell r="BJ66">
            <v>361.89052739091875</v>
          </cell>
          <cell r="BK66">
            <v>64.104252762812507</v>
          </cell>
          <cell r="BL66">
            <v>82.24</v>
          </cell>
          <cell r="BM66">
            <v>973.40736057029369</v>
          </cell>
        </row>
        <row r="67">
          <cell r="A67">
            <v>56</v>
          </cell>
          <cell r="B67" t="str">
            <v>HUAIRA JUÑO TEODOSIO</v>
          </cell>
          <cell r="C67">
            <v>35942</v>
          </cell>
          <cell r="D67">
            <v>39716</v>
          </cell>
          <cell r="E67" t="str">
            <v>PERFORISTA</v>
          </cell>
          <cell r="F67">
            <v>56.15</v>
          </cell>
          <cell r="G67">
            <v>10</v>
          </cell>
          <cell r="H67">
            <v>80</v>
          </cell>
          <cell r="I67">
            <v>561.5</v>
          </cell>
          <cell r="J67">
            <v>1.5384615384615385</v>
          </cell>
          <cell r="K67">
            <v>86.38</v>
          </cell>
          <cell r="L67">
            <v>0</v>
          </cell>
          <cell r="M67">
            <v>0</v>
          </cell>
          <cell r="N67">
            <v>31</v>
          </cell>
          <cell r="O67">
            <v>56.833333333333329</v>
          </cell>
          <cell r="P67">
            <v>8</v>
          </cell>
          <cell r="Q67">
            <v>70.1875</v>
          </cell>
          <cell r="R67">
            <v>8</v>
          </cell>
          <cell r="S67">
            <v>70.1875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796.32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1571.2208333333333</v>
          </cell>
          <cell r="AM67">
            <v>204.25870833333335</v>
          </cell>
          <cell r="AN67">
            <v>5</v>
          </cell>
          <cell r="AO67" t="str">
            <v>ONP</v>
          </cell>
          <cell r="AP67">
            <v>0</v>
          </cell>
          <cell r="AQ67">
            <v>188.54649999999998</v>
          </cell>
          <cell r="AR67">
            <v>30.638806249999998</v>
          </cell>
          <cell r="AS67">
            <v>13.669621249999999</v>
          </cell>
          <cell r="AT67">
            <v>232.85492749999997</v>
          </cell>
          <cell r="AU67">
            <v>13.98</v>
          </cell>
          <cell r="AV67">
            <v>0</v>
          </cell>
          <cell r="AW67">
            <v>0</v>
          </cell>
          <cell r="AX67">
            <v>35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D67">
            <v>0</v>
          </cell>
          <cell r="BE67">
            <v>0</v>
          </cell>
          <cell r="BF67">
            <v>491.09363583333334</v>
          </cell>
          <cell r="BG67">
            <v>1080.1271975</v>
          </cell>
          <cell r="BH67">
            <v>141.41</v>
          </cell>
          <cell r="BI67">
            <v>9.4979595141666646</v>
          </cell>
          <cell r="BJ67">
            <v>68.195349311716669</v>
          </cell>
          <cell r="BK67">
            <v>12.079929090833332</v>
          </cell>
          <cell r="BL67">
            <v>0</v>
          </cell>
          <cell r="BM67">
            <v>231.18323791671668</v>
          </cell>
        </row>
        <row r="68">
          <cell r="A68">
            <v>57</v>
          </cell>
          <cell r="B68" t="str">
            <v>HUAMANI CACERES OCTAVIO</v>
          </cell>
          <cell r="C68">
            <v>39638</v>
          </cell>
          <cell r="D68">
            <v>39716</v>
          </cell>
          <cell r="E68" t="str">
            <v>PERFORISTA</v>
          </cell>
          <cell r="F68">
            <v>54.15</v>
          </cell>
          <cell r="G68">
            <v>23</v>
          </cell>
          <cell r="H68">
            <v>184</v>
          </cell>
          <cell r="I68">
            <v>1245.45</v>
          </cell>
          <cell r="J68">
            <v>4.4615384615384617</v>
          </cell>
          <cell r="K68">
            <v>241.59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28</v>
          </cell>
          <cell r="Q68">
            <v>236.90625</v>
          </cell>
          <cell r="R68">
            <v>28</v>
          </cell>
          <cell r="S68">
            <v>236.90625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16</v>
          </cell>
          <cell r="Y68">
            <v>216.6</v>
          </cell>
          <cell r="Z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496.38</v>
          </cell>
          <cell r="AH68">
            <v>0</v>
          </cell>
          <cell r="AI68">
            <v>342.95</v>
          </cell>
          <cell r="AJ68">
            <v>6</v>
          </cell>
          <cell r="AK68">
            <v>324.89999999999998</v>
          </cell>
          <cell r="AL68">
            <v>3104.7762499999999</v>
          </cell>
          <cell r="AM68">
            <v>403.62091249999997</v>
          </cell>
          <cell r="AN68">
            <v>5</v>
          </cell>
          <cell r="AO68" t="str">
            <v>ONP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D68">
            <v>0</v>
          </cell>
          <cell r="BE68">
            <v>0</v>
          </cell>
          <cell r="BF68">
            <v>408.62091249999997</v>
          </cell>
          <cell r="BG68">
            <v>2696.1553374999999</v>
          </cell>
          <cell r="BH68">
            <v>279.43</v>
          </cell>
          <cell r="BI68">
            <v>31.971112836250001</v>
          </cell>
          <cell r="BJ68">
            <v>229.55259016427499</v>
          </cell>
          <cell r="BK68">
            <v>40.66228914125</v>
          </cell>
          <cell r="BL68">
            <v>0</v>
          </cell>
          <cell r="BM68">
            <v>581.615992141775</v>
          </cell>
        </row>
        <row r="69">
          <cell r="A69">
            <v>58</v>
          </cell>
          <cell r="B69" t="str">
            <v>HUAMAN VILCAS GUILLERMO</v>
          </cell>
          <cell r="C69">
            <v>39150</v>
          </cell>
          <cell r="D69">
            <v>39716</v>
          </cell>
          <cell r="E69" t="str">
            <v>AYTE. PERF.</v>
          </cell>
          <cell r="F69">
            <v>54.15</v>
          </cell>
          <cell r="G69">
            <v>24</v>
          </cell>
          <cell r="H69">
            <v>192</v>
          </cell>
          <cell r="I69">
            <v>1299.5999999999999</v>
          </cell>
          <cell r="J69">
            <v>3.6923076923076925</v>
          </cell>
          <cell r="K69">
            <v>199.94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24</v>
          </cell>
          <cell r="Q69">
            <v>203.0625</v>
          </cell>
          <cell r="R69">
            <v>24</v>
          </cell>
          <cell r="S69">
            <v>203.0625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767.13</v>
          </cell>
          <cell r="AH69">
            <v>1624.5</v>
          </cell>
          <cell r="AI69">
            <v>888.96</v>
          </cell>
          <cell r="AJ69">
            <v>0</v>
          </cell>
          <cell r="AK69">
            <v>0</v>
          </cell>
          <cell r="AL69">
            <v>4983.1925000000001</v>
          </cell>
          <cell r="AM69">
            <v>0</v>
          </cell>
          <cell r="AN69">
            <v>5</v>
          </cell>
          <cell r="AO69" t="str">
            <v>PF</v>
          </cell>
          <cell r="AP69">
            <v>741.49904399999991</v>
          </cell>
          <cell r="AQ69">
            <v>597.98310000000004</v>
          </cell>
          <cell r="AR69">
            <v>97.172253749999996</v>
          </cell>
          <cell r="AS69">
            <v>43.353774749999999</v>
          </cell>
          <cell r="AT69">
            <v>738.50912849999997</v>
          </cell>
          <cell r="AU69">
            <v>20.64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D69">
            <v>0</v>
          </cell>
          <cell r="BE69">
            <v>0</v>
          </cell>
          <cell r="BF69">
            <v>764.14912849999996</v>
          </cell>
          <cell r="BG69">
            <v>4219.0433714999999</v>
          </cell>
          <cell r="BH69">
            <v>448.49</v>
          </cell>
          <cell r="BI69">
            <v>51.67627806250001</v>
          </cell>
          <cell r="BJ69">
            <v>371.03567648875008</v>
          </cell>
          <cell r="BK69">
            <v>65.724198312500008</v>
          </cell>
          <cell r="BL69">
            <v>84.32</v>
          </cell>
          <cell r="BM69">
            <v>1021.24615286375</v>
          </cell>
        </row>
        <row r="70">
          <cell r="A70">
            <v>59</v>
          </cell>
          <cell r="B70" t="str">
            <v>HUAMANI YANA JUAN CRISOSTOMO</v>
          </cell>
          <cell r="C70">
            <v>37568</v>
          </cell>
          <cell r="D70">
            <v>39716</v>
          </cell>
          <cell r="E70" t="str">
            <v>MEC.-PERF.</v>
          </cell>
          <cell r="F70">
            <v>59.65</v>
          </cell>
          <cell r="G70">
            <v>25</v>
          </cell>
          <cell r="H70">
            <v>200</v>
          </cell>
          <cell r="I70">
            <v>1491.25</v>
          </cell>
          <cell r="J70">
            <v>3.8461538461538463</v>
          </cell>
          <cell r="K70">
            <v>229.42</v>
          </cell>
          <cell r="L70">
            <v>0</v>
          </cell>
          <cell r="M70">
            <v>0</v>
          </cell>
          <cell r="N70">
            <v>31</v>
          </cell>
          <cell r="O70">
            <v>56.833333333333329</v>
          </cell>
          <cell r="P70">
            <v>52</v>
          </cell>
          <cell r="Q70">
            <v>495.84062499999999</v>
          </cell>
          <cell r="R70">
            <v>50</v>
          </cell>
          <cell r="S70">
            <v>466.015625</v>
          </cell>
          <cell r="T70">
            <v>0</v>
          </cell>
          <cell r="U70">
            <v>0</v>
          </cell>
          <cell r="V70">
            <v>2</v>
          </cell>
          <cell r="W70">
            <v>29.824999999999999</v>
          </cell>
          <cell r="X70">
            <v>16</v>
          </cell>
          <cell r="Y70">
            <v>238.6</v>
          </cell>
          <cell r="Z70">
            <v>0</v>
          </cell>
          <cell r="AB70">
            <v>178.95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845.91</v>
          </cell>
          <cell r="AH70">
            <v>0</v>
          </cell>
          <cell r="AI70">
            <v>1582.34</v>
          </cell>
          <cell r="AJ70">
            <v>0</v>
          </cell>
          <cell r="AK70">
            <v>0</v>
          </cell>
          <cell r="AL70">
            <v>5119.1439583333331</v>
          </cell>
          <cell r="AM70">
            <v>0</v>
          </cell>
          <cell r="AN70">
            <v>5</v>
          </cell>
          <cell r="AO70" t="str">
            <v>IN</v>
          </cell>
          <cell r="AP70">
            <v>751.49033308333333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93.86</v>
          </cell>
          <cell r="AV70">
            <v>0</v>
          </cell>
          <cell r="AW70">
            <v>0</v>
          </cell>
          <cell r="AX70">
            <v>35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D70">
            <v>0</v>
          </cell>
          <cell r="BE70">
            <v>0</v>
          </cell>
          <cell r="BF70">
            <v>133.86000000000001</v>
          </cell>
          <cell r="BG70">
            <v>4985.2839583333334</v>
          </cell>
          <cell r="BH70">
            <v>460.72</v>
          </cell>
          <cell r="BI70">
            <v>52.377028627291672</v>
          </cell>
          <cell r="BJ70">
            <v>376.06706554395419</v>
          </cell>
          <cell r="BK70">
            <v>66.61544417645834</v>
          </cell>
          <cell r="BL70">
            <v>85.46</v>
          </cell>
          <cell r="BM70">
            <v>1041.2395383477042</v>
          </cell>
        </row>
        <row r="71">
          <cell r="A71">
            <v>60</v>
          </cell>
          <cell r="B71" t="str">
            <v>HUARANGA RIVERA, WALTER RAUL</v>
          </cell>
          <cell r="C71">
            <v>39263</v>
          </cell>
          <cell r="D71">
            <v>39716</v>
          </cell>
          <cell r="E71" t="str">
            <v>AYTE. PERF.</v>
          </cell>
          <cell r="F71">
            <v>54.15</v>
          </cell>
          <cell r="G71">
            <v>24</v>
          </cell>
          <cell r="H71">
            <v>192</v>
          </cell>
          <cell r="I71">
            <v>1299.5999999999999</v>
          </cell>
          <cell r="J71">
            <v>3.6923076923076925</v>
          </cell>
          <cell r="K71">
            <v>199.94</v>
          </cell>
          <cell r="L71">
            <v>0</v>
          </cell>
          <cell r="M71">
            <v>0</v>
          </cell>
          <cell r="N71">
            <v>31</v>
          </cell>
          <cell r="O71">
            <v>56.833333333333329</v>
          </cell>
          <cell r="P71">
            <v>14</v>
          </cell>
          <cell r="Q71">
            <v>118.453125</v>
          </cell>
          <cell r="R71">
            <v>14</v>
          </cell>
          <cell r="S71">
            <v>118.453125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767.13</v>
          </cell>
          <cell r="AH71">
            <v>1624.5</v>
          </cell>
          <cell r="AI71">
            <v>383.56</v>
          </cell>
          <cell r="AJ71">
            <v>0</v>
          </cell>
          <cell r="AK71">
            <v>0</v>
          </cell>
          <cell r="AL71">
            <v>4450.0164583333335</v>
          </cell>
          <cell r="AM71">
            <v>578.50213958333336</v>
          </cell>
          <cell r="AN71">
            <v>5</v>
          </cell>
          <cell r="AO71" t="str">
            <v>ONP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0.62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D71">
            <v>0</v>
          </cell>
          <cell r="BE71">
            <v>0</v>
          </cell>
          <cell r="BF71">
            <v>584.12213958333336</v>
          </cell>
          <cell r="BG71">
            <v>3865.8943187499999</v>
          </cell>
          <cell r="BH71">
            <v>400.5</v>
          </cell>
          <cell r="BI71">
            <v>45.141139319791669</v>
          </cell>
          <cell r="BJ71">
            <v>324.11338031610421</v>
          </cell>
          <cell r="BK71">
            <v>57.412516998958331</v>
          </cell>
          <cell r="BL71">
            <v>0</v>
          </cell>
          <cell r="BM71">
            <v>827.16703663485418</v>
          </cell>
        </row>
        <row r="72">
          <cell r="A72">
            <v>61</v>
          </cell>
          <cell r="B72" t="str">
            <v>HUAYNATE GIRON HUGO RAUL</v>
          </cell>
          <cell r="C72">
            <v>39484</v>
          </cell>
          <cell r="D72">
            <v>39716</v>
          </cell>
          <cell r="E72" t="str">
            <v>AYTE. PERF.</v>
          </cell>
          <cell r="F72">
            <v>50.15</v>
          </cell>
          <cell r="G72">
            <v>24</v>
          </cell>
          <cell r="H72">
            <v>192</v>
          </cell>
          <cell r="I72">
            <v>1203.5999999999999</v>
          </cell>
          <cell r="J72">
            <v>3.6923076923076925</v>
          </cell>
          <cell r="K72">
            <v>185.17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18</v>
          </cell>
          <cell r="Q72">
            <v>141.046875</v>
          </cell>
          <cell r="R72">
            <v>18</v>
          </cell>
          <cell r="S72">
            <v>141.046875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460.27</v>
          </cell>
          <cell r="AH72">
            <v>0</v>
          </cell>
          <cell r="AI72">
            <v>815.93</v>
          </cell>
          <cell r="AJ72">
            <v>0</v>
          </cell>
          <cell r="AK72">
            <v>0</v>
          </cell>
          <cell r="AL72">
            <v>2806.0168749999998</v>
          </cell>
          <cell r="AM72">
            <v>0</v>
          </cell>
          <cell r="AN72">
            <v>5</v>
          </cell>
          <cell r="AO72" t="str">
            <v>PF</v>
          </cell>
          <cell r="AP72">
            <v>417.53531099999992</v>
          </cell>
          <cell r="AQ72">
            <v>336.72202499999997</v>
          </cell>
          <cell r="AR72">
            <v>54.717329062499999</v>
          </cell>
          <cell r="AS72">
            <v>24.412346812499997</v>
          </cell>
          <cell r="AT72">
            <v>415.85170087500001</v>
          </cell>
          <cell r="AU72">
            <v>0</v>
          </cell>
          <cell r="AV72">
            <v>0</v>
          </cell>
          <cell r="AW72">
            <v>0</v>
          </cell>
          <cell r="AX72">
            <v>35.96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D72">
            <v>0</v>
          </cell>
          <cell r="BE72">
            <v>0</v>
          </cell>
          <cell r="BF72">
            <v>456.81170087499999</v>
          </cell>
          <cell r="BG72">
            <v>2349.2051741249998</v>
          </cell>
          <cell r="BH72">
            <v>252.54</v>
          </cell>
          <cell r="BI72">
            <v>28.751819446875</v>
          </cell>
          <cell r="BJ72">
            <v>206.4380636285625</v>
          </cell>
          <cell r="BK72">
            <v>36.567848034374997</v>
          </cell>
          <cell r="BL72">
            <v>46.91</v>
          </cell>
          <cell r="BM72">
            <v>571.20773110981247</v>
          </cell>
        </row>
        <row r="73">
          <cell r="A73">
            <v>62</v>
          </cell>
          <cell r="B73" t="str">
            <v>HUAIRA NOA ANTONIO</v>
          </cell>
          <cell r="C73">
            <v>39639</v>
          </cell>
          <cell r="D73">
            <v>39716</v>
          </cell>
          <cell r="E73" t="str">
            <v>PERFORISTA</v>
          </cell>
          <cell r="F73">
            <v>54.15</v>
          </cell>
          <cell r="G73">
            <v>25</v>
          </cell>
          <cell r="H73">
            <v>200</v>
          </cell>
          <cell r="I73">
            <v>1353.75</v>
          </cell>
          <cell r="J73">
            <v>3.8461538461538463</v>
          </cell>
          <cell r="K73">
            <v>208.27</v>
          </cell>
          <cell r="L73">
            <v>0</v>
          </cell>
          <cell r="M73">
            <v>0</v>
          </cell>
          <cell r="N73">
            <v>31</v>
          </cell>
          <cell r="O73">
            <v>56.833333333333329</v>
          </cell>
          <cell r="P73">
            <v>36</v>
          </cell>
          <cell r="Q73">
            <v>304.59375</v>
          </cell>
          <cell r="R73">
            <v>36</v>
          </cell>
          <cell r="S73">
            <v>304.59375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16</v>
          </cell>
          <cell r="Y73">
            <v>216.6</v>
          </cell>
          <cell r="Z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496.94</v>
          </cell>
          <cell r="AH73">
            <v>0</v>
          </cell>
          <cell r="AI73">
            <v>343.34</v>
          </cell>
          <cell r="AJ73">
            <v>0</v>
          </cell>
          <cell r="AK73">
            <v>0</v>
          </cell>
          <cell r="AL73">
            <v>2980.3270833333336</v>
          </cell>
          <cell r="AM73">
            <v>0</v>
          </cell>
          <cell r="AN73">
            <v>0</v>
          </cell>
          <cell r="AO73" t="str">
            <v>PF</v>
          </cell>
          <cell r="AP73">
            <v>443.47266999999999</v>
          </cell>
          <cell r="AQ73">
            <v>357.63925</v>
          </cell>
          <cell r="AR73">
            <v>58.116378125000004</v>
          </cell>
          <cell r="AS73">
            <v>25.928845625000001</v>
          </cell>
          <cell r="AT73">
            <v>441.68447375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D73">
            <v>0</v>
          </cell>
          <cell r="BE73">
            <v>0</v>
          </cell>
          <cell r="BF73">
            <v>441.68447375</v>
          </cell>
          <cell r="BG73">
            <v>2538.6426095833335</v>
          </cell>
          <cell r="BH73">
            <v>268.23</v>
          </cell>
          <cell r="BI73">
            <v>30.438875480416669</v>
          </cell>
          <cell r="BJ73">
            <v>218.55112594939169</v>
          </cell>
          <cell r="BK73">
            <v>38.713521242083338</v>
          </cell>
          <cell r="BL73">
            <v>49.67</v>
          </cell>
          <cell r="BM73">
            <v>605.6035226718916</v>
          </cell>
        </row>
        <row r="74">
          <cell r="A74">
            <v>63</v>
          </cell>
          <cell r="B74" t="str">
            <v>HUAYRA NOA ESTEBAN</v>
          </cell>
          <cell r="C74">
            <v>38667</v>
          </cell>
          <cell r="D74">
            <v>39716</v>
          </cell>
          <cell r="E74" t="str">
            <v>PERFORISTA</v>
          </cell>
          <cell r="F74">
            <v>56.15</v>
          </cell>
          <cell r="G74">
            <v>25</v>
          </cell>
          <cell r="H74">
            <v>200</v>
          </cell>
          <cell r="I74">
            <v>1403.75</v>
          </cell>
          <cell r="J74">
            <v>3.8461538461538463</v>
          </cell>
          <cell r="K74">
            <v>215.96</v>
          </cell>
          <cell r="L74">
            <v>0</v>
          </cell>
          <cell r="M74">
            <v>0</v>
          </cell>
          <cell r="N74">
            <v>31</v>
          </cell>
          <cell r="O74">
            <v>56.833333333333329</v>
          </cell>
          <cell r="P74">
            <v>31</v>
          </cell>
          <cell r="Q74">
            <v>271.9765625</v>
          </cell>
          <cell r="R74">
            <v>31</v>
          </cell>
          <cell r="S74">
            <v>271.9765625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16</v>
          </cell>
          <cell r="Y74">
            <v>224.6</v>
          </cell>
          <cell r="Z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795.46</v>
          </cell>
          <cell r="AH74">
            <v>0</v>
          </cell>
          <cell r="AI74">
            <v>1473.94</v>
          </cell>
          <cell r="AJ74">
            <v>0</v>
          </cell>
          <cell r="AK74">
            <v>0</v>
          </cell>
          <cell r="AL74">
            <v>4442.5198958333331</v>
          </cell>
          <cell r="AM74">
            <v>0</v>
          </cell>
          <cell r="AN74">
            <v>5</v>
          </cell>
          <cell r="AO74" t="str">
            <v>IN</v>
          </cell>
          <cell r="AP74">
            <v>652.16192070833335</v>
          </cell>
          <cell r="AQ74">
            <v>533.10238749999996</v>
          </cell>
          <cell r="AR74">
            <v>86.629137968750001</v>
          </cell>
          <cell r="AS74">
            <v>38.649923093749997</v>
          </cell>
          <cell r="AT74">
            <v>658.38144856249994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D74">
            <v>0</v>
          </cell>
          <cell r="BE74">
            <v>0</v>
          </cell>
          <cell r="BF74">
            <v>663.38144856249994</v>
          </cell>
          <cell r="BG74">
            <v>3779.1384472708332</v>
          </cell>
          <cell r="BH74">
            <v>399.83</v>
          </cell>
          <cell r="BI74">
            <v>44.702013143229166</v>
          </cell>
          <cell r="BJ74">
            <v>320.96045436838546</v>
          </cell>
          <cell r="BK74">
            <v>56.854016716145836</v>
          </cell>
          <cell r="BL74">
            <v>72.94</v>
          </cell>
          <cell r="BM74">
            <v>895.2864842277603</v>
          </cell>
        </row>
        <row r="75">
          <cell r="A75">
            <v>64</v>
          </cell>
          <cell r="B75" t="str">
            <v>HUINCHO CHAVEZ LUIS FERNANDO</v>
          </cell>
          <cell r="C75">
            <v>39647</v>
          </cell>
          <cell r="D75">
            <v>39716</v>
          </cell>
          <cell r="E75" t="str">
            <v>PERFORISTA</v>
          </cell>
          <cell r="F75">
            <v>54.15</v>
          </cell>
          <cell r="G75">
            <v>25</v>
          </cell>
          <cell r="H75">
            <v>200</v>
          </cell>
          <cell r="I75">
            <v>1353.75</v>
          </cell>
          <cell r="J75">
            <v>3.8461538461538463</v>
          </cell>
          <cell r="K75">
            <v>208.27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34</v>
          </cell>
          <cell r="Q75">
            <v>297.82499999999999</v>
          </cell>
          <cell r="R75">
            <v>32</v>
          </cell>
          <cell r="S75">
            <v>270.75</v>
          </cell>
          <cell r="T75">
            <v>0</v>
          </cell>
          <cell r="U75">
            <v>0</v>
          </cell>
          <cell r="V75">
            <v>2</v>
          </cell>
          <cell r="W75">
            <v>27.074999999999999</v>
          </cell>
          <cell r="X75">
            <v>16</v>
          </cell>
          <cell r="Y75">
            <v>216.6</v>
          </cell>
          <cell r="Z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496.94</v>
          </cell>
          <cell r="AH75">
            <v>0</v>
          </cell>
          <cell r="AI75">
            <v>307.2</v>
          </cell>
          <cell r="AJ75">
            <v>0</v>
          </cell>
          <cell r="AK75">
            <v>0</v>
          </cell>
          <cell r="AL75">
            <v>2880.585</v>
          </cell>
          <cell r="AM75">
            <v>0</v>
          </cell>
          <cell r="AN75">
            <v>0</v>
          </cell>
          <cell r="AO75" t="str">
            <v>HR</v>
          </cell>
          <cell r="AP75">
            <v>427.19075549999997</v>
          </cell>
          <cell r="AQ75">
            <v>0</v>
          </cell>
          <cell r="AR75">
            <v>0</v>
          </cell>
          <cell r="AS75">
            <v>25.061089499999998</v>
          </cell>
          <cell r="AT75">
            <v>25.061089499999998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D75">
            <v>0</v>
          </cell>
          <cell r="BE75">
            <v>0</v>
          </cell>
          <cell r="BF75">
            <v>25.061089499999998</v>
          </cell>
          <cell r="BG75">
            <v>2855.5239105000001</v>
          </cell>
          <cell r="BH75">
            <v>49.5</v>
          </cell>
          <cell r="BI75">
            <v>29.216336764999998</v>
          </cell>
          <cell r="BJ75">
            <v>209.77329797269999</v>
          </cell>
          <cell r="BK75">
            <v>37.158641905000003</v>
          </cell>
          <cell r="BL75">
            <v>47.67</v>
          </cell>
          <cell r="BM75">
            <v>373.31827664270003</v>
          </cell>
        </row>
        <row r="76">
          <cell r="A76">
            <v>65</v>
          </cell>
          <cell r="B76" t="str">
            <v>HUINCHO HUACHO RODOLFO</v>
          </cell>
          <cell r="C76">
            <v>38541</v>
          </cell>
          <cell r="D76">
            <v>39716</v>
          </cell>
          <cell r="E76" t="str">
            <v>PERFORISTA</v>
          </cell>
          <cell r="F76">
            <v>56.15</v>
          </cell>
          <cell r="G76">
            <v>24</v>
          </cell>
          <cell r="H76">
            <v>192</v>
          </cell>
          <cell r="I76">
            <v>1347.6</v>
          </cell>
          <cell r="J76">
            <v>3.6923076923076925</v>
          </cell>
          <cell r="K76">
            <v>207.32</v>
          </cell>
          <cell r="L76">
            <v>0</v>
          </cell>
          <cell r="M76">
            <v>0</v>
          </cell>
          <cell r="N76">
            <v>31</v>
          </cell>
          <cell r="O76">
            <v>56.833333333333329</v>
          </cell>
          <cell r="P76">
            <v>35</v>
          </cell>
          <cell r="Q76">
            <v>307.0703125</v>
          </cell>
          <cell r="R76">
            <v>35</v>
          </cell>
          <cell r="S76">
            <v>307.0703125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796.32</v>
          </cell>
          <cell r="AH76">
            <v>1686.33</v>
          </cell>
          <cell r="AI76">
            <v>356.01</v>
          </cell>
          <cell r="AJ76">
            <v>0</v>
          </cell>
          <cell r="AK76">
            <v>0</v>
          </cell>
          <cell r="AL76">
            <v>4757.4836458333339</v>
          </cell>
          <cell r="AM76">
            <v>0</v>
          </cell>
          <cell r="AN76">
            <v>5</v>
          </cell>
          <cell r="AO76" t="str">
            <v>PR</v>
          </cell>
          <cell r="AP76">
            <v>683.65039990625007</v>
          </cell>
          <cell r="AQ76">
            <v>570.89803749999999</v>
          </cell>
          <cell r="AR76">
            <v>92.770931093750008</v>
          </cell>
          <cell r="AS76">
            <v>41.390107718750002</v>
          </cell>
          <cell r="AT76">
            <v>705.0590763125</v>
          </cell>
          <cell r="AU76">
            <v>63.97</v>
          </cell>
          <cell r="AV76">
            <v>0</v>
          </cell>
          <cell r="AW76">
            <v>0</v>
          </cell>
          <cell r="AX76">
            <v>35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D76">
            <v>0</v>
          </cell>
          <cell r="BE76">
            <v>0</v>
          </cell>
          <cell r="BF76">
            <v>809.02907631250002</v>
          </cell>
          <cell r="BG76">
            <v>3948.454569520834</v>
          </cell>
          <cell r="BH76">
            <v>428.17</v>
          </cell>
          <cell r="BI76">
            <v>48.551982806979169</v>
          </cell>
          <cell r="BJ76">
            <v>348.60323655411042</v>
          </cell>
          <cell r="BK76">
            <v>61.750580074895836</v>
          </cell>
          <cell r="BL76">
            <v>79.22</v>
          </cell>
          <cell r="BM76">
            <v>966.2957994359856</v>
          </cell>
        </row>
        <row r="77">
          <cell r="A77">
            <v>66</v>
          </cell>
          <cell r="B77" t="str">
            <v>HUINCHO ZEVALLOS CARMELO</v>
          </cell>
          <cell r="C77">
            <v>34851</v>
          </cell>
          <cell r="D77">
            <v>39716</v>
          </cell>
          <cell r="E77" t="str">
            <v>PERFORISTA</v>
          </cell>
          <cell r="F77">
            <v>56.15</v>
          </cell>
          <cell r="G77">
            <v>24</v>
          </cell>
          <cell r="H77">
            <v>192</v>
          </cell>
          <cell r="I77">
            <v>1347.6</v>
          </cell>
          <cell r="J77">
            <v>3.6923076923076925</v>
          </cell>
          <cell r="K77">
            <v>207.32</v>
          </cell>
          <cell r="L77">
            <v>0</v>
          </cell>
          <cell r="M77">
            <v>0</v>
          </cell>
          <cell r="N77">
            <v>31</v>
          </cell>
          <cell r="O77">
            <v>56.833333333333329</v>
          </cell>
          <cell r="P77">
            <v>36</v>
          </cell>
          <cell r="Q77">
            <v>326.37187499999999</v>
          </cell>
          <cell r="R77">
            <v>34</v>
          </cell>
          <cell r="S77">
            <v>298.296875</v>
          </cell>
          <cell r="T77">
            <v>0</v>
          </cell>
          <cell r="U77">
            <v>0</v>
          </cell>
          <cell r="V77">
            <v>2</v>
          </cell>
          <cell r="W77">
            <v>28.074999999999999</v>
          </cell>
          <cell r="X77">
            <v>8</v>
          </cell>
          <cell r="Y77">
            <v>112.3</v>
          </cell>
          <cell r="Z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796.32</v>
          </cell>
          <cell r="AH77">
            <v>1686.33</v>
          </cell>
          <cell r="AI77">
            <v>538.69000000000005</v>
          </cell>
          <cell r="AJ77">
            <v>0</v>
          </cell>
          <cell r="AK77">
            <v>0</v>
          </cell>
          <cell r="AL77">
            <v>5071.7652083333342</v>
          </cell>
          <cell r="AM77">
            <v>659.32947708333347</v>
          </cell>
          <cell r="AN77">
            <v>5</v>
          </cell>
          <cell r="AO77" t="str">
            <v>ONP</v>
          </cell>
          <cell r="AP77">
            <v>0</v>
          </cell>
          <cell r="AQ77">
            <v>608.61182500000007</v>
          </cell>
          <cell r="AR77">
            <v>98.899421562500009</v>
          </cell>
          <cell r="AS77">
            <v>44.124357312500003</v>
          </cell>
          <cell r="AT77">
            <v>751.63560387500013</v>
          </cell>
          <cell r="AU77">
            <v>54.84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D77">
            <v>0</v>
          </cell>
          <cell r="BE77">
            <v>0</v>
          </cell>
          <cell r="BF77">
            <v>1470.8050809583335</v>
          </cell>
          <cell r="BG77">
            <v>3600.9601273750004</v>
          </cell>
          <cell r="BH77">
            <v>456.46</v>
          </cell>
          <cell r="BI77">
            <v>52.404131918541687</v>
          </cell>
          <cell r="BJ77">
            <v>376.26166717512933</v>
          </cell>
          <cell r="BK77">
            <v>66.649915352708348</v>
          </cell>
          <cell r="BL77">
            <v>0</v>
          </cell>
          <cell r="BM77">
            <v>951.77571444637942</v>
          </cell>
        </row>
        <row r="78">
          <cell r="A78">
            <v>67</v>
          </cell>
          <cell r="B78" t="str">
            <v>HURTADO CARLOS RAUL</v>
          </cell>
          <cell r="C78">
            <v>38331</v>
          </cell>
          <cell r="D78">
            <v>39716</v>
          </cell>
          <cell r="E78" t="str">
            <v>PERFORISTA</v>
          </cell>
          <cell r="F78">
            <v>56.15</v>
          </cell>
          <cell r="G78">
            <v>24</v>
          </cell>
          <cell r="H78">
            <v>192</v>
          </cell>
          <cell r="I78">
            <v>1347.6</v>
          </cell>
          <cell r="J78">
            <v>3.6923076923076925</v>
          </cell>
          <cell r="K78">
            <v>207.32</v>
          </cell>
          <cell r="L78">
            <v>0</v>
          </cell>
          <cell r="M78">
            <v>0</v>
          </cell>
          <cell r="N78">
            <v>31</v>
          </cell>
          <cell r="O78">
            <v>56.833333333333329</v>
          </cell>
          <cell r="P78">
            <v>22</v>
          </cell>
          <cell r="Q78">
            <v>193.015625</v>
          </cell>
          <cell r="R78">
            <v>22</v>
          </cell>
          <cell r="S78">
            <v>193.015625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796.32</v>
          </cell>
          <cell r="AH78">
            <v>0</v>
          </cell>
          <cell r="AI78">
            <v>1381.86</v>
          </cell>
          <cell r="AJ78">
            <v>0</v>
          </cell>
          <cell r="AK78">
            <v>0</v>
          </cell>
          <cell r="AL78">
            <v>3982.9489583333334</v>
          </cell>
          <cell r="AM78">
            <v>0</v>
          </cell>
          <cell r="AN78">
            <v>5</v>
          </cell>
          <cell r="AO78" t="str">
            <v>PF</v>
          </cell>
          <cell r="AP78">
            <v>592.66280499999993</v>
          </cell>
          <cell r="AQ78">
            <v>477.95387499999998</v>
          </cell>
          <cell r="AR78">
            <v>77.667504687499999</v>
          </cell>
          <cell r="AS78">
            <v>34.651655937499996</v>
          </cell>
          <cell r="AT78">
            <v>590.27303562499992</v>
          </cell>
          <cell r="AU78">
            <v>11.74</v>
          </cell>
          <cell r="AV78">
            <v>0</v>
          </cell>
          <cell r="AW78">
            <v>0</v>
          </cell>
          <cell r="AX78">
            <v>49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D78">
            <v>0</v>
          </cell>
          <cell r="BE78">
            <v>0</v>
          </cell>
          <cell r="BF78">
            <v>656.01303562499993</v>
          </cell>
          <cell r="BG78">
            <v>3326.9359227083332</v>
          </cell>
          <cell r="BH78">
            <v>358.47</v>
          </cell>
          <cell r="BI78">
            <v>39.058511142291671</v>
          </cell>
          <cell r="BJ78">
            <v>280.4401100016542</v>
          </cell>
          <cell r="BK78">
            <v>49.67635883145833</v>
          </cell>
          <cell r="BL78">
            <v>63.73</v>
          </cell>
          <cell r="BM78">
            <v>791.37497997540424</v>
          </cell>
        </row>
        <row r="79">
          <cell r="A79">
            <v>68</v>
          </cell>
          <cell r="B79" t="str">
            <v>HURTADO CARLOS WILSON WILFREDO</v>
          </cell>
          <cell r="C79">
            <v>37865</v>
          </cell>
          <cell r="D79">
            <v>39716</v>
          </cell>
          <cell r="E79" t="str">
            <v>PERFORISTA</v>
          </cell>
          <cell r="F79">
            <v>56.15</v>
          </cell>
          <cell r="G79">
            <v>25</v>
          </cell>
          <cell r="H79">
            <v>200</v>
          </cell>
          <cell r="I79">
            <v>1403.75</v>
          </cell>
          <cell r="J79">
            <v>3.8461538461538463</v>
          </cell>
          <cell r="K79">
            <v>215.96</v>
          </cell>
          <cell r="L79">
            <v>0</v>
          </cell>
          <cell r="M79">
            <v>0</v>
          </cell>
          <cell r="N79">
            <v>31</v>
          </cell>
          <cell r="O79">
            <v>56.833333333333329</v>
          </cell>
          <cell r="P79">
            <v>24</v>
          </cell>
          <cell r="Q79">
            <v>210.5625</v>
          </cell>
          <cell r="R79">
            <v>24</v>
          </cell>
          <cell r="S79">
            <v>210.5625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8</v>
          </cell>
          <cell r="Y79">
            <v>112.3</v>
          </cell>
          <cell r="Z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  <cell r="AG79">
            <v>796.32</v>
          </cell>
          <cell r="AH79">
            <v>1686.33</v>
          </cell>
          <cell r="AI79">
            <v>117.11</v>
          </cell>
          <cell r="AJ79">
            <v>0</v>
          </cell>
          <cell r="AK79">
            <v>0</v>
          </cell>
          <cell r="AL79">
            <v>4599.1658333333335</v>
          </cell>
          <cell r="AM79">
            <v>0</v>
          </cell>
          <cell r="AN79">
            <v>5</v>
          </cell>
          <cell r="AO79" t="str">
            <v>IN</v>
          </cell>
          <cell r="AP79">
            <v>675.15754433333336</v>
          </cell>
          <cell r="AQ79">
            <v>551.8999</v>
          </cell>
          <cell r="AR79">
            <v>89.683733750000002</v>
          </cell>
          <cell r="AS79">
            <v>40.012742750000001</v>
          </cell>
          <cell r="AT79">
            <v>681.59637650000002</v>
          </cell>
          <cell r="AU79">
            <v>74.42</v>
          </cell>
          <cell r="AV79">
            <v>0</v>
          </cell>
          <cell r="AW79">
            <v>0</v>
          </cell>
          <cell r="AX79">
            <v>36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D79">
            <v>0</v>
          </cell>
          <cell r="BE79">
            <v>0</v>
          </cell>
          <cell r="BF79">
            <v>797.01637649999998</v>
          </cell>
          <cell r="BG79">
            <v>3802.1494568333337</v>
          </cell>
          <cell r="BH79">
            <v>413.92</v>
          </cell>
          <cell r="BI79">
            <v>46.611481379166662</v>
          </cell>
          <cell r="BJ79">
            <v>334.67043630241665</v>
          </cell>
          <cell r="BK79">
            <v>59.282563695833339</v>
          </cell>
          <cell r="BL79">
            <v>76.06</v>
          </cell>
          <cell r="BM79">
            <v>930.54448137741667</v>
          </cell>
        </row>
        <row r="80">
          <cell r="A80">
            <v>69</v>
          </cell>
          <cell r="B80" t="str">
            <v>ICHPAS ILLANES JUAN</v>
          </cell>
          <cell r="C80">
            <v>34851</v>
          </cell>
          <cell r="D80">
            <v>39716</v>
          </cell>
          <cell r="E80" t="str">
            <v>PERFORISTA</v>
          </cell>
          <cell r="F80">
            <v>56.15</v>
          </cell>
          <cell r="G80">
            <v>25</v>
          </cell>
          <cell r="H80">
            <v>200</v>
          </cell>
          <cell r="I80">
            <v>1403.75</v>
          </cell>
          <cell r="J80">
            <v>3.8461538461538463</v>
          </cell>
          <cell r="K80">
            <v>215.96</v>
          </cell>
          <cell r="L80">
            <v>0</v>
          </cell>
          <cell r="M80">
            <v>0</v>
          </cell>
          <cell r="N80">
            <v>31</v>
          </cell>
          <cell r="O80">
            <v>56.833333333333329</v>
          </cell>
          <cell r="P80">
            <v>36</v>
          </cell>
          <cell r="Q80">
            <v>315.84375</v>
          </cell>
          <cell r="R80">
            <v>36</v>
          </cell>
          <cell r="S80">
            <v>315.84375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8</v>
          </cell>
          <cell r="Y80">
            <v>112.3</v>
          </cell>
          <cell r="Z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795.46</v>
          </cell>
          <cell r="AH80">
            <v>1684.5</v>
          </cell>
          <cell r="AI80">
            <v>538.11</v>
          </cell>
          <cell r="AJ80">
            <v>0</v>
          </cell>
          <cell r="AK80">
            <v>0</v>
          </cell>
          <cell r="AL80">
            <v>5122.757083333333</v>
          </cell>
          <cell r="AM80">
            <v>0</v>
          </cell>
          <cell r="AN80">
            <v>5</v>
          </cell>
          <cell r="AO80" t="str">
            <v>PF</v>
          </cell>
          <cell r="AP80">
            <v>762.26625399999989</v>
          </cell>
          <cell r="AQ80">
            <v>0</v>
          </cell>
          <cell r="AR80">
            <v>99.893763124999992</v>
          </cell>
          <cell r="AS80">
            <v>0</v>
          </cell>
          <cell r="AT80">
            <v>99.893763124999992</v>
          </cell>
          <cell r="AU80">
            <v>61.78</v>
          </cell>
          <cell r="AV80">
            <v>0</v>
          </cell>
          <cell r="AW80">
            <v>0</v>
          </cell>
          <cell r="AX80">
            <v>44.59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D80">
            <v>0</v>
          </cell>
          <cell r="BE80">
            <v>0</v>
          </cell>
          <cell r="BF80">
            <v>211.263763125</v>
          </cell>
          <cell r="BG80">
            <v>4911.493320208333</v>
          </cell>
          <cell r="BH80">
            <v>461.05</v>
          </cell>
          <cell r="BI80">
            <v>53.039680350416667</v>
          </cell>
          <cell r="BJ80">
            <v>380.82490491599162</v>
          </cell>
          <cell r="BK80">
            <v>67.458234232083328</v>
          </cell>
          <cell r="BL80">
            <v>86.55</v>
          </cell>
          <cell r="BM80">
            <v>1048.9228194984917</v>
          </cell>
        </row>
        <row r="81">
          <cell r="A81">
            <v>70</v>
          </cell>
          <cell r="B81" t="str">
            <v>INGARUCA TORIBIO, RAFAEL</v>
          </cell>
          <cell r="C81">
            <v>39639</v>
          </cell>
          <cell r="D81">
            <v>39716</v>
          </cell>
          <cell r="E81" t="str">
            <v>CHOFER</v>
          </cell>
          <cell r="F81">
            <v>50.15</v>
          </cell>
          <cell r="G81">
            <v>26</v>
          </cell>
          <cell r="H81">
            <v>208</v>
          </cell>
          <cell r="I81">
            <v>1303.9000000000001</v>
          </cell>
          <cell r="J81">
            <v>4</v>
          </cell>
          <cell r="K81">
            <v>200.6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40</v>
          </cell>
          <cell r="Q81">
            <v>313.4375</v>
          </cell>
          <cell r="R81">
            <v>40</v>
          </cell>
          <cell r="S81">
            <v>313.4375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460.27</v>
          </cell>
          <cell r="AH81">
            <v>0</v>
          </cell>
          <cell r="AI81">
            <v>318</v>
          </cell>
          <cell r="AJ81">
            <v>0</v>
          </cell>
          <cell r="AK81">
            <v>0</v>
          </cell>
          <cell r="AL81">
            <v>2596.2075</v>
          </cell>
          <cell r="AM81">
            <v>337.50697500000001</v>
          </cell>
          <cell r="AN81">
            <v>0</v>
          </cell>
          <cell r="AO81" t="str">
            <v>ONP</v>
          </cell>
          <cell r="AP81">
            <v>0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0</v>
          </cell>
          <cell r="BB81">
            <v>0</v>
          </cell>
          <cell r="BD81">
            <v>0</v>
          </cell>
          <cell r="BE81">
            <v>0</v>
          </cell>
          <cell r="BF81">
            <v>337.50697500000001</v>
          </cell>
          <cell r="BG81">
            <v>2258.7005250000002</v>
          </cell>
          <cell r="BH81">
            <v>233.66</v>
          </cell>
          <cell r="BI81">
            <v>26.180185937499999</v>
          </cell>
          <cell r="BJ81">
            <v>187.97373503125002</v>
          </cell>
          <cell r="BK81">
            <v>33.297129687500004</v>
          </cell>
          <cell r="BL81">
            <v>0</v>
          </cell>
          <cell r="BM81">
            <v>481.11105065625003</v>
          </cell>
        </row>
        <row r="82">
          <cell r="A82">
            <v>71</v>
          </cell>
          <cell r="B82" t="str">
            <v>JANAMPA CHANCAS AMADEO</v>
          </cell>
          <cell r="C82">
            <v>38541</v>
          </cell>
          <cell r="D82">
            <v>39716</v>
          </cell>
          <cell r="E82" t="str">
            <v>PERFORISTA</v>
          </cell>
          <cell r="F82">
            <v>56.15</v>
          </cell>
          <cell r="G82">
            <v>25</v>
          </cell>
          <cell r="H82">
            <v>200</v>
          </cell>
          <cell r="I82">
            <v>1403.75</v>
          </cell>
          <cell r="J82">
            <v>3.8461538461538463</v>
          </cell>
          <cell r="K82">
            <v>215.96</v>
          </cell>
          <cell r="L82">
            <v>0</v>
          </cell>
          <cell r="M82">
            <v>0</v>
          </cell>
          <cell r="N82">
            <v>31</v>
          </cell>
          <cell r="O82">
            <v>56.833333333333329</v>
          </cell>
          <cell r="P82">
            <v>52</v>
          </cell>
          <cell r="Q82">
            <v>487.80312500000002</v>
          </cell>
          <cell r="R82">
            <v>46</v>
          </cell>
          <cell r="S82">
            <v>403.578125</v>
          </cell>
          <cell r="T82">
            <v>0</v>
          </cell>
          <cell r="U82">
            <v>0</v>
          </cell>
          <cell r="V82">
            <v>6</v>
          </cell>
          <cell r="W82">
            <v>84.224999999999994</v>
          </cell>
          <cell r="X82">
            <v>40</v>
          </cell>
          <cell r="Y82">
            <v>561.5</v>
          </cell>
          <cell r="Z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796.32</v>
          </cell>
          <cell r="AH82">
            <v>0</v>
          </cell>
          <cell r="AI82">
            <v>365.38</v>
          </cell>
          <cell r="AJ82">
            <v>0</v>
          </cell>
          <cell r="AK82">
            <v>0</v>
          </cell>
          <cell r="AL82">
            <v>3887.5464583333337</v>
          </cell>
          <cell r="AM82">
            <v>0</v>
          </cell>
          <cell r="AN82">
            <v>5</v>
          </cell>
          <cell r="AO82" t="str">
            <v>PR</v>
          </cell>
          <cell r="AP82">
            <v>558.64042606250007</v>
          </cell>
          <cell r="AQ82">
            <v>466.50557500000002</v>
          </cell>
          <cell r="AR82">
            <v>75.807155937500013</v>
          </cell>
          <cell r="AS82">
            <v>33.821654187500002</v>
          </cell>
          <cell r="AT82">
            <v>576.13438512500011</v>
          </cell>
          <cell r="AU82">
            <v>52.58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0</v>
          </cell>
          <cell r="BB82">
            <v>0</v>
          </cell>
          <cell r="BD82">
            <v>0</v>
          </cell>
          <cell r="BE82">
            <v>0</v>
          </cell>
          <cell r="BF82">
            <v>633.71438512500015</v>
          </cell>
          <cell r="BG82">
            <v>3253.8320732083334</v>
          </cell>
          <cell r="BH82">
            <v>349.88</v>
          </cell>
          <cell r="BI82">
            <v>37.889162699791669</v>
          </cell>
          <cell r="BJ82">
            <v>272.04418818450415</v>
          </cell>
          <cell r="BK82">
            <v>48.189129258958339</v>
          </cell>
          <cell r="BL82">
            <v>61.82</v>
          </cell>
          <cell r="BM82">
            <v>769.82248014325421</v>
          </cell>
        </row>
        <row r="83">
          <cell r="A83">
            <v>72</v>
          </cell>
          <cell r="B83" t="str">
            <v>JANAMPA CHANCAS FORTUNATO</v>
          </cell>
          <cell r="C83">
            <v>38786</v>
          </cell>
          <cell r="D83">
            <v>39716</v>
          </cell>
          <cell r="E83" t="str">
            <v>PERFORISTA</v>
          </cell>
          <cell r="F83">
            <v>56.15</v>
          </cell>
          <cell r="G83">
            <v>16</v>
          </cell>
          <cell r="H83">
            <v>128</v>
          </cell>
          <cell r="I83">
            <v>898.4</v>
          </cell>
          <cell r="J83">
            <v>2.4615384615384617</v>
          </cell>
          <cell r="K83">
            <v>138.22</v>
          </cell>
          <cell r="L83">
            <v>0</v>
          </cell>
          <cell r="M83">
            <v>0</v>
          </cell>
          <cell r="N83">
            <v>31</v>
          </cell>
          <cell r="O83">
            <v>56.833333333333329</v>
          </cell>
          <cell r="P83">
            <v>20</v>
          </cell>
          <cell r="Q83">
            <v>175.46875</v>
          </cell>
          <cell r="R83">
            <v>20</v>
          </cell>
          <cell r="S83">
            <v>175.46875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B83">
            <v>56.15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796.32</v>
          </cell>
          <cell r="AH83">
            <v>0</v>
          </cell>
          <cell r="AI83">
            <v>918.11</v>
          </cell>
          <cell r="AJ83">
            <v>0</v>
          </cell>
          <cell r="AK83">
            <v>0</v>
          </cell>
          <cell r="AL83">
            <v>3039.5020833333333</v>
          </cell>
          <cell r="AM83">
            <v>395.13527083333332</v>
          </cell>
          <cell r="AN83">
            <v>5</v>
          </cell>
          <cell r="AO83" t="str">
            <v>ONP</v>
          </cell>
          <cell r="AP83">
            <v>0</v>
          </cell>
          <cell r="AQ83">
            <v>364.74025</v>
          </cell>
          <cell r="AR83">
            <v>59.270290625000001</v>
          </cell>
          <cell r="AS83">
            <v>26.443668124999999</v>
          </cell>
          <cell r="AT83">
            <v>450.45420874999996</v>
          </cell>
          <cell r="AU83">
            <v>41.12</v>
          </cell>
          <cell r="AV83">
            <v>0</v>
          </cell>
          <cell r="AW83">
            <v>0</v>
          </cell>
          <cell r="AX83">
            <v>35</v>
          </cell>
          <cell r="AY83">
            <v>0</v>
          </cell>
          <cell r="AZ83">
            <v>0</v>
          </cell>
          <cell r="BA83">
            <v>0</v>
          </cell>
          <cell r="BB83">
            <v>153.5</v>
          </cell>
          <cell r="BD83">
            <v>0</v>
          </cell>
          <cell r="BE83">
            <v>0</v>
          </cell>
          <cell r="BF83">
            <v>1080.2094795833332</v>
          </cell>
          <cell r="BG83">
            <v>1959.2926037500001</v>
          </cell>
          <cell r="BH83">
            <v>273.56</v>
          </cell>
          <cell r="BI83">
            <v>27.494682795416665</v>
          </cell>
          <cell r="BJ83">
            <v>197.41182247109168</v>
          </cell>
          <cell r="BK83">
            <v>34.968965497083332</v>
          </cell>
          <cell r="BL83">
            <v>0</v>
          </cell>
          <cell r="BM83">
            <v>533.43547076359164</v>
          </cell>
        </row>
        <row r="84">
          <cell r="A84">
            <v>73</v>
          </cell>
          <cell r="B84" t="str">
            <v>JANAMPA FLORES WILLIAM</v>
          </cell>
          <cell r="C84">
            <v>38667</v>
          </cell>
          <cell r="D84">
            <v>39716</v>
          </cell>
          <cell r="E84" t="str">
            <v>AYTE. PERF.</v>
          </cell>
          <cell r="F84">
            <v>54.15</v>
          </cell>
          <cell r="G84">
            <v>26</v>
          </cell>
          <cell r="H84">
            <v>208</v>
          </cell>
          <cell r="I84">
            <v>1407.9</v>
          </cell>
          <cell r="J84">
            <v>4</v>
          </cell>
          <cell r="K84">
            <v>216.6</v>
          </cell>
          <cell r="L84">
            <v>0</v>
          </cell>
          <cell r="M84">
            <v>0</v>
          </cell>
          <cell r="N84">
            <v>31</v>
          </cell>
          <cell r="O84">
            <v>56.833333333333329</v>
          </cell>
          <cell r="P84">
            <v>8</v>
          </cell>
          <cell r="Q84">
            <v>67.6875</v>
          </cell>
          <cell r="R84">
            <v>8</v>
          </cell>
          <cell r="S84">
            <v>67.6875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8</v>
          </cell>
          <cell r="Y84">
            <v>108.3</v>
          </cell>
          <cell r="Z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767.99</v>
          </cell>
          <cell r="AH84">
            <v>0</v>
          </cell>
          <cell r="AI84">
            <v>1468.22</v>
          </cell>
          <cell r="AJ84">
            <v>0</v>
          </cell>
          <cell r="AK84">
            <v>0</v>
          </cell>
          <cell r="AL84">
            <v>4093.5308333333332</v>
          </cell>
          <cell r="AM84">
            <v>0</v>
          </cell>
          <cell r="AN84">
            <v>5</v>
          </cell>
          <cell r="AO84" t="str">
            <v>IN</v>
          </cell>
          <cell r="AP84">
            <v>600.93032633333337</v>
          </cell>
          <cell r="AQ84">
            <v>491.22369999999995</v>
          </cell>
          <cell r="AR84">
            <v>79.823851250000004</v>
          </cell>
          <cell r="AS84">
            <v>35.613718249999998</v>
          </cell>
          <cell r="AT84">
            <v>606.6612695</v>
          </cell>
          <cell r="AU84">
            <v>-6.19</v>
          </cell>
          <cell r="AV84">
            <v>0</v>
          </cell>
          <cell r="AW84">
            <v>0</v>
          </cell>
          <cell r="AX84">
            <v>35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D84">
            <v>0</v>
          </cell>
          <cell r="BE84">
            <v>0</v>
          </cell>
          <cell r="BF84">
            <v>640.47126949999995</v>
          </cell>
          <cell r="BG84">
            <v>3453.0595638333334</v>
          </cell>
          <cell r="BH84">
            <v>368.42</v>
          </cell>
          <cell r="BI84">
            <v>40.761153994166669</v>
          </cell>
          <cell r="BJ84">
            <v>292.66508567811672</v>
          </cell>
          <cell r="BK84">
            <v>51.841856050833336</v>
          </cell>
          <cell r="BL84">
            <v>66.510000000000005</v>
          </cell>
          <cell r="BM84">
            <v>820.19809572311681</v>
          </cell>
        </row>
        <row r="85">
          <cell r="A85">
            <v>74</v>
          </cell>
          <cell r="B85" t="str">
            <v>JANAMPA OCHOA JUVENCIO</v>
          </cell>
          <cell r="C85">
            <v>38720</v>
          </cell>
          <cell r="D85">
            <v>39716</v>
          </cell>
          <cell r="E85" t="str">
            <v>AYTE. PERF.</v>
          </cell>
          <cell r="F85">
            <v>54.15</v>
          </cell>
          <cell r="G85">
            <v>25</v>
          </cell>
          <cell r="H85">
            <v>200</v>
          </cell>
          <cell r="I85">
            <v>1353.75</v>
          </cell>
          <cell r="J85">
            <v>3.8461538461538463</v>
          </cell>
          <cell r="K85">
            <v>208.27</v>
          </cell>
          <cell r="L85">
            <v>0</v>
          </cell>
          <cell r="M85">
            <v>0</v>
          </cell>
          <cell r="N85">
            <v>31</v>
          </cell>
          <cell r="O85">
            <v>56.833333333333329</v>
          </cell>
          <cell r="P85">
            <v>26</v>
          </cell>
          <cell r="Q85">
            <v>219.984375</v>
          </cell>
          <cell r="R85">
            <v>26</v>
          </cell>
          <cell r="S85">
            <v>219.984375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2</v>
          </cell>
          <cell r="Y85">
            <v>27.08</v>
          </cell>
          <cell r="Z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766.99</v>
          </cell>
          <cell r="AH85">
            <v>0</v>
          </cell>
          <cell r="AI85">
            <v>1183.6099999999999</v>
          </cell>
          <cell r="AJ85">
            <v>0</v>
          </cell>
          <cell r="AK85">
            <v>0</v>
          </cell>
          <cell r="AL85">
            <v>3816.5177083333328</v>
          </cell>
          <cell r="AM85">
            <v>0</v>
          </cell>
          <cell r="AN85">
            <v>5</v>
          </cell>
          <cell r="AO85" t="str">
            <v>IN</v>
          </cell>
          <cell r="AP85">
            <v>560.26479958333334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  <cell r="AU85">
            <v>-0.13</v>
          </cell>
          <cell r="AV85">
            <v>0</v>
          </cell>
          <cell r="AW85">
            <v>0</v>
          </cell>
          <cell r="AX85">
            <v>36</v>
          </cell>
          <cell r="AY85">
            <v>0</v>
          </cell>
          <cell r="AZ85">
            <v>0</v>
          </cell>
          <cell r="BA85">
            <v>0</v>
          </cell>
          <cell r="BB85">
            <v>0</v>
          </cell>
          <cell r="BD85">
            <v>0</v>
          </cell>
          <cell r="BE85">
            <v>0</v>
          </cell>
          <cell r="BF85">
            <v>40.869999999999997</v>
          </cell>
          <cell r="BG85">
            <v>3775.647708333333</v>
          </cell>
          <cell r="BH85">
            <v>343.49</v>
          </cell>
          <cell r="BI85">
            <v>37.378061121041668</v>
          </cell>
          <cell r="BJ85">
            <v>268.37447884907914</v>
          </cell>
          <cell r="BK85">
            <v>47.539087445208338</v>
          </cell>
          <cell r="BL85">
            <v>60.99</v>
          </cell>
          <cell r="BM85">
            <v>757.77162741532914</v>
          </cell>
        </row>
        <row r="86">
          <cell r="A86">
            <v>75</v>
          </cell>
          <cell r="B86" t="str">
            <v>JUAN DE DIOS FUENTES RIVERA FRANZ</v>
          </cell>
          <cell r="C86">
            <v>39464</v>
          </cell>
          <cell r="D86">
            <v>39716</v>
          </cell>
          <cell r="E86" t="str">
            <v>OP. SCOOP</v>
          </cell>
          <cell r="F86">
            <v>56.15</v>
          </cell>
          <cell r="G86">
            <v>25</v>
          </cell>
          <cell r="H86">
            <v>200</v>
          </cell>
          <cell r="I86">
            <v>1403.75</v>
          </cell>
          <cell r="J86">
            <v>3.8461538461538463</v>
          </cell>
          <cell r="K86">
            <v>215.96</v>
          </cell>
          <cell r="L86">
            <v>0</v>
          </cell>
          <cell r="M86">
            <v>0</v>
          </cell>
          <cell r="N86">
            <v>31</v>
          </cell>
          <cell r="O86">
            <v>56.833333333333329</v>
          </cell>
          <cell r="P86">
            <v>46</v>
          </cell>
          <cell r="Q86">
            <v>403.578125</v>
          </cell>
          <cell r="R86">
            <v>46</v>
          </cell>
          <cell r="S86">
            <v>403.578125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796.32</v>
          </cell>
          <cell r="AH86">
            <v>0</v>
          </cell>
          <cell r="AI86">
            <v>1166.3800000000001</v>
          </cell>
          <cell r="AJ86">
            <v>0</v>
          </cell>
          <cell r="AK86">
            <v>0</v>
          </cell>
          <cell r="AL86">
            <v>4042.8214583333333</v>
          </cell>
          <cell r="AM86">
            <v>0</v>
          </cell>
          <cell r="AN86">
            <v>5</v>
          </cell>
          <cell r="AO86" t="str">
            <v>PR</v>
          </cell>
          <cell r="AP86">
            <v>580.95344356249996</v>
          </cell>
          <cell r="AQ86">
            <v>485.138575</v>
          </cell>
          <cell r="AR86">
            <v>78.835018437499997</v>
          </cell>
          <cell r="AS86">
            <v>35.172546687499995</v>
          </cell>
          <cell r="AT86">
            <v>599.14614012499999</v>
          </cell>
          <cell r="AU86">
            <v>16.3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D86">
            <v>0</v>
          </cell>
          <cell r="BE86">
            <v>0</v>
          </cell>
          <cell r="BF86">
            <v>620.44614012499994</v>
          </cell>
          <cell r="BG86">
            <v>3422.3753182083333</v>
          </cell>
          <cell r="BH86">
            <v>363.85</v>
          </cell>
          <cell r="BI86">
            <v>39.792368374791671</v>
          </cell>
          <cell r="BJ86">
            <v>285.70920493100414</v>
          </cell>
          <cell r="BK86">
            <v>50.609711233958336</v>
          </cell>
          <cell r="BL86">
            <v>64.930000000000007</v>
          </cell>
          <cell r="BM86">
            <v>804.89128453975422</v>
          </cell>
        </row>
        <row r="87">
          <cell r="A87">
            <v>76</v>
          </cell>
          <cell r="B87" t="str">
            <v>JURADO EVANGELISTA FRANCISCO</v>
          </cell>
          <cell r="C87">
            <v>34918</v>
          </cell>
          <cell r="D87">
            <v>39716</v>
          </cell>
          <cell r="E87" t="str">
            <v>OP. SCOOP</v>
          </cell>
          <cell r="F87">
            <v>59.65</v>
          </cell>
          <cell r="G87">
            <v>25</v>
          </cell>
          <cell r="H87">
            <v>200</v>
          </cell>
          <cell r="I87">
            <v>1491.25</v>
          </cell>
          <cell r="J87">
            <v>3.8461538461538463</v>
          </cell>
          <cell r="K87">
            <v>229.42</v>
          </cell>
          <cell r="L87">
            <v>0</v>
          </cell>
          <cell r="M87">
            <v>0</v>
          </cell>
          <cell r="N87">
            <v>31</v>
          </cell>
          <cell r="O87">
            <v>56.833333333333329</v>
          </cell>
          <cell r="P87">
            <v>22</v>
          </cell>
          <cell r="Q87">
            <v>205.046875</v>
          </cell>
          <cell r="R87">
            <v>22</v>
          </cell>
          <cell r="S87">
            <v>205.046875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8</v>
          </cell>
          <cell r="Y87">
            <v>119.3</v>
          </cell>
          <cell r="Z87">
            <v>0</v>
          </cell>
          <cell r="AB87">
            <v>298.56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845.91</v>
          </cell>
          <cell r="AH87">
            <v>1791.33</v>
          </cell>
          <cell r="AI87">
            <v>273.68</v>
          </cell>
          <cell r="AJ87">
            <v>0</v>
          </cell>
          <cell r="AK87">
            <v>0</v>
          </cell>
          <cell r="AL87">
            <v>5311.3302083333328</v>
          </cell>
          <cell r="AM87">
            <v>690.47292708333327</v>
          </cell>
          <cell r="AN87">
            <v>5</v>
          </cell>
          <cell r="AO87" t="str">
            <v>ONP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87.76</v>
          </cell>
          <cell r="AV87">
            <v>0</v>
          </cell>
          <cell r="AW87">
            <v>0</v>
          </cell>
          <cell r="AX87">
            <v>35</v>
          </cell>
          <cell r="AY87">
            <v>0</v>
          </cell>
          <cell r="AZ87">
            <v>0</v>
          </cell>
          <cell r="BA87">
            <v>0</v>
          </cell>
          <cell r="BB87">
            <v>0</v>
          </cell>
          <cell r="BD87">
            <v>0</v>
          </cell>
          <cell r="BE87">
            <v>0</v>
          </cell>
          <cell r="BF87">
            <v>818.23292708333327</v>
          </cell>
          <cell r="BG87">
            <v>4493.0972812499995</v>
          </cell>
          <cell r="BH87">
            <v>478.02</v>
          </cell>
          <cell r="BI87">
            <v>54.732655493541671</v>
          </cell>
          <cell r="BJ87">
            <v>392.98046644362915</v>
          </cell>
          <cell r="BK87">
            <v>69.611435627708332</v>
          </cell>
          <cell r="BL87">
            <v>0</v>
          </cell>
          <cell r="BM87">
            <v>995.34455756487921</v>
          </cell>
        </row>
        <row r="88">
          <cell r="A88">
            <v>77</v>
          </cell>
          <cell r="B88" t="str">
            <v>LAYME VARGAS VICTOR</v>
          </cell>
          <cell r="C88">
            <v>35657</v>
          </cell>
          <cell r="D88">
            <v>39716</v>
          </cell>
          <cell r="E88" t="str">
            <v>MEC.-PERF.</v>
          </cell>
          <cell r="F88">
            <v>56.15</v>
          </cell>
          <cell r="G88">
            <v>23</v>
          </cell>
          <cell r="H88">
            <v>184</v>
          </cell>
          <cell r="I88">
            <v>1291.45</v>
          </cell>
          <cell r="J88">
            <v>3.5384615384615383</v>
          </cell>
          <cell r="K88">
            <v>198.68</v>
          </cell>
          <cell r="L88">
            <v>0</v>
          </cell>
          <cell r="M88">
            <v>0</v>
          </cell>
          <cell r="N88">
            <v>31</v>
          </cell>
          <cell r="O88">
            <v>56.833333333333329</v>
          </cell>
          <cell r="P88">
            <v>18</v>
          </cell>
          <cell r="Q88">
            <v>157.921875</v>
          </cell>
          <cell r="R88">
            <v>18</v>
          </cell>
          <cell r="S88">
            <v>157.921875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8</v>
          </cell>
          <cell r="Y88">
            <v>112.3</v>
          </cell>
          <cell r="Z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796.32</v>
          </cell>
          <cell r="AH88">
            <v>1686.33</v>
          </cell>
          <cell r="AI88">
            <v>192.06</v>
          </cell>
          <cell r="AJ88">
            <v>0</v>
          </cell>
          <cell r="AK88">
            <v>0</v>
          </cell>
          <cell r="AL88">
            <v>4491.8952083333343</v>
          </cell>
          <cell r="AM88">
            <v>583.94637708333346</v>
          </cell>
          <cell r="AN88">
            <v>5</v>
          </cell>
          <cell r="AO88" t="str">
            <v>ONP</v>
          </cell>
          <cell r="AP88">
            <v>0</v>
          </cell>
          <cell r="AQ88">
            <v>539.02742500000011</v>
          </cell>
          <cell r="AR88">
            <v>87.591956562500016</v>
          </cell>
          <cell r="AS88">
            <v>39.079488312500004</v>
          </cell>
          <cell r="AT88">
            <v>665.69886987500013</v>
          </cell>
          <cell r="AU88">
            <v>0</v>
          </cell>
          <cell r="AV88">
            <v>0</v>
          </cell>
          <cell r="AW88">
            <v>0</v>
          </cell>
          <cell r="AX88">
            <v>35</v>
          </cell>
          <cell r="AY88">
            <v>0</v>
          </cell>
          <cell r="AZ88">
            <v>0</v>
          </cell>
          <cell r="BA88">
            <v>0</v>
          </cell>
          <cell r="BB88">
            <v>0</v>
          </cell>
          <cell r="BD88">
            <v>0</v>
          </cell>
          <cell r="BE88">
            <v>0</v>
          </cell>
          <cell r="BF88">
            <v>1289.6452469583337</v>
          </cell>
          <cell r="BG88">
            <v>3202.2499613750006</v>
          </cell>
          <cell r="BH88">
            <v>404.27</v>
          </cell>
          <cell r="BI88">
            <v>45.296665328541678</v>
          </cell>
          <cell r="BJ88">
            <v>325.23005705892922</v>
          </cell>
          <cell r="BK88">
            <v>57.610321922708344</v>
          </cell>
          <cell r="BL88">
            <v>0</v>
          </cell>
          <cell r="BM88">
            <v>832.40704431017923</v>
          </cell>
        </row>
        <row r="89">
          <cell r="A89">
            <v>78</v>
          </cell>
          <cell r="B89" t="str">
            <v>LEAÑO ALEGRE SALOME MIGUEL</v>
          </cell>
          <cell r="C89">
            <v>38128</v>
          </cell>
          <cell r="D89">
            <v>39716</v>
          </cell>
          <cell r="E89" t="str">
            <v>PERFORISTA</v>
          </cell>
          <cell r="F89">
            <v>56.15</v>
          </cell>
          <cell r="G89">
            <v>18</v>
          </cell>
          <cell r="H89">
            <v>144</v>
          </cell>
          <cell r="I89">
            <v>1010.7</v>
          </cell>
          <cell r="J89">
            <v>2.7692307692307692</v>
          </cell>
          <cell r="K89">
            <v>155.49</v>
          </cell>
          <cell r="L89">
            <v>0</v>
          </cell>
          <cell r="M89">
            <v>0</v>
          </cell>
          <cell r="N89">
            <v>31</v>
          </cell>
          <cell r="O89">
            <v>56.833333333333329</v>
          </cell>
          <cell r="P89">
            <v>16</v>
          </cell>
          <cell r="Q89">
            <v>140.375</v>
          </cell>
          <cell r="R89">
            <v>16</v>
          </cell>
          <cell r="S89">
            <v>140.375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796.32</v>
          </cell>
          <cell r="AH89">
            <v>1686.33</v>
          </cell>
          <cell r="AI89">
            <v>585.53</v>
          </cell>
          <cell r="AJ89">
            <v>0</v>
          </cell>
          <cell r="AK89">
            <v>0</v>
          </cell>
          <cell r="AL89">
            <v>4431.5783333333329</v>
          </cell>
          <cell r="AM89">
            <v>576.10518333333334</v>
          </cell>
          <cell r="AN89">
            <v>5</v>
          </cell>
          <cell r="AO89" t="str">
            <v>ONP</v>
          </cell>
          <cell r="AP89">
            <v>0</v>
          </cell>
          <cell r="AQ89">
            <v>531.78939999999989</v>
          </cell>
          <cell r="AR89">
            <v>86.41577749999999</v>
          </cell>
          <cell r="AS89">
            <v>38.554731499999995</v>
          </cell>
          <cell r="AT89">
            <v>656.75990899999988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0</v>
          </cell>
          <cell r="BB89">
            <v>0</v>
          </cell>
          <cell r="BD89">
            <v>0</v>
          </cell>
          <cell r="BE89">
            <v>0</v>
          </cell>
          <cell r="BF89">
            <v>1237.8650923333332</v>
          </cell>
          <cell r="BG89">
            <v>3193.7132409999995</v>
          </cell>
          <cell r="BH89">
            <v>398.84</v>
          </cell>
          <cell r="BI89">
            <v>44.55736139166666</v>
          </cell>
          <cell r="BJ89">
            <v>319.92185479216658</v>
          </cell>
          <cell r="BK89">
            <v>56.670042158333324</v>
          </cell>
          <cell r="BL89">
            <v>0</v>
          </cell>
          <cell r="BM89">
            <v>819.98925834216664</v>
          </cell>
        </row>
        <row r="90">
          <cell r="A90">
            <v>79</v>
          </cell>
          <cell r="B90" t="str">
            <v>LEAÑO CARDENAS, DANILO  JUHOLY</v>
          </cell>
          <cell r="C90">
            <v>39265</v>
          </cell>
          <cell r="D90">
            <v>39716</v>
          </cell>
          <cell r="E90" t="str">
            <v>AYTE. PERF.</v>
          </cell>
          <cell r="F90">
            <v>54.15</v>
          </cell>
          <cell r="G90">
            <v>24</v>
          </cell>
          <cell r="H90">
            <v>192</v>
          </cell>
          <cell r="I90">
            <v>1299.5999999999999</v>
          </cell>
          <cell r="J90">
            <v>3.6923076923076925</v>
          </cell>
          <cell r="K90">
            <v>199.94</v>
          </cell>
          <cell r="L90">
            <v>0</v>
          </cell>
          <cell r="M90">
            <v>0</v>
          </cell>
          <cell r="N90">
            <v>31</v>
          </cell>
          <cell r="O90">
            <v>56.833333333333329</v>
          </cell>
          <cell r="P90">
            <v>22</v>
          </cell>
          <cell r="Q90">
            <v>186.140625</v>
          </cell>
          <cell r="R90">
            <v>22</v>
          </cell>
          <cell r="S90">
            <v>186.140625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8</v>
          </cell>
          <cell r="Y90">
            <v>108.3</v>
          </cell>
          <cell r="Z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767.99</v>
          </cell>
          <cell r="AH90">
            <v>1626.33</v>
          </cell>
          <cell r="AI90">
            <v>379.48</v>
          </cell>
          <cell r="AJ90">
            <v>0</v>
          </cell>
          <cell r="AK90">
            <v>0</v>
          </cell>
          <cell r="AL90">
            <v>4624.6139583333334</v>
          </cell>
          <cell r="AM90">
            <v>0</v>
          </cell>
          <cell r="AN90">
            <v>5</v>
          </cell>
          <cell r="AO90" t="str">
            <v>PR</v>
          </cell>
          <cell r="AP90">
            <v>664.5570258125</v>
          </cell>
          <cell r="AQ90">
            <v>554.95367499999998</v>
          </cell>
          <cell r="AR90">
            <v>90.179972187499999</v>
          </cell>
          <cell r="AS90">
            <v>40.2341414375</v>
          </cell>
          <cell r="AT90">
            <v>685.367788625</v>
          </cell>
          <cell r="AU90">
            <v>2.65</v>
          </cell>
          <cell r="AV90">
            <v>0</v>
          </cell>
          <cell r="AW90">
            <v>0</v>
          </cell>
          <cell r="AX90">
            <v>25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D90">
            <v>0</v>
          </cell>
          <cell r="BE90">
            <v>0</v>
          </cell>
          <cell r="BF90">
            <v>718.01778862499998</v>
          </cell>
          <cell r="BG90">
            <v>3906.5961697083335</v>
          </cell>
          <cell r="BH90">
            <v>416.22</v>
          </cell>
          <cell r="BI90">
            <v>47.27063985729167</v>
          </cell>
          <cell r="BJ90">
            <v>339.40319417535414</v>
          </cell>
          <cell r="BK90">
            <v>60.120910886458347</v>
          </cell>
          <cell r="BL90">
            <v>77.13</v>
          </cell>
          <cell r="BM90">
            <v>940.14474491910426</v>
          </cell>
        </row>
        <row r="91">
          <cell r="A91">
            <v>80</v>
          </cell>
          <cell r="B91" t="str">
            <v>LEON ROMAN VICTOR</v>
          </cell>
          <cell r="C91">
            <v>37861</v>
          </cell>
          <cell r="D91">
            <v>39716</v>
          </cell>
          <cell r="E91" t="str">
            <v>OP. TELETRAN</v>
          </cell>
          <cell r="F91">
            <v>59.65</v>
          </cell>
          <cell r="G91">
            <v>23</v>
          </cell>
          <cell r="H91">
            <v>184</v>
          </cell>
          <cell r="I91">
            <v>1371.95</v>
          </cell>
          <cell r="J91">
            <v>3.5384615384615383</v>
          </cell>
          <cell r="K91">
            <v>211.07</v>
          </cell>
          <cell r="L91">
            <v>0</v>
          </cell>
          <cell r="M91">
            <v>0</v>
          </cell>
          <cell r="N91">
            <v>31</v>
          </cell>
          <cell r="O91">
            <v>56.833333333333329</v>
          </cell>
          <cell r="P91">
            <v>16</v>
          </cell>
          <cell r="Q91">
            <v>149.125</v>
          </cell>
          <cell r="R91">
            <v>16</v>
          </cell>
          <cell r="S91">
            <v>149.125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845.04</v>
          </cell>
          <cell r="AH91">
            <v>1789.5</v>
          </cell>
          <cell r="AI91">
            <v>139.18</v>
          </cell>
          <cell r="AJ91">
            <v>0</v>
          </cell>
          <cell r="AK91">
            <v>0</v>
          </cell>
          <cell r="AL91">
            <v>4562.6983333333337</v>
          </cell>
          <cell r="AM91">
            <v>0</v>
          </cell>
          <cell r="AN91">
            <v>5</v>
          </cell>
          <cell r="AO91" t="str">
            <v>PR</v>
          </cell>
          <cell r="AP91">
            <v>655.65975050000009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65.36</v>
          </cell>
          <cell r="AV91">
            <v>0</v>
          </cell>
          <cell r="AW91">
            <v>0</v>
          </cell>
          <cell r="AX91">
            <v>36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D91">
            <v>0</v>
          </cell>
          <cell r="BE91">
            <v>0</v>
          </cell>
          <cell r="BF91">
            <v>106.36</v>
          </cell>
          <cell r="BG91">
            <v>4456.338333333334</v>
          </cell>
          <cell r="BH91">
            <v>410.64</v>
          </cell>
          <cell r="BI91">
            <v>45.567338191666671</v>
          </cell>
          <cell r="BJ91">
            <v>327.17348821616667</v>
          </cell>
          <cell r="BK91">
            <v>57.954575758333341</v>
          </cell>
          <cell r="BL91">
            <v>74.349999999999994</v>
          </cell>
          <cell r="BM91">
            <v>915.68540216616668</v>
          </cell>
        </row>
        <row r="92">
          <cell r="A92">
            <v>81</v>
          </cell>
          <cell r="B92" t="str">
            <v>LIMA HUINCHO DONATO</v>
          </cell>
          <cell r="C92">
            <v>38330</v>
          </cell>
          <cell r="D92">
            <v>39716</v>
          </cell>
          <cell r="E92" t="str">
            <v>PERFORISTA</v>
          </cell>
          <cell r="F92">
            <v>56.15</v>
          </cell>
          <cell r="G92">
            <v>25</v>
          </cell>
          <cell r="H92">
            <v>200</v>
          </cell>
          <cell r="I92">
            <v>1403.75</v>
          </cell>
          <cell r="J92">
            <v>3.8461538461538463</v>
          </cell>
          <cell r="K92">
            <v>215.96</v>
          </cell>
          <cell r="L92">
            <v>0</v>
          </cell>
          <cell r="M92">
            <v>0</v>
          </cell>
          <cell r="N92">
            <v>31</v>
          </cell>
          <cell r="O92">
            <v>56.833333333333329</v>
          </cell>
          <cell r="P92">
            <v>35</v>
          </cell>
          <cell r="Q92">
            <v>307.0703125</v>
          </cell>
          <cell r="R92">
            <v>35</v>
          </cell>
          <cell r="S92">
            <v>307.0703125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8</v>
          </cell>
          <cell r="Y92">
            <v>112.3</v>
          </cell>
          <cell r="Z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796.32</v>
          </cell>
          <cell r="AH92">
            <v>0</v>
          </cell>
          <cell r="AI92">
            <v>1344.38</v>
          </cell>
          <cell r="AJ92">
            <v>0</v>
          </cell>
          <cell r="AK92">
            <v>0</v>
          </cell>
          <cell r="AL92">
            <v>4236.6136458333331</v>
          </cell>
          <cell r="AM92">
            <v>0</v>
          </cell>
          <cell r="AN92">
            <v>5</v>
          </cell>
          <cell r="AO92" t="str">
            <v>PF</v>
          </cell>
          <cell r="AP92">
            <v>630.40811049999991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  <cell r="AU92">
            <v>36.85</v>
          </cell>
          <cell r="AV92">
            <v>0</v>
          </cell>
          <cell r="AW92">
            <v>0</v>
          </cell>
          <cell r="AX92">
            <v>51</v>
          </cell>
          <cell r="AY92">
            <v>0</v>
          </cell>
          <cell r="AZ92">
            <v>0</v>
          </cell>
          <cell r="BA92">
            <v>0</v>
          </cell>
          <cell r="BB92">
            <v>0</v>
          </cell>
          <cell r="BD92">
            <v>0</v>
          </cell>
          <cell r="BE92">
            <v>0</v>
          </cell>
          <cell r="BF92">
            <v>92.85</v>
          </cell>
          <cell r="BG92">
            <v>4143.7636458333327</v>
          </cell>
          <cell r="BH92">
            <v>381.3</v>
          </cell>
          <cell r="BI92">
            <v>42.16767921697916</v>
          </cell>
          <cell r="BJ92">
            <v>302.76393677791037</v>
          </cell>
          <cell r="BK92">
            <v>53.630737644895831</v>
          </cell>
          <cell r="BL92">
            <v>68.81</v>
          </cell>
          <cell r="BM92">
            <v>848.67235363978534</v>
          </cell>
        </row>
        <row r="93">
          <cell r="A93">
            <v>82</v>
          </cell>
          <cell r="B93" t="str">
            <v>LIZANA CUYA LUIS LUCHO</v>
          </cell>
          <cell r="C93">
            <v>39641</v>
          </cell>
          <cell r="D93">
            <v>39716</v>
          </cell>
          <cell r="E93" t="str">
            <v>PERFORISTA</v>
          </cell>
          <cell r="F93">
            <v>54.15</v>
          </cell>
          <cell r="G93">
            <v>24</v>
          </cell>
          <cell r="H93">
            <v>192</v>
          </cell>
          <cell r="I93">
            <v>1299.5999999999999</v>
          </cell>
          <cell r="J93">
            <v>5.2307692307692308</v>
          </cell>
          <cell r="K93">
            <v>283.25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24</v>
          </cell>
          <cell r="Q93">
            <v>203.0625</v>
          </cell>
          <cell r="R93">
            <v>24</v>
          </cell>
          <cell r="S93">
            <v>203.0625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8</v>
          </cell>
          <cell r="Y93">
            <v>108.3</v>
          </cell>
          <cell r="Z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  <cell r="AG93">
            <v>496.94</v>
          </cell>
          <cell r="AH93">
            <v>0</v>
          </cell>
          <cell r="AI93">
            <v>334.3</v>
          </cell>
          <cell r="AJ93">
            <v>10</v>
          </cell>
          <cell r="AK93">
            <v>541.5</v>
          </cell>
          <cell r="AL93">
            <v>3266.9524999999999</v>
          </cell>
          <cell r="AM93">
            <v>424.70382499999999</v>
          </cell>
          <cell r="AN93">
            <v>0</v>
          </cell>
          <cell r="AO93" t="str">
            <v>ONP</v>
          </cell>
          <cell r="AP93">
            <v>0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0</v>
          </cell>
          <cell r="BB93">
            <v>0</v>
          </cell>
          <cell r="BD93">
            <v>0</v>
          </cell>
          <cell r="BE93">
            <v>0</v>
          </cell>
          <cell r="BF93">
            <v>424.70382499999999</v>
          </cell>
          <cell r="BG93">
            <v>2842.2486749999998</v>
          </cell>
          <cell r="BH93">
            <v>294.02999999999997</v>
          </cell>
          <cell r="BI93">
            <v>33.952043212500001</v>
          </cell>
          <cell r="BJ93">
            <v>243.77567026575002</v>
          </cell>
          <cell r="BK93">
            <v>43.181724862499998</v>
          </cell>
          <cell r="BL93">
            <v>0</v>
          </cell>
          <cell r="BM93">
            <v>614.93943834075003</v>
          </cell>
        </row>
        <row r="94">
          <cell r="A94">
            <v>83</v>
          </cell>
          <cell r="B94" t="str">
            <v>LINDO DE LA CRUZ EDMUNDO</v>
          </cell>
          <cell r="C94">
            <v>37953</v>
          </cell>
          <cell r="D94">
            <v>39716</v>
          </cell>
          <cell r="E94" t="str">
            <v>PERFORISTA</v>
          </cell>
          <cell r="F94">
            <v>56.15</v>
          </cell>
          <cell r="G94">
            <v>25</v>
          </cell>
          <cell r="H94">
            <v>200</v>
          </cell>
          <cell r="I94">
            <v>1403.75</v>
          </cell>
          <cell r="J94">
            <v>3.8461538461538463</v>
          </cell>
          <cell r="K94">
            <v>215.96</v>
          </cell>
          <cell r="L94">
            <v>0</v>
          </cell>
          <cell r="M94">
            <v>0</v>
          </cell>
          <cell r="N94">
            <v>31</v>
          </cell>
          <cell r="O94">
            <v>56.833333333333329</v>
          </cell>
          <cell r="P94">
            <v>24</v>
          </cell>
          <cell r="Q94">
            <v>210.5625</v>
          </cell>
          <cell r="R94">
            <v>24</v>
          </cell>
          <cell r="S94">
            <v>210.5625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8</v>
          </cell>
          <cell r="Y94">
            <v>112.3</v>
          </cell>
          <cell r="Z94">
            <v>0</v>
          </cell>
          <cell r="AB94">
            <v>0</v>
          </cell>
          <cell r="AC94">
            <v>0</v>
          </cell>
          <cell r="AD94">
            <v>0</v>
          </cell>
          <cell r="AE94">
            <v>0</v>
          </cell>
          <cell r="AF94">
            <v>0</v>
          </cell>
          <cell r="AG94">
            <v>796.32</v>
          </cell>
          <cell r="AH94">
            <v>0</v>
          </cell>
          <cell r="AI94">
            <v>1395.91</v>
          </cell>
          <cell r="AJ94">
            <v>0</v>
          </cell>
          <cell r="AK94">
            <v>0</v>
          </cell>
          <cell r="AL94">
            <v>4191.6358333333337</v>
          </cell>
          <cell r="AM94">
            <v>0</v>
          </cell>
          <cell r="AN94">
            <v>5</v>
          </cell>
          <cell r="AO94" t="str">
            <v>PR</v>
          </cell>
          <cell r="AP94">
            <v>602.33806924999999</v>
          </cell>
          <cell r="AQ94">
            <v>502.99630000000002</v>
          </cell>
          <cell r="AR94">
            <v>81.736898750000009</v>
          </cell>
          <cell r="AS94">
            <v>36.467231750000003</v>
          </cell>
          <cell r="AT94">
            <v>621.20043050000004</v>
          </cell>
          <cell r="AU94">
            <v>34.42</v>
          </cell>
          <cell r="AV94">
            <v>0</v>
          </cell>
          <cell r="AW94">
            <v>0</v>
          </cell>
          <cell r="AX94">
            <v>49</v>
          </cell>
          <cell r="AY94">
            <v>0</v>
          </cell>
          <cell r="AZ94">
            <v>0</v>
          </cell>
          <cell r="BA94">
            <v>0</v>
          </cell>
          <cell r="BB94">
            <v>0</v>
          </cell>
          <cell r="BD94">
            <v>0</v>
          </cell>
          <cell r="BE94">
            <v>0</v>
          </cell>
          <cell r="BF94">
            <v>709.6204305</v>
          </cell>
          <cell r="BG94">
            <v>3482.0154028333336</v>
          </cell>
          <cell r="BH94">
            <v>377.25</v>
          </cell>
          <cell r="BI94">
            <v>41.616386169166667</v>
          </cell>
          <cell r="BJ94">
            <v>298.8056526946167</v>
          </cell>
          <cell r="BK94">
            <v>52.929578525833335</v>
          </cell>
          <cell r="BL94">
            <v>67.91</v>
          </cell>
          <cell r="BM94">
            <v>838.51161738961673</v>
          </cell>
        </row>
        <row r="95">
          <cell r="A95">
            <v>84</v>
          </cell>
          <cell r="B95" t="str">
            <v>LLACCTAHUAMAN LLOCLLA OCTAVIO</v>
          </cell>
          <cell r="C95">
            <v>37722</v>
          </cell>
          <cell r="D95">
            <v>39716</v>
          </cell>
          <cell r="E95" t="str">
            <v>PERFORISTA</v>
          </cell>
          <cell r="F95">
            <v>56.15</v>
          </cell>
          <cell r="G95">
            <v>25</v>
          </cell>
          <cell r="H95">
            <v>200</v>
          </cell>
          <cell r="I95">
            <v>1403.75</v>
          </cell>
          <cell r="J95">
            <v>3.8461538461538463</v>
          </cell>
          <cell r="K95">
            <v>215.96</v>
          </cell>
          <cell r="L95">
            <v>0</v>
          </cell>
          <cell r="M95">
            <v>0</v>
          </cell>
          <cell r="N95">
            <v>31</v>
          </cell>
          <cell r="O95">
            <v>56.833333333333329</v>
          </cell>
          <cell r="P95">
            <v>24</v>
          </cell>
          <cell r="Q95">
            <v>210.5625</v>
          </cell>
          <cell r="R95">
            <v>24</v>
          </cell>
          <cell r="S95">
            <v>210.5625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16</v>
          </cell>
          <cell r="Y95">
            <v>224.6</v>
          </cell>
          <cell r="Z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  <cell r="AG95">
            <v>796.32</v>
          </cell>
          <cell r="AH95">
            <v>1686.33</v>
          </cell>
          <cell r="AI95">
            <v>772.9</v>
          </cell>
          <cell r="AJ95">
            <v>0</v>
          </cell>
          <cell r="AK95">
            <v>0</v>
          </cell>
          <cell r="AL95">
            <v>5367.2558333333327</v>
          </cell>
          <cell r="AM95">
            <v>0</v>
          </cell>
          <cell r="AN95">
            <v>5</v>
          </cell>
          <cell r="AO95" t="str">
            <v>PF</v>
          </cell>
          <cell r="AP95">
            <v>798.64766799999984</v>
          </cell>
          <cell r="AQ95">
            <v>644.07069999999987</v>
          </cell>
          <cell r="AR95">
            <v>104.66148874999999</v>
          </cell>
          <cell r="AS95">
            <v>46.695125749999988</v>
          </cell>
          <cell r="AT95">
            <v>795.42731449999985</v>
          </cell>
          <cell r="AU95">
            <v>61.16</v>
          </cell>
          <cell r="AV95">
            <v>0</v>
          </cell>
          <cell r="AW95">
            <v>0</v>
          </cell>
          <cell r="AX95">
            <v>0</v>
          </cell>
          <cell r="AY95">
            <v>0</v>
          </cell>
          <cell r="AZ95">
            <v>0</v>
          </cell>
          <cell r="BA95">
            <v>0</v>
          </cell>
          <cell r="BB95">
            <v>0</v>
          </cell>
          <cell r="BD95">
            <v>0</v>
          </cell>
          <cell r="BE95">
            <v>0</v>
          </cell>
          <cell r="BF95">
            <v>861.58731449999982</v>
          </cell>
          <cell r="BG95">
            <v>4505.6685188333331</v>
          </cell>
          <cell r="BH95">
            <v>483.05</v>
          </cell>
          <cell r="BI95">
            <v>56.025960509166666</v>
          </cell>
          <cell r="BJ95">
            <v>402.26639645581668</v>
          </cell>
          <cell r="BK95">
            <v>71.256318705833337</v>
          </cell>
          <cell r="BL95">
            <v>91.42</v>
          </cell>
          <cell r="BM95">
            <v>1104.0186756708165</v>
          </cell>
        </row>
        <row r="96">
          <cell r="A96">
            <v>85</v>
          </cell>
          <cell r="B96" t="str">
            <v>LLACTAHUAMAN TORRES PEDRO</v>
          </cell>
          <cell r="C96">
            <v>37802</v>
          </cell>
          <cell r="D96">
            <v>39716</v>
          </cell>
          <cell r="E96" t="str">
            <v>PERFORISTA</v>
          </cell>
          <cell r="F96">
            <v>56.15</v>
          </cell>
          <cell r="G96">
            <v>9</v>
          </cell>
          <cell r="H96">
            <v>72</v>
          </cell>
          <cell r="I96">
            <v>505.35</v>
          </cell>
          <cell r="J96">
            <v>1.3846153846153846</v>
          </cell>
          <cell r="K96">
            <v>77.75</v>
          </cell>
          <cell r="L96">
            <v>0</v>
          </cell>
          <cell r="M96">
            <v>0</v>
          </cell>
          <cell r="N96">
            <v>31</v>
          </cell>
          <cell r="O96">
            <v>56.833333333333329</v>
          </cell>
          <cell r="P96">
            <v>6</v>
          </cell>
          <cell r="Q96">
            <v>52.640625</v>
          </cell>
          <cell r="R96">
            <v>6</v>
          </cell>
          <cell r="S96">
            <v>52.640625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B96">
            <v>500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796.32</v>
          </cell>
          <cell r="AH96">
            <v>0</v>
          </cell>
          <cell r="AI96">
            <v>402.85</v>
          </cell>
          <cell r="AJ96">
            <v>0</v>
          </cell>
          <cell r="AK96">
            <v>0</v>
          </cell>
          <cell r="AL96">
            <v>2391.7439583333335</v>
          </cell>
          <cell r="AM96">
            <v>0</v>
          </cell>
          <cell r="AN96">
            <v>5</v>
          </cell>
          <cell r="AO96" t="str">
            <v>IN</v>
          </cell>
          <cell r="AP96">
            <v>351.10801308333339</v>
          </cell>
          <cell r="AQ96">
            <v>287.009275</v>
          </cell>
          <cell r="AR96">
            <v>46.639007187500006</v>
          </cell>
          <cell r="AS96">
            <v>20.808172437500001</v>
          </cell>
          <cell r="AT96">
            <v>354.45645462499999</v>
          </cell>
          <cell r="AU96">
            <v>10.57</v>
          </cell>
          <cell r="AV96">
            <v>0</v>
          </cell>
          <cell r="AW96">
            <v>0</v>
          </cell>
          <cell r="AX96">
            <v>35</v>
          </cell>
          <cell r="AY96">
            <v>0</v>
          </cell>
          <cell r="AZ96">
            <v>0</v>
          </cell>
          <cell r="BA96">
            <v>0</v>
          </cell>
          <cell r="BB96">
            <v>0</v>
          </cell>
          <cell r="BD96">
            <v>0</v>
          </cell>
          <cell r="BE96">
            <v>0</v>
          </cell>
          <cell r="BF96">
            <v>405.02645462499999</v>
          </cell>
          <cell r="BG96">
            <v>1986.7175037083334</v>
          </cell>
          <cell r="BH96">
            <v>215.26</v>
          </cell>
          <cell r="BI96">
            <v>19.555111457291666</v>
          </cell>
          <cell r="BJ96">
            <v>140.40570026335416</v>
          </cell>
          <cell r="BK96">
            <v>24.871064086458336</v>
          </cell>
          <cell r="BL96">
            <v>31.91</v>
          </cell>
          <cell r="BM96">
            <v>432.00187580710417</v>
          </cell>
        </row>
        <row r="97">
          <cell r="A97">
            <v>86</v>
          </cell>
          <cell r="B97" t="str">
            <v>LOPEZ CAMPOS EDSON JOEL</v>
          </cell>
          <cell r="C97">
            <v>38712</v>
          </cell>
          <cell r="D97">
            <v>39716</v>
          </cell>
          <cell r="E97" t="str">
            <v>OP. TELETRAN</v>
          </cell>
          <cell r="F97">
            <v>59.65</v>
          </cell>
          <cell r="G97">
            <v>26</v>
          </cell>
          <cell r="H97">
            <v>208</v>
          </cell>
          <cell r="I97">
            <v>1550.9</v>
          </cell>
          <cell r="J97">
            <v>4</v>
          </cell>
          <cell r="K97">
            <v>238.6</v>
          </cell>
          <cell r="L97">
            <v>0</v>
          </cell>
          <cell r="M97">
            <v>0</v>
          </cell>
          <cell r="N97">
            <v>31</v>
          </cell>
          <cell r="O97">
            <v>56.833333333333329</v>
          </cell>
          <cell r="P97">
            <v>34</v>
          </cell>
          <cell r="Q97">
            <v>316.890625</v>
          </cell>
          <cell r="R97">
            <v>34</v>
          </cell>
          <cell r="S97">
            <v>316.890625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24</v>
          </cell>
          <cell r="Y97">
            <v>357.9</v>
          </cell>
          <cell r="Z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  <cell r="AG97">
            <v>845.91</v>
          </cell>
          <cell r="AH97">
            <v>1791.33</v>
          </cell>
          <cell r="AI97">
            <v>1343.5</v>
          </cell>
          <cell r="AJ97">
            <v>0</v>
          </cell>
          <cell r="AK97">
            <v>0</v>
          </cell>
          <cell r="AL97">
            <v>6501.8639583333334</v>
          </cell>
          <cell r="AM97">
            <v>845.24231458333338</v>
          </cell>
          <cell r="AN97">
            <v>0</v>
          </cell>
          <cell r="AO97" t="str">
            <v>ONP</v>
          </cell>
          <cell r="AP97">
            <v>0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  <cell r="AU97">
            <v>35.65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0</v>
          </cell>
          <cell r="BB97">
            <v>0</v>
          </cell>
          <cell r="BD97">
            <v>0</v>
          </cell>
          <cell r="BE97">
            <v>0</v>
          </cell>
          <cell r="BF97">
            <v>880.89231458333336</v>
          </cell>
          <cell r="BG97">
            <v>5620.9716437500001</v>
          </cell>
          <cell r="BH97">
            <v>585.16999999999996</v>
          </cell>
          <cell r="BI97">
            <v>69.325027667291664</v>
          </cell>
          <cell r="BJ97">
            <v>497.7536986511542</v>
          </cell>
          <cell r="BK97">
            <v>88.170666256458333</v>
          </cell>
          <cell r="BL97">
            <v>0</v>
          </cell>
          <cell r="BM97">
            <v>1240.4193925749041</v>
          </cell>
        </row>
        <row r="98">
          <cell r="A98">
            <v>87</v>
          </cell>
          <cell r="B98" t="str">
            <v>LOPEZ CARHUACHIN ABDON FELICIANO</v>
          </cell>
          <cell r="C98">
            <v>38019</v>
          </cell>
          <cell r="D98">
            <v>39716</v>
          </cell>
          <cell r="E98" t="str">
            <v>PERFORISTA</v>
          </cell>
          <cell r="F98">
            <v>56.15</v>
          </cell>
          <cell r="G98">
            <v>25</v>
          </cell>
          <cell r="H98">
            <v>200</v>
          </cell>
          <cell r="I98">
            <v>1403.75</v>
          </cell>
          <cell r="J98">
            <v>3.8461538461538463</v>
          </cell>
          <cell r="K98">
            <v>215.96</v>
          </cell>
          <cell r="L98">
            <v>0</v>
          </cell>
          <cell r="M98">
            <v>0</v>
          </cell>
          <cell r="N98">
            <v>31</v>
          </cell>
          <cell r="O98">
            <v>56.833333333333329</v>
          </cell>
          <cell r="P98">
            <v>24</v>
          </cell>
          <cell r="Q98">
            <v>210.5625</v>
          </cell>
          <cell r="R98">
            <v>24</v>
          </cell>
          <cell r="S98">
            <v>210.5625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8</v>
          </cell>
          <cell r="Y98">
            <v>112.3</v>
          </cell>
          <cell r="Z98">
            <v>0</v>
          </cell>
          <cell r="AB98">
            <v>122.83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795.46</v>
          </cell>
          <cell r="AH98">
            <v>0</v>
          </cell>
          <cell r="AI98">
            <v>1094.93</v>
          </cell>
          <cell r="AJ98">
            <v>0</v>
          </cell>
          <cell r="AK98">
            <v>0</v>
          </cell>
          <cell r="AL98">
            <v>4012.6258333333335</v>
          </cell>
          <cell r="AM98">
            <v>0</v>
          </cell>
          <cell r="AN98">
            <v>5</v>
          </cell>
          <cell r="AO98" t="str">
            <v>HR</v>
          </cell>
          <cell r="AP98">
            <v>595.07241108333335</v>
          </cell>
          <cell r="AQ98">
            <v>481.51510000000002</v>
          </cell>
          <cell r="AR98">
            <v>78.246203750000006</v>
          </cell>
          <cell r="AS98">
            <v>34.909844749999998</v>
          </cell>
          <cell r="AT98">
            <v>594.67114850000007</v>
          </cell>
          <cell r="AU98">
            <v>17.52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0</v>
          </cell>
          <cell r="BB98">
            <v>0</v>
          </cell>
          <cell r="BD98">
            <v>0</v>
          </cell>
          <cell r="BE98">
            <v>0</v>
          </cell>
          <cell r="BF98">
            <v>617.19114850000005</v>
          </cell>
          <cell r="BG98">
            <v>3395.4346848333334</v>
          </cell>
          <cell r="BH98">
            <v>361.14</v>
          </cell>
          <cell r="BI98">
            <v>39.432801619166668</v>
          </cell>
          <cell r="BJ98">
            <v>283.1275156256167</v>
          </cell>
          <cell r="BK98">
            <v>50.152398175833341</v>
          </cell>
          <cell r="BL98">
            <v>64.34</v>
          </cell>
          <cell r="BM98">
            <v>798.19271542061676</v>
          </cell>
        </row>
        <row r="99">
          <cell r="A99">
            <v>88</v>
          </cell>
          <cell r="B99" t="str">
            <v>LOPEZ MELENDREZ MIGUEL EFRAIN</v>
          </cell>
          <cell r="C99">
            <v>38931</v>
          </cell>
          <cell r="D99">
            <v>39716</v>
          </cell>
          <cell r="E99" t="str">
            <v>AYTE. PERF.</v>
          </cell>
          <cell r="F99">
            <v>54.15</v>
          </cell>
          <cell r="G99">
            <v>20</v>
          </cell>
          <cell r="H99">
            <v>160</v>
          </cell>
          <cell r="I99">
            <v>1083</v>
          </cell>
          <cell r="J99">
            <v>3.0769230769230771</v>
          </cell>
          <cell r="K99">
            <v>166.62</v>
          </cell>
          <cell r="L99">
            <v>0</v>
          </cell>
          <cell r="M99">
            <v>0</v>
          </cell>
          <cell r="N99">
            <v>31</v>
          </cell>
          <cell r="O99">
            <v>56.833333333333329</v>
          </cell>
          <cell r="P99">
            <v>24</v>
          </cell>
          <cell r="Q99">
            <v>203.0625</v>
          </cell>
          <cell r="R99">
            <v>24</v>
          </cell>
          <cell r="S99">
            <v>203.0625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8</v>
          </cell>
          <cell r="Y99">
            <v>108.3</v>
          </cell>
          <cell r="Z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767.99</v>
          </cell>
          <cell r="AH99">
            <v>1626.33</v>
          </cell>
          <cell r="AI99">
            <v>243.96</v>
          </cell>
          <cell r="AJ99">
            <v>0</v>
          </cell>
          <cell r="AK99">
            <v>0</v>
          </cell>
          <cell r="AL99">
            <v>4256.0958333333328</v>
          </cell>
          <cell r="AM99">
            <v>0</v>
          </cell>
          <cell r="AN99">
            <v>5</v>
          </cell>
          <cell r="AO99" t="str">
            <v>IN</v>
          </cell>
          <cell r="AP99">
            <v>624.79486833333328</v>
          </cell>
          <cell r="AQ99">
            <v>510.73149999999993</v>
          </cell>
          <cell r="AR99">
            <v>82.99386874999999</v>
          </cell>
          <cell r="AS99">
            <v>37.028033749999992</v>
          </cell>
          <cell r="AT99">
            <v>630.75340249999988</v>
          </cell>
          <cell r="AU99">
            <v>27.59</v>
          </cell>
          <cell r="AV99">
            <v>0</v>
          </cell>
          <cell r="AW99">
            <v>0</v>
          </cell>
          <cell r="AX99">
            <v>36</v>
          </cell>
          <cell r="AY99">
            <v>0</v>
          </cell>
          <cell r="AZ99">
            <v>0</v>
          </cell>
          <cell r="BA99">
            <v>0</v>
          </cell>
          <cell r="BB99">
            <v>0</v>
          </cell>
          <cell r="BD99">
            <v>0</v>
          </cell>
          <cell r="BE99">
            <v>0</v>
          </cell>
          <cell r="BF99">
            <v>699.34340249999991</v>
          </cell>
          <cell r="BG99">
            <v>3556.7524308333332</v>
          </cell>
          <cell r="BH99">
            <v>383.05</v>
          </cell>
          <cell r="BI99">
            <v>42.753713199166654</v>
          </cell>
          <cell r="BJ99">
            <v>306.97166077001663</v>
          </cell>
          <cell r="BK99">
            <v>54.376081835833332</v>
          </cell>
          <cell r="BL99">
            <v>69.760000000000005</v>
          </cell>
          <cell r="BM99">
            <v>856.91145580501666</v>
          </cell>
        </row>
        <row r="100">
          <cell r="A100">
            <v>89</v>
          </cell>
          <cell r="B100" t="str">
            <v>LOPEZ PEREZ AUGUSTO ANTONIO</v>
          </cell>
          <cell r="C100">
            <v>38931</v>
          </cell>
          <cell r="D100">
            <v>39716</v>
          </cell>
          <cell r="E100" t="str">
            <v>AYTE. PERF.</v>
          </cell>
          <cell r="F100">
            <v>54.15</v>
          </cell>
          <cell r="G100">
            <v>25</v>
          </cell>
          <cell r="H100">
            <v>200</v>
          </cell>
          <cell r="I100">
            <v>1353.75</v>
          </cell>
          <cell r="J100">
            <v>3.8461538461538463</v>
          </cell>
          <cell r="K100">
            <v>208.27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36</v>
          </cell>
          <cell r="Q100">
            <v>304.59375</v>
          </cell>
          <cell r="R100">
            <v>36</v>
          </cell>
          <cell r="S100">
            <v>304.59375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767.99</v>
          </cell>
          <cell r="AH100">
            <v>1626.33</v>
          </cell>
          <cell r="AI100">
            <v>243.95</v>
          </cell>
          <cell r="AJ100">
            <v>0</v>
          </cell>
          <cell r="AK100">
            <v>0</v>
          </cell>
          <cell r="AL100">
            <v>4504.88375</v>
          </cell>
          <cell r="AM100">
            <v>585.63488749999999</v>
          </cell>
          <cell r="AN100">
            <v>5</v>
          </cell>
          <cell r="AO100" t="str">
            <v>ONP</v>
          </cell>
          <cell r="AP100">
            <v>0</v>
          </cell>
          <cell r="AQ100">
            <v>540.58605</v>
          </cell>
          <cell r="AR100">
            <v>87.845233124999993</v>
          </cell>
          <cell r="AS100">
            <v>39.192488624999996</v>
          </cell>
          <cell r="AT100">
            <v>667.62377174999995</v>
          </cell>
          <cell r="AU100">
            <v>6.21</v>
          </cell>
          <cell r="AV100">
            <v>0</v>
          </cell>
          <cell r="AW100">
            <v>0</v>
          </cell>
          <cell r="AX100">
            <v>35</v>
          </cell>
          <cell r="AY100">
            <v>0</v>
          </cell>
          <cell r="AZ100">
            <v>0</v>
          </cell>
          <cell r="BA100">
            <v>0</v>
          </cell>
          <cell r="BB100">
            <v>0</v>
          </cell>
          <cell r="BD100">
            <v>0</v>
          </cell>
          <cell r="BE100">
            <v>0</v>
          </cell>
          <cell r="BF100">
            <v>1299.46865925</v>
          </cell>
          <cell r="BG100">
            <v>3205.4150907499998</v>
          </cell>
          <cell r="BH100">
            <v>405.44</v>
          </cell>
          <cell r="BI100">
            <v>45.803106693750003</v>
          </cell>
          <cell r="BJ100">
            <v>328.86630606112504</v>
          </cell>
          <cell r="BK100">
            <v>58.25443666875001</v>
          </cell>
          <cell r="BL100">
            <v>0</v>
          </cell>
          <cell r="BM100">
            <v>838.36384942362508</v>
          </cell>
        </row>
        <row r="101">
          <cell r="A101">
            <v>90</v>
          </cell>
          <cell r="B101" t="str">
            <v>LOYOLA DE LA ROSA, ROBERTO ORLANDO</v>
          </cell>
          <cell r="C101">
            <v>39150</v>
          </cell>
          <cell r="D101">
            <v>39716</v>
          </cell>
          <cell r="E101" t="str">
            <v>PERFORISTA</v>
          </cell>
          <cell r="F101">
            <v>56.15</v>
          </cell>
          <cell r="G101">
            <v>25</v>
          </cell>
          <cell r="H101">
            <v>200</v>
          </cell>
          <cell r="I101">
            <v>1403.75</v>
          </cell>
          <cell r="J101">
            <v>3.8461538461538463</v>
          </cell>
          <cell r="K101">
            <v>215.96</v>
          </cell>
          <cell r="L101">
            <v>0</v>
          </cell>
          <cell r="M101">
            <v>0</v>
          </cell>
          <cell r="N101">
            <v>31</v>
          </cell>
          <cell r="O101">
            <v>56.833333333333329</v>
          </cell>
          <cell r="P101">
            <v>25</v>
          </cell>
          <cell r="Q101">
            <v>219.3359375</v>
          </cell>
          <cell r="R101">
            <v>25</v>
          </cell>
          <cell r="S101">
            <v>219.3359375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B101">
            <v>40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796.32</v>
          </cell>
          <cell r="AH101">
            <v>0</v>
          </cell>
          <cell r="AI101">
            <v>950.9</v>
          </cell>
          <cell r="AJ101">
            <v>0</v>
          </cell>
          <cell r="AK101">
            <v>0</v>
          </cell>
          <cell r="AL101">
            <v>3683.0992708333333</v>
          </cell>
          <cell r="AM101">
            <v>478.80290520833336</v>
          </cell>
          <cell r="AN101">
            <v>5</v>
          </cell>
          <cell r="AO101" t="str">
            <v>ONP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35.31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D101">
            <v>0</v>
          </cell>
          <cell r="BE101">
            <v>0</v>
          </cell>
          <cell r="BF101">
            <v>519.11290520833336</v>
          </cell>
          <cell r="BG101">
            <v>3163.986365625</v>
          </cell>
          <cell r="BH101">
            <v>331.48</v>
          </cell>
          <cell r="BI101">
            <v>35.383253522604164</v>
          </cell>
          <cell r="BJ101">
            <v>254.0517602922979</v>
          </cell>
          <cell r="BK101">
            <v>45.002002053020831</v>
          </cell>
          <cell r="BL101">
            <v>0</v>
          </cell>
          <cell r="BM101">
            <v>665.91701586792294</v>
          </cell>
        </row>
        <row r="102">
          <cell r="A102">
            <v>91</v>
          </cell>
          <cell r="B102" t="str">
            <v>LUNA TIBURCIO CHARLES</v>
          </cell>
          <cell r="C102">
            <v>38931</v>
          </cell>
          <cell r="D102">
            <v>39716</v>
          </cell>
          <cell r="E102" t="str">
            <v>PERFORISTA</v>
          </cell>
          <cell r="F102">
            <v>56.15</v>
          </cell>
          <cell r="G102">
            <v>22</v>
          </cell>
          <cell r="H102">
            <v>176</v>
          </cell>
          <cell r="I102">
            <v>1235.3</v>
          </cell>
          <cell r="J102">
            <v>3.3846153846153846</v>
          </cell>
          <cell r="K102">
            <v>190.05</v>
          </cell>
          <cell r="L102">
            <v>0</v>
          </cell>
          <cell r="M102">
            <v>0</v>
          </cell>
          <cell r="N102">
            <v>31</v>
          </cell>
          <cell r="O102">
            <v>56.833333333333329</v>
          </cell>
          <cell r="P102">
            <v>18</v>
          </cell>
          <cell r="Q102">
            <v>157.921875</v>
          </cell>
          <cell r="R102">
            <v>18</v>
          </cell>
          <cell r="S102">
            <v>157.921875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  <cell r="AG102">
            <v>796.32</v>
          </cell>
          <cell r="AH102">
            <v>1686.33</v>
          </cell>
          <cell r="AI102">
            <v>252.95</v>
          </cell>
          <cell r="AJ102">
            <v>0</v>
          </cell>
          <cell r="AK102">
            <v>0</v>
          </cell>
          <cell r="AL102">
            <v>4375.7052083333328</v>
          </cell>
          <cell r="AM102">
            <v>0</v>
          </cell>
          <cell r="AN102">
            <v>5</v>
          </cell>
          <cell r="AO102" t="str">
            <v>PF</v>
          </cell>
          <cell r="AP102">
            <v>651.10493499999984</v>
          </cell>
          <cell r="AQ102">
            <v>525.08462499999996</v>
          </cell>
          <cell r="AR102">
            <v>85.326251562499991</v>
          </cell>
          <cell r="AS102">
            <v>38.068635312499993</v>
          </cell>
          <cell r="AT102">
            <v>648.47951187499996</v>
          </cell>
          <cell r="AU102">
            <v>20.3</v>
          </cell>
          <cell r="AV102">
            <v>0</v>
          </cell>
          <cell r="AW102">
            <v>0</v>
          </cell>
          <cell r="AX102">
            <v>36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D102">
            <v>0</v>
          </cell>
          <cell r="BE102">
            <v>0</v>
          </cell>
          <cell r="BF102">
            <v>709.77951187499991</v>
          </cell>
          <cell r="BG102">
            <v>3665.9256964583328</v>
          </cell>
          <cell r="BH102">
            <v>393.81</v>
          </cell>
          <cell r="BI102">
            <v>43.872524498541665</v>
          </cell>
          <cell r="BJ102">
            <v>315.00472589952915</v>
          </cell>
          <cell r="BK102">
            <v>55.799036012708328</v>
          </cell>
          <cell r="BL102">
            <v>71.59</v>
          </cell>
          <cell r="BM102">
            <v>880.07628641077918</v>
          </cell>
        </row>
        <row r="103">
          <cell r="A103">
            <v>92</v>
          </cell>
          <cell r="B103" t="str">
            <v>MAMANI YANA CRISTOBAL</v>
          </cell>
          <cell r="C103">
            <v>38266</v>
          </cell>
          <cell r="D103">
            <v>39716</v>
          </cell>
          <cell r="E103" t="str">
            <v>PERFORISTA</v>
          </cell>
          <cell r="F103">
            <v>56.15</v>
          </cell>
          <cell r="G103">
            <v>25</v>
          </cell>
          <cell r="H103">
            <v>200</v>
          </cell>
          <cell r="I103">
            <v>1403.75</v>
          </cell>
          <cell r="J103">
            <v>4.4615384615384617</v>
          </cell>
          <cell r="K103">
            <v>250.52</v>
          </cell>
          <cell r="L103">
            <v>0</v>
          </cell>
          <cell r="M103">
            <v>0</v>
          </cell>
          <cell r="N103">
            <v>31</v>
          </cell>
          <cell r="O103">
            <v>56.833333333333329</v>
          </cell>
          <cell r="P103">
            <v>40</v>
          </cell>
          <cell r="Q103">
            <v>350.9375</v>
          </cell>
          <cell r="R103">
            <v>40</v>
          </cell>
          <cell r="S103">
            <v>350.9375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8</v>
          </cell>
          <cell r="Y103">
            <v>112.3</v>
          </cell>
          <cell r="Z103">
            <v>0</v>
          </cell>
          <cell r="AB103">
            <v>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767.99</v>
          </cell>
          <cell r="AH103">
            <v>0</v>
          </cell>
          <cell r="AI103">
            <v>1581.16</v>
          </cell>
          <cell r="AJ103">
            <v>4</v>
          </cell>
          <cell r="AK103">
            <v>224.6</v>
          </cell>
          <cell r="AL103">
            <v>4748.0908333333336</v>
          </cell>
          <cell r="AM103">
            <v>0</v>
          </cell>
          <cell r="AN103">
            <v>5</v>
          </cell>
          <cell r="AO103" t="str">
            <v>IN</v>
          </cell>
          <cell r="AP103">
            <v>697.01973433333342</v>
          </cell>
          <cell r="AQ103">
            <v>569.77089999999998</v>
          </cell>
          <cell r="AR103">
            <v>92.587771250000003</v>
          </cell>
          <cell r="AS103">
            <v>41.308390250000002</v>
          </cell>
          <cell r="AT103">
            <v>703.66706150000005</v>
          </cell>
          <cell r="AU103">
            <v>45.01</v>
          </cell>
          <cell r="AV103">
            <v>0</v>
          </cell>
          <cell r="AW103">
            <v>0</v>
          </cell>
          <cell r="AX103">
            <v>35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D103">
            <v>0</v>
          </cell>
          <cell r="BE103">
            <v>0</v>
          </cell>
          <cell r="BF103">
            <v>788.67706150000004</v>
          </cell>
          <cell r="BG103">
            <v>3959.4137718333336</v>
          </cell>
          <cell r="BH103">
            <v>427.33</v>
          </cell>
          <cell r="BI103">
            <v>48.784095914166677</v>
          </cell>
          <cell r="BJ103">
            <v>350.26980866371673</v>
          </cell>
          <cell r="BK103">
            <v>62.045791890833343</v>
          </cell>
          <cell r="BL103">
            <v>79.599999999999994</v>
          </cell>
          <cell r="BM103">
            <v>968.02969646871679</v>
          </cell>
        </row>
        <row r="104">
          <cell r="A104">
            <v>93</v>
          </cell>
          <cell r="B104" t="str">
            <v>MARCAÑAUPA HUACHO VICTOR</v>
          </cell>
          <cell r="C104">
            <v>38541</v>
          </cell>
          <cell r="D104">
            <v>39716</v>
          </cell>
          <cell r="E104" t="str">
            <v>PERFORISTA</v>
          </cell>
          <cell r="F104">
            <v>56.15</v>
          </cell>
          <cell r="G104">
            <v>25</v>
          </cell>
          <cell r="H104">
            <v>200</v>
          </cell>
          <cell r="I104">
            <v>1403.75</v>
          </cell>
          <cell r="J104">
            <v>3.8461538461538463</v>
          </cell>
          <cell r="K104">
            <v>215.96</v>
          </cell>
          <cell r="L104">
            <v>0</v>
          </cell>
          <cell r="M104">
            <v>0</v>
          </cell>
          <cell r="N104">
            <v>31</v>
          </cell>
          <cell r="O104">
            <v>56.833333333333329</v>
          </cell>
          <cell r="P104">
            <v>26</v>
          </cell>
          <cell r="Q104">
            <v>228.109375</v>
          </cell>
          <cell r="R104">
            <v>26</v>
          </cell>
          <cell r="S104">
            <v>228.109375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8</v>
          </cell>
          <cell r="Y104">
            <v>112.3</v>
          </cell>
          <cell r="Z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796.32</v>
          </cell>
          <cell r="AH104">
            <v>1686.33</v>
          </cell>
          <cell r="AI104">
            <v>365.38</v>
          </cell>
          <cell r="AJ104">
            <v>0</v>
          </cell>
          <cell r="AK104">
            <v>0</v>
          </cell>
          <cell r="AL104">
            <v>4864.9827083333339</v>
          </cell>
          <cell r="AM104">
            <v>0</v>
          </cell>
          <cell r="AN104">
            <v>5</v>
          </cell>
          <cell r="AO104" t="str">
            <v>PF</v>
          </cell>
          <cell r="AP104">
            <v>723.90942700000005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  <cell r="AU104">
            <v>44.35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0</v>
          </cell>
          <cell r="BB104">
            <v>0</v>
          </cell>
          <cell r="BD104">
            <v>0</v>
          </cell>
          <cell r="BE104">
            <v>0</v>
          </cell>
          <cell r="BF104">
            <v>49.35</v>
          </cell>
          <cell r="BG104">
            <v>4815.6327083333335</v>
          </cell>
          <cell r="BH104">
            <v>437.85</v>
          </cell>
          <cell r="BI104">
            <v>49.86959881604168</v>
          </cell>
          <cell r="BJ104">
            <v>358.06371949917917</v>
          </cell>
          <cell r="BK104">
            <v>63.426382960208343</v>
          </cell>
          <cell r="BL104">
            <v>81.37</v>
          </cell>
          <cell r="BM104">
            <v>990.5797012754291</v>
          </cell>
        </row>
        <row r="105">
          <cell r="A105">
            <v>94</v>
          </cell>
          <cell r="B105" t="str">
            <v xml:space="preserve">MARCAÑAUPA  HUACHO SALVADOR </v>
          </cell>
          <cell r="C105">
            <v>39681</v>
          </cell>
          <cell r="D105">
            <v>39716</v>
          </cell>
          <cell r="E105" t="str">
            <v>PERFORISTA</v>
          </cell>
          <cell r="F105">
            <v>54.15</v>
          </cell>
          <cell r="G105">
            <v>25</v>
          </cell>
          <cell r="H105">
            <v>200</v>
          </cell>
          <cell r="I105">
            <v>1353.75</v>
          </cell>
          <cell r="J105">
            <v>3.8461538461538463</v>
          </cell>
          <cell r="K105">
            <v>208.27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44</v>
          </cell>
          <cell r="Q105">
            <v>392.58749999999998</v>
          </cell>
          <cell r="R105">
            <v>40</v>
          </cell>
          <cell r="S105">
            <v>338.4375</v>
          </cell>
          <cell r="T105">
            <v>0</v>
          </cell>
          <cell r="U105">
            <v>0</v>
          </cell>
          <cell r="V105">
            <v>4</v>
          </cell>
          <cell r="W105">
            <v>54.15</v>
          </cell>
          <cell r="X105">
            <v>16</v>
          </cell>
          <cell r="Y105">
            <v>216.6</v>
          </cell>
          <cell r="Z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270.75</v>
          </cell>
          <cell r="AH105">
            <v>0</v>
          </cell>
          <cell r="AI105">
            <v>157.94</v>
          </cell>
          <cell r="AJ105">
            <v>0</v>
          </cell>
          <cell r="AK105">
            <v>0</v>
          </cell>
          <cell r="AL105">
            <v>2599.8975</v>
          </cell>
          <cell r="AM105">
            <v>0</v>
          </cell>
          <cell r="AN105">
            <v>0</v>
          </cell>
          <cell r="AO105" t="str">
            <v>PF</v>
          </cell>
          <cell r="AP105">
            <v>386.86474799999996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2599.8975</v>
          </cell>
          <cell r="BH105">
            <v>233.99</v>
          </cell>
          <cell r="BI105">
            <v>28.548360907500005</v>
          </cell>
          <cell r="BJ105">
            <v>204.97723131585002</v>
          </cell>
          <cell r="BK105">
            <v>36.309080377500003</v>
          </cell>
          <cell r="BL105">
            <v>46.58</v>
          </cell>
          <cell r="BM105">
            <v>550.40467260084995</v>
          </cell>
        </row>
        <row r="106">
          <cell r="A106">
            <v>95</v>
          </cell>
          <cell r="B106" t="str">
            <v>MARCAÑAUPA LIMA NAZARIO RICARDO</v>
          </cell>
          <cell r="C106">
            <v>36151</v>
          </cell>
          <cell r="D106">
            <v>39716</v>
          </cell>
          <cell r="E106" t="str">
            <v>OP. SCOOP</v>
          </cell>
          <cell r="F106">
            <v>59.65</v>
          </cell>
          <cell r="G106">
            <v>26</v>
          </cell>
          <cell r="H106">
            <v>208</v>
          </cell>
          <cell r="I106">
            <v>1550.9</v>
          </cell>
          <cell r="J106">
            <v>4</v>
          </cell>
          <cell r="K106">
            <v>238.6</v>
          </cell>
          <cell r="L106">
            <v>0</v>
          </cell>
          <cell r="M106">
            <v>0</v>
          </cell>
          <cell r="N106">
            <v>31</v>
          </cell>
          <cell r="O106">
            <v>56.833333333333329</v>
          </cell>
          <cell r="P106">
            <v>34</v>
          </cell>
          <cell r="Q106">
            <v>316.890625</v>
          </cell>
          <cell r="R106">
            <v>34</v>
          </cell>
          <cell r="S106">
            <v>316.890625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16</v>
          </cell>
          <cell r="Y106">
            <v>238.6</v>
          </cell>
          <cell r="Z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845.04</v>
          </cell>
          <cell r="AH106">
            <v>1789.5</v>
          </cell>
          <cell r="AI106">
            <v>959.37</v>
          </cell>
          <cell r="AJ106">
            <v>0</v>
          </cell>
          <cell r="AK106">
            <v>0</v>
          </cell>
          <cell r="AL106">
            <v>5995.7339583333332</v>
          </cell>
          <cell r="AM106">
            <v>0</v>
          </cell>
          <cell r="AN106">
            <v>5</v>
          </cell>
          <cell r="AO106" t="str">
            <v>IN</v>
          </cell>
          <cell r="AP106">
            <v>880.17374508333342</v>
          </cell>
          <cell r="AQ106">
            <v>719.48807499999998</v>
          </cell>
          <cell r="AR106">
            <v>116.9168121875</v>
          </cell>
          <cell r="AS106">
            <v>52.162885437499995</v>
          </cell>
          <cell r="AT106">
            <v>888.56777262499998</v>
          </cell>
          <cell r="AU106">
            <v>60.88</v>
          </cell>
          <cell r="AV106">
            <v>3029.8081279499997</v>
          </cell>
          <cell r="AW106">
            <v>0</v>
          </cell>
          <cell r="AX106">
            <v>35</v>
          </cell>
          <cell r="AY106">
            <v>0</v>
          </cell>
          <cell r="AZ106">
            <v>0</v>
          </cell>
          <cell r="BA106">
            <v>0</v>
          </cell>
          <cell r="BB106">
            <v>0</v>
          </cell>
          <cell r="BD106">
            <v>0</v>
          </cell>
          <cell r="BE106">
            <v>0</v>
          </cell>
          <cell r="BF106">
            <v>4019.2559005749999</v>
          </cell>
          <cell r="BG106">
            <v>1976.4780577583333</v>
          </cell>
          <cell r="BH106">
            <v>539.62</v>
          </cell>
          <cell r="BI106">
            <v>63.132055847291667</v>
          </cell>
          <cell r="BJ106">
            <v>453.28816098355418</v>
          </cell>
          <cell r="BK106">
            <v>80.294168116458337</v>
          </cell>
          <cell r="BL106">
            <v>103.01</v>
          </cell>
          <cell r="BM106">
            <v>1239.3443849473042</v>
          </cell>
        </row>
        <row r="107">
          <cell r="A107">
            <v>96</v>
          </cell>
          <cell r="B107" t="str">
            <v>MARCELO LUNA  JOSE MIGUEL</v>
          </cell>
          <cell r="C107">
            <v>39356</v>
          </cell>
          <cell r="D107">
            <v>39716</v>
          </cell>
          <cell r="E107" t="str">
            <v>AYTE. PERF.</v>
          </cell>
          <cell r="F107">
            <v>54.15</v>
          </cell>
          <cell r="G107">
            <v>24</v>
          </cell>
          <cell r="H107">
            <v>192</v>
          </cell>
          <cell r="I107">
            <v>1299.5999999999999</v>
          </cell>
          <cell r="J107">
            <v>3.6923076923076925</v>
          </cell>
          <cell r="K107">
            <v>199.94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32</v>
          </cell>
          <cell r="Q107">
            <v>270.75</v>
          </cell>
          <cell r="R107">
            <v>32</v>
          </cell>
          <cell r="S107">
            <v>270.75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8</v>
          </cell>
          <cell r="Y107">
            <v>108.3</v>
          </cell>
          <cell r="Z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  <cell r="AG107">
            <v>767.99</v>
          </cell>
          <cell r="AH107">
            <v>0</v>
          </cell>
          <cell r="AI107">
            <v>1603.75</v>
          </cell>
          <cell r="AJ107">
            <v>0</v>
          </cell>
          <cell r="AK107">
            <v>0</v>
          </cell>
          <cell r="AL107">
            <v>4250.33</v>
          </cell>
          <cell r="AM107">
            <v>552.54290000000003</v>
          </cell>
          <cell r="AN107">
            <v>5</v>
          </cell>
          <cell r="AO107" t="str">
            <v>ONP</v>
          </cell>
          <cell r="AP107">
            <v>0</v>
          </cell>
          <cell r="AQ107">
            <v>510.03959999999995</v>
          </cell>
          <cell r="AR107">
            <v>82.881434999999996</v>
          </cell>
          <cell r="AS107">
            <v>36.977870999999993</v>
          </cell>
          <cell r="AT107">
            <v>629.8989059999999</v>
          </cell>
          <cell r="AU107">
            <v>-30.49</v>
          </cell>
          <cell r="AV107">
            <v>0</v>
          </cell>
          <cell r="AW107">
            <v>0</v>
          </cell>
          <cell r="AX107">
            <v>50.15</v>
          </cell>
          <cell r="AY107">
            <v>0</v>
          </cell>
          <cell r="AZ107">
            <v>0</v>
          </cell>
          <cell r="BA107">
            <v>0</v>
          </cell>
          <cell r="BB107">
            <v>0</v>
          </cell>
          <cell r="BD107">
            <v>0</v>
          </cell>
          <cell r="BE107">
            <v>0</v>
          </cell>
          <cell r="BF107">
            <v>1207.1018059999999</v>
          </cell>
          <cell r="BG107">
            <v>3043.2281940000003</v>
          </cell>
          <cell r="BH107">
            <v>382.53</v>
          </cell>
          <cell r="BI107">
            <v>42.683041379999999</v>
          </cell>
          <cell r="BJ107">
            <v>306.46423710840003</v>
          </cell>
          <cell r="BK107">
            <v>54.286198260000006</v>
          </cell>
          <cell r="BL107">
            <v>0</v>
          </cell>
          <cell r="BM107">
            <v>785.96347674840001</v>
          </cell>
        </row>
        <row r="108">
          <cell r="A108">
            <v>97</v>
          </cell>
          <cell r="B108" t="str">
            <v>MARTINEZ ALEJANDRO JUAN MOISES</v>
          </cell>
          <cell r="C108">
            <v>38335</v>
          </cell>
          <cell r="D108">
            <v>39716</v>
          </cell>
          <cell r="E108" t="str">
            <v>OP. SCOOP</v>
          </cell>
          <cell r="F108">
            <v>59.65</v>
          </cell>
          <cell r="G108">
            <v>24</v>
          </cell>
          <cell r="H108">
            <v>192</v>
          </cell>
          <cell r="I108">
            <v>1431.6</v>
          </cell>
          <cell r="J108">
            <v>3.6923076923076925</v>
          </cell>
          <cell r="K108">
            <v>220.25</v>
          </cell>
          <cell r="L108">
            <v>0</v>
          </cell>
          <cell r="M108">
            <v>0</v>
          </cell>
          <cell r="N108">
            <v>31</v>
          </cell>
          <cell r="O108">
            <v>56.833333333333329</v>
          </cell>
          <cell r="P108">
            <v>24</v>
          </cell>
          <cell r="Q108">
            <v>223.6875</v>
          </cell>
          <cell r="R108">
            <v>24</v>
          </cell>
          <cell r="S108">
            <v>223.6875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8</v>
          </cell>
          <cell r="Y108">
            <v>119.3</v>
          </cell>
          <cell r="Z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  <cell r="AG108">
            <v>845.91</v>
          </cell>
          <cell r="AH108">
            <v>1791.33</v>
          </cell>
          <cell r="AI108">
            <v>1403.21</v>
          </cell>
          <cell r="AJ108">
            <v>0</v>
          </cell>
          <cell r="AK108">
            <v>0</v>
          </cell>
          <cell r="AL108">
            <v>6092.1208333333334</v>
          </cell>
          <cell r="AM108">
            <v>0</v>
          </cell>
          <cell r="AN108">
            <v>5</v>
          </cell>
          <cell r="AO108" t="str">
            <v>PF</v>
          </cell>
          <cell r="AP108">
            <v>906.50757999999996</v>
          </cell>
          <cell r="AQ108">
            <v>731.05449999999996</v>
          </cell>
          <cell r="AR108">
            <v>118.79635625</v>
          </cell>
          <cell r="AS108">
            <v>53.001451249999995</v>
          </cell>
          <cell r="AT108">
            <v>902.85230749999994</v>
          </cell>
          <cell r="AU108">
            <v>61.38</v>
          </cell>
          <cell r="AV108">
            <v>0</v>
          </cell>
          <cell r="AW108">
            <v>0</v>
          </cell>
          <cell r="AX108">
            <v>35</v>
          </cell>
          <cell r="AY108">
            <v>0</v>
          </cell>
          <cell r="AZ108">
            <v>0</v>
          </cell>
          <cell r="BA108">
            <v>0</v>
          </cell>
          <cell r="BB108">
            <v>0</v>
          </cell>
          <cell r="BD108">
            <v>0</v>
          </cell>
          <cell r="BE108">
            <v>0</v>
          </cell>
          <cell r="BF108">
            <v>1004.2323074999999</v>
          </cell>
          <cell r="BG108">
            <v>5087.8885258333339</v>
          </cell>
          <cell r="BH108">
            <v>548.29</v>
          </cell>
          <cell r="BI108">
            <v>64.30280618416667</v>
          </cell>
          <cell r="BJ108">
            <v>461.69414840231673</v>
          </cell>
          <cell r="BK108">
            <v>81.78318068083334</v>
          </cell>
          <cell r="BL108">
            <v>104.92</v>
          </cell>
          <cell r="BM108">
            <v>1260.9901352673166</v>
          </cell>
        </row>
        <row r="109">
          <cell r="A109">
            <v>98</v>
          </cell>
          <cell r="B109" t="str">
            <v>MAYTA LEON EFRAIN</v>
          </cell>
          <cell r="C109">
            <v>38236</v>
          </cell>
          <cell r="D109">
            <v>39716</v>
          </cell>
          <cell r="E109" t="str">
            <v>PERFORISTA</v>
          </cell>
          <cell r="F109">
            <v>56.15</v>
          </cell>
          <cell r="G109">
            <v>24</v>
          </cell>
          <cell r="H109">
            <v>192</v>
          </cell>
          <cell r="I109">
            <v>1347.6</v>
          </cell>
          <cell r="J109">
            <v>3.6923076923076925</v>
          </cell>
          <cell r="K109">
            <v>207.32</v>
          </cell>
          <cell r="L109">
            <v>0</v>
          </cell>
          <cell r="M109">
            <v>0</v>
          </cell>
          <cell r="N109">
            <v>31</v>
          </cell>
          <cell r="O109">
            <v>56.833333333333329</v>
          </cell>
          <cell r="P109">
            <v>46</v>
          </cell>
          <cell r="Q109">
            <v>403.578125</v>
          </cell>
          <cell r="R109">
            <v>46</v>
          </cell>
          <cell r="S109">
            <v>403.578125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8</v>
          </cell>
          <cell r="Y109">
            <v>112.3</v>
          </cell>
          <cell r="Z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  <cell r="AG109">
            <v>796.32</v>
          </cell>
          <cell r="AH109">
            <v>1686.33</v>
          </cell>
          <cell r="AI109">
            <v>93.69</v>
          </cell>
          <cell r="AJ109">
            <v>0</v>
          </cell>
          <cell r="AK109">
            <v>0</v>
          </cell>
          <cell r="AL109">
            <v>4703.9714583333325</v>
          </cell>
          <cell r="AM109">
            <v>0</v>
          </cell>
          <cell r="AN109">
            <v>5</v>
          </cell>
          <cell r="AO109" t="str">
            <v>IN</v>
          </cell>
          <cell r="AP109">
            <v>690.54301008333323</v>
          </cell>
          <cell r="AQ109">
            <v>564.47657499999991</v>
          </cell>
          <cell r="AR109">
            <v>91.727443437499986</v>
          </cell>
          <cell r="AS109">
            <v>40.924551687499992</v>
          </cell>
          <cell r="AT109">
            <v>697.1285701249999</v>
          </cell>
          <cell r="AU109">
            <v>65.819999999999993</v>
          </cell>
          <cell r="AV109">
            <v>0</v>
          </cell>
          <cell r="AW109">
            <v>0</v>
          </cell>
          <cell r="AX109">
            <v>35</v>
          </cell>
          <cell r="AY109">
            <v>0</v>
          </cell>
          <cell r="AZ109">
            <v>0</v>
          </cell>
          <cell r="BA109">
            <v>0</v>
          </cell>
          <cell r="BB109">
            <v>0</v>
          </cell>
          <cell r="BD109">
            <v>0</v>
          </cell>
          <cell r="BE109">
            <v>0</v>
          </cell>
          <cell r="BF109">
            <v>802.94857012499983</v>
          </cell>
          <cell r="BG109">
            <v>3901.0228882083329</v>
          </cell>
          <cell r="BH109">
            <v>423.36</v>
          </cell>
          <cell r="BI109">
            <v>47.896083924791654</v>
          </cell>
          <cell r="BJ109">
            <v>343.89388258000412</v>
          </cell>
          <cell r="BK109">
            <v>60.91637858395832</v>
          </cell>
          <cell r="BL109">
            <v>78.150000000000006</v>
          </cell>
          <cell r="BM109">
            <v>954.21634508875411</v>
          </cell>
        </row>
        <row r="110">
          <cell r="A110">
            <v>99</v>
          </cell>
          <cell r="B110" t="str">
            <v>MELENDREZ ESPINOZA LUIS ANTONIO</v>
          </cell>
          <cell r="C110">
            <v>39519</v>
          </cell>
          <cell r="D110">
            <v>39716</v>
          </cell>
          <cell r="E110" t="str">
            <v>CHOFER</v>
          </cell>
          <cell r="F110">
            <v>54.15</v>
          </cell>
          <cell r="G110">
            <v>26</v>
          </cell>
          <cell r="H110">
            <v>208</v>
          </cell>
          <cell r="I110">
            <v>1407.9</v>
          </cell>
          <cell r="J110">
            <v>4</v>
          </cell>
          <cell r="K110">
            <v>216.6</v>
          </cell>
          <cell r="L110">
            <v>0</v>
          </cell>
          <cell r="M110">
            <v>0</v>
          </cell>
          <cell r="N110">
            <v>31</v>
          </cell>
          <cell r="O110">
            <v>56.833333333333329</v>
          </cell>
          <cell r="P110">
            <v>48</v>
          </cell>
          <cell r="Q110">
            <v>426.43124999999998</v>
          </cell>
          <cell r="R110">
            <v>44</v>
          </cell>
          <cell r="S110">
            <v>372.28125</v>
          </cell>
          <cell r="T110">
            <v>0</v>
          </cell>
          <cell r="U110">
            <v>0</v>
          </cell>
          <cell r="V110">
            <v>4</v>
          </cell>
          <cell r="W110">
            <v>54.15</v>
          </cell>
          <cell r="X110">
            <v>24</v>
          </cell>
          <cell r="Y110">
            <v>324.89999999999998</v>
          </cell>
          <cell r="Z110">
            <v>0</v>
          </cell>
          <cell r="AB110">
            <v>433.2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G110">
            <v>767.99</v>
          </cell>
          <cell r="AH110">
            <v>0</v>
          </cell>
          <cell r="AI110">
            <v>876.41</v>
          </cell>
          <cell r="AJ110">
            <v>0</v>
          </cell>
          <cell r="AK110">
            <v>0</v>
          </cell>
          <cell r="AL110">
            <v>4510.2645833333327</v>
          </cell>
          <cell r="AM110">
            <v>0</v>
          </cell>
          <cell r="AN110">
            <v>5</v>
          </cell>
          <cell r="AO110" t="str">
            <v>PF</v>
          </cell>
          <cell r="AP110">
            <v>671.12736999999981</v>
          </cell>
          <cell r="AQ110">
            <v>541.23174999999992</v>
          </cell>
          <cell r="AR110">
            <v>87.950159374999984</v>
          </cell>
          <cell r="AS110">
            <v>39.239301874999988</v>
          </cell>
          <cell r="AT110">
            <v>668.42121124999994</v>
          </cell>
          <cell r="AU110">
            <v>0</v>
          </cell>
          <cell r="AV110">
            <v>0</v>
          </cell>
          <cell r="AW110">
            <v>0</v>
          </cell>
          <cell r="AX110">
            <v>36</v>
          </cell>
          <cell r="AY110">
            <v>0</v>
          </cell>
          <cell r="AZ110">
            <v>0</v>
          </cell>
          <cell r="BA110">
            <v>0</v>
          </cell>
          <cell r="BB110">
            <v>0</v>
          </cell>
          <cell r="BD110">
            <v>0</v>
          </cell>
          <cell r="BE110">
            <v>0</v>
          </cell>
          <cell r="BF110">
            <v>709.42121124999994</v>
          </cell>
          <cell r="BG110">
            <v>3800.8433720833327</v>
          </cell>
          <cell r="BH110">
            <v>405.92</v>
          </cell>
          <cell r="BI110">
            <v>45.869059567916658</v>
          </cell>
          <cell r="BJ110">
            <v>329.33984769764163</v>
          </cell>
          <cell r="BK110">
            <v>58.338318479583329</v>
          </cell>
          <cell r="BL110">
            <v>74.849999999999994</v>
          </cell>
          <cell r="BM110">
            <v>914.31722574514163</v>
          </cell>
        </row>
        <row r="111">
          <cell r="A111">
            <v>100</v>
          </cell>
          <cell r="B111" t="str">
            <v>MELGAR MELGAREJO ANDRES</v>
          </cell>
          <cell r="C111">
            <v>37865</v>
          </cell>
          <cell r="D111">
            <v>39716</v>
          </cell>
          <cell r="E111" t="str">
            <v>PERFORISTA</v>
          </cell>
          <cell r="F111">
            <v>56.15</v>
          </cell>
          <cell r="G111">
            <v>25</v>
          </cell>
          <cell r="H111">
            <v>200</v>
          </cell>
          <cell r="I111">
            <v>1403.75</v>
          </cell>
          <cell r="J111">
            <v>3.8461538461538463</v>
          </cell>
          <cell r="K111">
            <v>215.96</v>
          </cell>
          <cell r="L111">
            <v>0</v>
          </cell>
          <cell r="M111">
            <v>0</v>
          </cell>
          <cell r="N111">
            <v>31</v>
          </cell>
          <cell r="O111">
            <v>56.833333333333329</v>
          </cell>
          <cell r="P111">
            <v>44</v>
          </cell>
          <cell r="Q111">
            <v>386.03125</v>
          </cell>
          <cell r="R111">
            <v>44</v>
          </cell>
          <cell r="S111">
            <v>386.03125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8</v>
          </cell>
          <cell r="Y111">
            <v>112.3</v>
          </cell>
          <cell r="Z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  <cell r="AG111">
            <v>796.32</v>
          </cell>
          <cell r="AH111">
            <v>1686.33</v>
          </cell>
          <cell r="AI111">
            <v>117.11</v>
          </cell>
          <cell r="AJ111">
            <v>0</v>
          </cell>
          <cell r="AK111">
            <v>0</v>
          </cell>
          <cell r="AL111">
            <v>4774.6345833333335</v>
          </cell>
          <cell r="AM111">
            <v>0</v>
          </cell>
          <cell r="AN111">
            <v>5</v>
          </cell>
          <cell r="AO111" t="str">
            <v>PF</v>
          </cell>
          <cell r="AP111">
            <v>710.46562599999993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0</v>
          </cell>
          <cell r="BB111">
            <v>0</v>
          </cell>
          <cell r="BD111">
            <v>0</v>
          </cell>
          <cell r="BE111">
            <v>0</v>
          </cell>
          <cell r="BF111">
            <v>5</v>
          </cell>
          <cell r="BG111">
            <v>4769.6345833333335</v>
          </cell>
          <cell r="BH111">
            <v>429.72</v>
          </cell>
          <cell r="BI111">
            <v>48.762201847916671</v>
          </cell>
          <cell r="BJ111">
            <v>350.11260926804169</v>
          </cell>
          <cell r="BK111">
            <v>62.017946039583336</v>
          </cell>
          <cell r="BL111">
            <v>79.569999999999993</v>
          </cell>
          <cell r="BM111">
            <v>970.18275715554171</v>
          </cell>
        </row>
        <row r="112">
          <cell r="A112">
            <v>101</v>
          </cell>
          <cell r="B112" t="str">
            <v>MENDOZA  ACAPANA ANTONIO OLGER</v>
          </cell>
          <cell r="C112">
            <v>39356</v>
          </cell>
          <cell r="D112">
            <v>39716</v>
          </cell>
          <cell r="E112" t="str">
            <v>AYTE. PERF.</v>
          </cell>
          <cell r="F112">
            <v>54.15</v>
          </cell>
          <cell r="G112">
            <v>24</v>
          </cell>
          <cell r="H112">
            <v>192</v>
          </cell>
          <cell r="I112">
            <v>1299.5999999999999</v>
          </cell>
          <cell r="J112">
            <v>3.8461538461538463</v>
          </cell>
          <cell r="K112">
            <v>208.27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36</v>
          </cell>
          <cell r="Q112">
            <v>304.59375</v>
          </cell>
          <cell r="R112">
            <v>36</v>
          </cell>
          <cell r="S112">
            <v>304.59375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  <cell r="AG112">
            <v>767.99</v>
          </cell>
          <cell r="AH112">
            <v>0</v>
          </cell>
          <cell r="AI112">
            <v>1603.75</v>
          </cell>
          <cell r="AJ112">
            <v>1</v>
          </cell>
          <cell r="AK112">
            <v>54.15</v>
          </cell>
          <cell r="AL112">
            <v>4238.3537499999993</v>
          </cell>
          <cell r="AM112">
            <v>0</v>
          </cell>
          <cell r="AN112">
            <v>5</v>
          </cell>
          <cell r="AO112" t="str">
            <v>HR</v>
          </cell>
          <cell r="AP112">
            <v>628.54786112499983</v>
          </cell>
          <cell r="AQ112">
            <v>508.60244999999992</v>
          </cell>
          <cell r="AR112">
            <v>82.647898124999983</v>
          </cell>
          <cell r="AS112">
            <v>36.873677624999992</v>
          </cell>
          <cell r="AT112">
            <v>628.12402574999987</v>
          </cell>
          <cell r="AU112">
            <v>-25.67</v>
          </cell>
          <cell r="AV112">
            <v>0</v>
          </cell>
          <cell r="AW112">
            <v>0</v>
          </cell>
          <cell r="AX112">
            <v>0</v>
          </cell>
          <cell r="AY112">
            <v>0</v>
          </cell>
          <cell r="AZ112">
            <v>0</v>
          </cell>
          <cell r="BA112">
            <v>0</v>
          </cell>
          <cell r="BB112">
            <v>0</v>
          </cell>
          <cell r="BD112">
            <v>0</v>
          </cell>
          <cell r="BE112">
            <v>0</v>
          </cell>
          <cell r="BF112">
            <v>607.45402574999991</v>
          </cell>
          <cell r="BG112">
            <v>3630.8997242499995</v>
          </cell>
          <cell r="BH112">
            <v>381.45</v>
          </cell>
          <cell r="BI112">
            <v>42.536248483750001</v>
          </cell>
          <cell r="BJ112">
            <v>305.41026411332496</v>
          </cell>
          <cell r="BK112">
            <v>54.09950049874999</v>
          </cell>
          <cell r="BL112">
            <v>69.41</v>
          </cell>
          <cell r="BM112">
            <v>852.90601309582496</v>
          </cell>
        </row>
        <row r="113">
          <cell r="A113">
            <v>102</v>
          </cell>
          <cell r="B113" t="str">
            <v xml:space="preserve">MENDOZA BUSTAMANTE ESTEBAN JACINTO </v>
          </cell>
          <cell r="C113">
            <v>39683</v>
          </cell>
          <cell r="D113">
            <v>39716</v>
          </cell>
          <cell r="E113" t="str">
            <v>PERFORISTA</v>
          </cell>
          <cell r="F113">
            <v>56.15</v>
          </cell>
          <cell r="G113">
            <v>25</v>
          </cell>
          <cell r="H113">
            <v>200</v>
          </cell>
          <cell r="I113">
            <v>1403.75</v>
          </cell>
          <cell r="J113">
            <v>3.8461538461538463</v>
          </cell>
          <cell r="K113">
            <v>215.96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34</v>
          </cell>
          <cell r="Q113">
            <v>298.296875</v>
          </cell>
          <cell r="R113">
            <v>34</v>
          </cell>
          <cell r="S113">
            <v>298.296875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8</v>
          </cell>
          <cell r="Y113">
            <v>112.3</v>
          </cell>
          <cell r="Z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281.06</v>
          </cell>
          <cell r="AH113">
            <v>0</v>
          </cell>
          <cell r="AI113">
            <v>149.9</v>
          </cell>
          <cell r="AJ113">
            <v>0</v>
          </cell>
          <cell r="AK113">
            <v>0</v>
          </cell>
          <cell r="AL113">
            <v>2461.2668750000003</v>
          </cell>
          <cell r="AM113">
            <v>0</v>
          </cell>
          <cell r="AN113">
            <v>0</v>
          </cell>
          <cell r="AO113" t="str">
            <v>HR</v>
          </cell>
          <cell r="AP113">
            <v>365.00587756250002</v>
          </cell>
          <cell r="AQ113">
            <v>295.35202500000003</v>
          </cell>
          <cell r="AR113">
            <v>47.994704062500006</v>
          </cell>
          <cell r="AS113">
            <v>21.413021812500002</v>
          </cell>
          <cell r="AT113">
            <v>364.75975087500001</v>
          </cell>
          <cell r="AU113">
            <v>0</v>
          </cell>
          <cell r="AV113">
            <v>0</v>
          </cell>
          <cell r="AW113">
            <v>0</v>
          </cell>
          <cell r="AX113">
            <v>0</v>
          </cell>
          <cell r="AY113">
            <v>0</v>
          </cell>
          <cell r="AZ113">
            <v>0</v>
          </cell>
          <cell r="BA113">
            <v>0</v>
          </cell>
          <cell r="BB113">
            <v>0</v>
          </cell>
          <cell r="BD113">
            <v>0</v>
          </cell>
          <cell r="BE113">
            <v>0</v>
          </cell>
          <cell r="BF113">
            <v>364.75975087500001</v>
          </cell>
          <cell r="BG113">
            <v>2096.5071241250002</v>
          </cell>
          <cell r="BH113">
            <v>221.51</v>
          </cell>
          <cell r="BI113">
            <v>26.722795666875005</v>
          </cell>
          <cell r="BJ113">
            <v>191.86967288816254</v>
          </cell>
          <cell r="BK113">
            <v>33.987244974375002</v>
          </cell>
          <cell r="BL113">
            <v>43.6</v>
          </cell>
          <cell r="BM113">
            <v>517.68971352941253</v>
          </cell>
        </row>
        <row r="114">
          <cell r="A114">
            <v>103</v>
          </cell>
          <cell r="B114" t="str">
            <v>MENDOZA ESPINOZA JOSE LUIS</v>
          </cell>
          <cell r="C114">
            <v>38931</v>
          </cell>
          <cell r="D114">
            <v>39716</v>
          </cell>
          <cell r="E114" t="str">
            <v>AYTE. PERF.</v>
          </cell>
          <cell r="F114">
            <v>54.15</v>
          </cell>
          <cell r="G114">
            <v>22</v>
          </cell>
          <cell r="H114">
            <v>176</v>
          </cell>
          <cell r="I114">
            <v>1191.3</v>
          </cell>
          <cell r="J114">
            <v>3.3846153846153846</v>
          </cell>
          <cell r="K114">
            <v>183.28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40</v>
          </cell>
          <cell r="Q114">
            <v>338.4375</v>
          </cell>
          <cell r="R114">
            <v>40</v>
          </cell>
          <cell r="S114">
            <v>338.4375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767.99</v>
          </cell>
          <cell r="AH114">
            <v>0</v>
          </cell>
          <cell r="AI114">
            <v>1603.75</v>
          </cell>
          <cell r="AJ114">
            <v>0</v>
          </cell>
          <cell r="AK114">
            <v>0</v>
          </cell>
          <cell r="AL114">
            <v>4084.7574999999997</v>
          </cell>
          <cell r="AM114">
            <v>0</v>
          </cell>
          <cell r="AN114">
            <v>5</v>
          </cell>
          <cell r="AO114" t="str">
            <v>HR</v>
          </cell>
          <cell r="AP114">
            <v>605.76953724999987</v>
          </cell>
          <cell r="AQ114">
            <v>490.17089999999996</v>
          </cell>
          <cell r="AR114">
            <v>79.652771250000001</v>
          </cell>
          <cell r="AS114">
            <v>35.537390249999994</v>
          </cell>
          <cell r="AT114">
            <v>605.36106150000001</v>
          </cell>
          <cell r="AU114">
            <v>22.74</v>
          </cell>
          <cell r="AV114">
            <v>0</v>
          </cell>
          <cell r="AW114">
            <v>0</v>
          </cell>
          <cell r="AX114">
            <v>52.5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D114">
            <v>0</v>
          </cell>
          <cell r="BE114">
            <v>0</v>
          </cell>
          <cell r="BF114">
            <v>685.60106150000001</v>
          </cell>
          <cell r="BG114">
            <v>3399.1564384999997</v>
          </cell>
          <cell r="BH114">
            <v>367.63</v>
          </cell>
          <cell r="BI114">
            <v>40.653619247500004</v>
          </cell>
          <cell r="BJ114">
            <v>291.89298619705005</v>
          </cell>
          <cell r="BK114">
            <v>51.705088557500005</v>
          </cell>
          <cell r="BL114">
            <v>66.34</v>
          </cell>
          <cell r="BM114">
            <v>818.22169400205007</v>
          </cell>
        </row>
        <row r="115">
          <cell r="A115">
            <v>104</v>
          </cell>
          <cell r="B115" t="str">
            <v>MEZA RAMOS VICTOR</v>
          </cell>
          <cell r="C115">
            <v>34851</v>
          </cell>
          <cell r="D115">
            <v>39716</v>
          </cell>
          <cell r="E115" t="str">
            <v>PERFORISTA</v>
          </cell>
          <cell r="F115">
            <v>56.15</v>
          </cell>
          <cell r="G115">
            <v>25</v>
          </cell>
          <cell r="H115">
            <v>200</v>
          </cell>
          <cell r="I115">
            <v>1403.75</v>
          </cell>
          <cell r="J115">
            <v>3.8461538461538463</v>
          </cell>
          <cell r="K115">
            <v>215.96</v>
          </cell>
          <cell r="L115">
            <v>0</v>
          </cell>
          <cell r="M115">
            <v>0</v>
          </cell>
          <cell r="N115">
            <v>31</v>
          </cell>
          <cell r="O115">
            <v>56.833333333333329</v>
          </cell>
          <cell r="P115">
            <v>47</v>
          </cell>
          <cell r="Q115">
            <v>412.3515625</v>
          </cell>
          <cell r="R115">
            <v>47</v>
          </cell>
          <cell r="S115">
            <v>412.3515625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8</v>
          </cell>
          <cell r="Y115">
            <v>112.3</v>
          </cell>
          <cell r="Z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796.32</v>
          </cell>
          <cell r="AH115">
            <v>1686.33</v>
          </cell>
          <cell r="AI115">
            <v>538.69000000000005</v>
          </cell>
          <cell r="AJ115">
            <v>0</v>
          </cell>
          <cell r="AK115">
            <v>0</v>
          </cell>
          <cell r="AL115">
            <v>5222.5348958333343</v>
          </cell>
          <cell r="AM115">
            <v>678.92953645833347</v>
          </cell>
          <cell r="AN115">
            <v>5</v>
          </cell>
          <cell r="AO115" t="str">
            <v>ONP</v>
          </cell>
          <cell r="AP115">
            <v>0</v>
          </cell>
          <cell r="AQ115">
            <v>626.7041875000001</v>
          </cell>
          <cell r="AR115">
            <v>101.83943046875002</v>
          </cell>
          <cell r="AS115">
            <v>45.436053593750003</v>
          </cell>
          <cell r="AT115">
            <v>773.97967156250013</v>
          </cell>
          <cell r="AU115">
            <v>62.28</v>
          </cell>
          <cell r="AV115">
            <v>0</v>
          </cell>
          <cell r="AW115">
            <v>0</v>
          </cell>
          <cell r="AX115">
            <v>35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D115">
            <v>0</v>
          </cell>
          <cell r="BE115">
            <v>0</v>
          </cell>
          <cell r="BF115">
            <v>1555.1892080208336</v>
          </cell>
          <cell r="BG115">
            <v>3667.3456878125007</v>
          </cell>
          <cell r="BH115">
            <v>470.03</v>
          </cell>
          <cell r="BI115">
            <v>54.252115978229185</v>
          </cell>
          <cell r="BJ115">
            <v>389.53019272368556</v>
          </cell>
          <cell r="BK115">
            <v>69.000264011145859</v>
          </cell>
          <cell r="BL115">
            <v>0</v>
          </cell>
          <cell r="BM115">
            <v>982.8125727130606</v>
          </cell>
        </row>
        <row r="116">
          <cell r="A116">
            <v>105</v>
          </cell>
          <cell r="B116" t="str">
            <v>MIRANDA VEGA, EVERT ALFREDO</v>
          </cell>
          <cell r="C116">
            <v>39150</v>
          </cell>
          <cell r="D116">
            <v>39716</v>
          </cell>
          <cell r="E116" t="str">
            <v>AYTE. PERF.</v>
          </cell>
          <cell r="F116">
            <v>54.15</v>
          </cell>
          <cell r="G116">
            <v>25</v>
          </cell>
          <cell r="H116">
            <v>200</v>
          </cell>
          <cell r="I116">
            <v>1353.75</v>
          </cell>
          <cell r="J116">
            <v>3.8461538461538463</v>
          </cell>
          <cell r="K116">
            <v>208.27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40</v>
          </cell>
          <cell r="Q116">
            <v>338.4375</v>
          </cell>
          <cell r="R116">
            <v>40</v>
          </cell>
          <cell r="S116">
            <v>338.4375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  <cell r="AG116">
            <v>767.13</v>
          </cell>
          <cell r="AH116">
            <v>1624.5</v>
          </cell>
          <cell r="AI116">
            <v>888.96</v>
          </cell>
          <cell r="AJ116">
            <v>0</v>
          </cell>
          <cell r="AK116">
            <v>0</v>
          </cell>
          <cell r="AL116">
            <v>5181.0474999999997</v>
          </cell>
          <cell r="AM116">
            <v>673.53617499999996</v>
          </cell>
          <cell r="AN116">
            <v>5</v>
          </cell>
          <cell r="AO116" t="str">
            <v>ONP</v>
          </cell>
          <cell r="AP116">
            <v>0</v>
          </cell>
          <cell r="AQ116">
            <v>621.72569999999996</v>
          </cell>
          <cell r="AR116">
            <v>101.03042624999999</v>
          </cell>
          <cell r="AS116">
            <v>45.075113249999994</v>
          </cell>
          <cell r="AT116">
            <v>767.83123949999992</v>
          </cell>
          <cell r="AU116">
            <v>0</v>
          </cell>
          <cell r="AV116">
            <v>0</v>
          </cell>
          <cell r="AW116">
            <v>0</v>
          </cell>
          <cell r="AX116">
            <v>0</v>
          </cell>
          <cell r="AY116">
            <v>0</v>
          </cell>
          <cell r="AZ116">
            <v>0</v>
          </cell>
          <cell r="BA116">
            <v>0</v>
          </cell>
          <cell r="BB116">
            <v>0</v>
          </cell>
          <cell r="BD116">
            <v>0</v>
          </cell>
          <cell r="BE116">
            <v>0</v>
          </cell>
          <cell r="BF116">
            <v>1446.3674145</v>
          </cell>
          <cell r="BG116">
            <v>3734.6800854999997</v>
          </cell>
          <cell r="BH116">
            <v>466.29</v>
          </cell>
          <cell r="BI116">
            <v>54.101386797499991</v>
          </cell>
          <cell r="BJ116">
            <v>388.44795720604992</v>
          </cell>
          <cell r="BK116">
            <v>68.808559907499998</v>
          </cell>
          <cell r="BL116">
            <v>0</v>
          </cell>
          <cell r="BM116">
            <v>977.64790391104998</v>
          </cell>
        </row>
        <row r="117">
          <cell r="A117">
            <v>106</v>
          </cell>
          <cell r="B117" t="str">
            <v>MORALES TORRES ROBER ANGEL</v>
          </cell>
          <cell r="C117">
            <v>38755</v>
          </cell>
          <cell r="D117">
            <v>39716</v>
          </cell>
          <cell r="E117" t="str">
            <v>PERFORISTA</v>
          </cell>
          <cell r="F117">
            <v>56.15</v>
          </cell>
          <cell r="G117">
            <v>25</v>
          </cell>
          <cell r="H117">
            <v>200</v>
          </cell>
          <cell r="I117">
            <v>1403.75</v>
          </cell>
          <cell r="J117">
            <v>3.8461538461538463</v>
          </cell>
          <cell r="K117">
            <v>215.96</v>
          </cell>
          <cell r="L117">
            <v>0</v>
          </cell>
          <cell r="M117">
            <v>0</v>
          </cell>
          <cell r="N117">
            <v>31</v>
          </cell>
          <cell r="O117">
            <v>56.833333333333329</v>
          </cell>
          <cell r="P117">
            <v>28</v>
          </cell>
          <cell r="Q117">
            <v>245.65625</v>
          </cell>
          <cell r="R117">
            <v>28</v>
          </cell>
          <cell r="S117">
            <v>245.65625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16</v>
          </cell>
          <cell r="Y117">
            <v>224.6</v>
          </cell>
          <cell r="Z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796.32</v>
          </cell>
          <cell r="AH117">
            <v>1686.33</v>
          </cell>
          <cell r="AI117">
            <v>1072.69</v>
          </cell>
          <cell r="AJ117">
            <v>0</v>
          </cell>
          <cell r="AK117">
            <v>0</v>
          </cell>
          <cell r="AL117">
            <v>5702.1395833333336</v>
          </cell>
          <cell r="AM117">
            <v>0</v>
          </cell>
          <cell r="AN117">
            <v>5</v>
          </cell>
          <cell r="AO117" t="str">
            <v>HR</v>
          </cell>
          <cell r="AP117">
            <v>845.62730020833328</v>
          </cell>
          <cell r="AQ117">
            <v>684.25675000000001</v>
          </cell>
          <cell r="AR117">
            <v>111.191721875</v>
          </cell>
          <cell r="AS117">
            <v>49.608614375000002</v>
          </cell>
          <cell r="AT117">
            <v>845.05708625</v>
          </cell>
          <cell r="AU117">
            <v>31.88</v>
          </cell>
          <cell r="AV117">
            <v>0</v>
          </cell>
          <cell r="AW117">
            <v>0</v>
          </cell>
          <cell r="AX117">
            <v>0</v>
          </cell>
          <cell r="AY117">
            <v>0</v>
          </cell>
          <cell r="AZ117">
            <v>0</v>
          </cell>
          <cell r="BA117">
            <v>0</v>
          </cell>
          <cell r="BB117">
            <v>0</v>
          </cell>
          <cell r="BD117">
            <v>0</v>
          </cell>
          <cell r="BE117">
            <v>0</v>
          </cell>
          <cell r="BF117">
            <v>881.93708624999999</v>
          </cell>
          <cell r="BG117">
            <v>4820.2024970833336</v>
          </cell>
          <cell r="BH117">
            <v>513.19000000000005</v>
          </cell>
          <cell r="BI117">
            <v>60.130630632916684</v>
          </cell>
          <cell r="BJ117">
            <v>431.73792794434178</v>
          </cell>
          <cell r="BK117">
            <v>76.47682148458334</v>
          </cell>
          <cell r="BL117">
            <v>98.12</v>
          </cell>
          <cell r="BM117">
            <v>1179.6553800618419</v>
          </cell>
        </row>
        <row r="118">
          <cell r="A118">
            <v>107</v>
          </cell>
          <cell r="B118" t="str">
            <v>MORALES YAURI MANUEL ANIBAL</v>
          </cell>
          <cell r="C118">
            <v>37953</v>
          </cell>
          <cell r="D118">
            <v>39716</v>
          </cell>
          <cell r="E118" t="str">
            <v>PERFORISTA</v>
          </cell>
          <cell r="F118">
            <v>56.15</v>
          </cell>
          <cell r="G118">
            <v>25</v>
          </cell>
          <cell r="H118">
            <v>200</v>
          </cell>
          <cell r="I118">
            <v>1403.75</v>
          </cell>
          <cell r="J118">
            <v>4.3076923076923075</v>
          </cell>
          <cell r="K118">
            <v>241.88</v>
          </cell>
          <cell r="L118">
            <v>0</v>
          </cell>
          <cell r="M118">
            <v>0</v>
          </cell>
          <cell r="N118">
            <v>31</v>
          </cell>
          <cell r="O118">
            <v>56.833333333333329</v>
          </cell>
          <cell r="P118">
            <v>50</v>
          </cell>
          <cell r="Q118">
            <v>438.671875</v>
          </cell>
          <cell r="R118">
            <v>50</v>
          </cell>
          <cell r="S118">
            <v>438.671875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24</v>
          </cell>
          <cell r="Y118">
            <v>336.9</v>
          </cell>
          <cell r="Z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796.32</v>
          </cell>
          <cell r="AH118">
            <v>0</v>
          </cell>
          <cell r="AI118">
            <v>1381.86</v>
          </cell>
          <cell r="AJ118">
            <v>3</v>
          </cell>
          <cell r="AK118">
            <v>168.45</v>
          </cell>
          <cell r="AL118">
            <v>4824.6652083333329</v>
          </cell>
          <cell r="AM118">
            <v>0</v>
          </cell>
          <cell r="AN118">
            <v>5</v>
          </cell>
          <cell r="AO118" t="str">
            <v>PR</v>
          </cell>
          <cell r="AP118">
            <v>693.30439043749993</v>
          </cell>
          <cell r="AQ118">
            <v>578.95982499999991</v>
          </cell>
          <cell r="AR118">
            <v>94.080971562499997</v>
          </cell>
          <cell r="AS118">
            <v>41.974587312499992</v>
          </cell>
          <cell r="AT118">
            <v>715.015383875</v>
          </cell>
          <cell r="AU118">
            <v>86.65</v>
          </cell>
          <cell r="AV118">
            <v>0</v>
          </cell>
          <cell r="AW118">
            <v>0</v>
          </cell>
          <cell r="AX118">
            <v>0</v>
          </cell>
          <cell r="AY118">
            <v>0</v>
          </cell>
          <cell r="AZ118">
            <v>0</v>
          </cell>
          <cell r="BA118">
            <v>0</v>
          </cell>
          <cell r="BB118">
            <v>0</v>
          </cell>
          <cell r="BD118">
            <v>0</v>
          </cell>
          <cell r="BE118">
            <v>0</v>
          </cell>
          <cell r="BF118">
            <v>806.66538387499997</v>
          </cell>
          <cell r="BG118">
            <v>4017.999824458333</v>
          </cell>
          <cell r="BH118">
            <v>434.22</v>
          </cell>
          <cell r="BI118">
            <v>49.37542721854166</v>
          </cell>
          <cell r="BJ118">
            <v>354.51556742912919</v>
          </cell>
          <cell r="BK118">
            <v>62.79787345270833</v>
          </cell>
          <cell r="BL118">
            <v>80.569999999999993</v>
          </cell>
          <cell r="BM118">
            <v>981.47886810037926</v>
          </cell>
        </row>
        <row r="119">
          <cell r="A119">
            <v>108</v>
          </cell>
          <cell r="B119" t="str">
            <v>MORENO MUÑOZ TEODORO</v>
          </cell>
          <cell r="C119">
            <v>38667</v>
          </cell>
          <cell r="D119">
            <v>39716</v>
          </cell>
          <cell r="E119" t="str">
            <v>PERFORISTA</v>
          </cell>
          <cell r="F119">
            <v>56.15</v>
          </cell>
          <cell r="G119">
            <v>25</v>
          </cell>
          <cell r="H119">
            <v>200</v>
          </cell>
          <cell r="I119">
            <v>1403.75</v>
          </cell>
          <cell r="J119">
            <v>3.8461538461538463</v>
          </cell>
          <cell r="K119">
            <v>215.96</v>
          </cell>
          <cell r="L119">
            <v>0</v>
          </cell>
          <cell r="M119">
            <v>0</v>
          </cell>
          <cell r="N119">
            <v>31</v>
          </cell>
          <cell r="O119">
            <v>56.833333333333329</v>
          </cell>
          <cell r="P119">
            <v>36</v>
          </cell>
          <cell r="Q119">
            <v>315.84375</v>
          </cell>
          <cell r="R119">
            <v>36</v>
          </cell>
          <cell r="S119">
            <v>315.84375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8</v>
          </cell>
          <cell r="Y119">
            <v>112.3</v>
          </cell>
          <cell r="Z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  <cell r="AG119">
            <v>796.32</v>
          </cell>
          <cell r="AH119">
            <v>0</v>
          </cell>
          <cell r="AI119">
            <v>1335.01</v>
          </cell>
          <cell r="AJ119">
            <v>0</v>
          </cell>
          <cell r="AK119">
            <v>0</v>
          </cell>
          <cell r="AL119">
            <v>4236.0170833333332</v>
          </cell>
          <cell r="AM119">
            <v>0</v>
          </cell>
          <cell r="AN119">
            <v>5</v>
          </cell>
          <cell r="AO119" t="str">
            <v>IN</v>
          </cell>
          <cell r="AP119">
            <v>621.84730783333339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  <cell r="AU119">
            <v>45.86</v>
          </cell>
          <cell r="AV119">
            <v>0</v>
          </cell>
          <cell r="AW119">
            <v>0</v>
          </cell>
          <cell r="AX119">
            <v>35</v>
          </cell>
          <cell r="AY119">
            <v>0</v>
          </cell>
          <cell r="AZ119">
            <v>0</v>
          </cell>
          <cell r="BA119">
            <v>0</v>
          </cell>
          <cell r="BB119">
            <v>0</v>
          </cell>
          <cell r="BD119">
            <v>0</v>
          </cell>
          <cell r="BE119">
            <v>0</v>
          </cell>
          <cell r="BF119">
            <v>85.86</v>
          </cell>
          <cell r="BG119">
            <v>4150.1570833333335</v>
          </cell>
          <cell r="BH119">
            <v>381.24</v>
          </cell>
          <cell r="BI119">
            <v>42.160367150416668</v>
          </cell>
          <cell r="BJ119">
            <v>302.71143613999163</v>
          </cell>
          <cell r="BK119">
            <v>53.62143783208333</v>
          </cell>
          <cell r="BL119">
            <v>68.790000000000006</v>
          </cell>
          <cell r="BM119">
            <v>848.52324112249164</v>
          </cell>
        </row>
        <row r="120">
          <cell r="A120">
            <v>109</v>
          </cell>
          <cell r="B120" t="str">
            <v>MUGURUZA GOÑE, LUIS ANGEL</v>
          </cell>
          <cell r="C120">
            <v>39262</v>
          </cell>
          <cell r="D120">
            <v>39716</v>
          </cell>
          <cell r="E120" t="str">
            <v>AYTE. PERF.</v>
          </cell>
          <cell r="F120">
            <v>54.15</v>
          </cell>
          <cell r="G120">
            <v>25</v>
          </cell>
          <cell r="H120">
            <v>200</v>
          </cell>
          <cell r="I120">
            <v>1353.75</v>
          </cell>
          <cell r="J120">
            <v>3.8461538461538463</v>
          </cell>
          <cell r="K120">
            <v>208.27</v>
          </cell>
          <cell r="L120">
            <v>0</v>
          </cell>
          <cell r="M120">
            <v>0</v>
          </cell>
          <cell r="N120">
            <v>31</v>
          </cell>
          <cell r="O120">
            <v>56.833333333333329</v>
          </cell>
          <cell r="P120">
            <v>32</v>
          </cell>
          <cell r="Q120">
            <v>270.75</v>
          </cell>
          <cell r="R120">
            <v>32</v>
          </cell>
          <cell r="S120">
            <v>270.75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8</v>
          </cell>
          <cell r="Y120">
            <v>108.3</v>
          </cell>
          <cell r="Z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767.99</v>
          </cell>
          <cell r="AH120">
            <v>1626.33</v>
          </cell>
          <cell r="AI120">
            <v>393.33</v>
          </cell>
          <cell r="AJ120">
            <v>0</v>
          </cell>
          <cell r="AK120">
            <v>0</v>
          </cell>
          <cell r="AL120">
            <v>4785.5533333333333</v>
          </cell>
          <cell r="AM120">
            <v>0</v>
          </cell>
          <cell r="AN120">
            <v>5</v>
          </cell>
          <cell r="AO120" t="str">
            <v>PF</v>
          </cell>
          <cell r="AP120">
            <v>712.09033599999998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  <cell r="AU120">
            <v>-9.19</v>
          </cell>
          <cell r="AV120">
            <v>0</v>
          </cell>
          <cell r="AW120">
            <v>0</v>
          </cell>
          <cell r="AX120">
            <v>0</v>
          </cell>
          <cell r="AY120">
            <v>0</v>
          </cell>
          <cell r="AZ120">
            <v>0</v>
          </cell>
          <cell r="BA120">
            <v>0</v>
          </cell>
          <cell r="BB120">
            <v>0</v>
          </cell>
          <cell r="BD120">
            <v>0</v>
          </cell>
          <cell r="BE120">
            <v>0</v>
          </cell>
          <cell r="BF120">
            <v>-4.1899999999999995</v>
          </cell>
          <cell r="BG120">
            <v>4789.7433333333329</v>
          </cell>
          <cell r="BH120">
            <v>430.7</v>
          </cell>
          <cell r="BI120">
            <v>49.243273776666669</v>
          </cell>
          <cell r="BJ120">
            <v>353.56670571646669</v>
          </cell>
          <cell r="BK120">
            <v>62.62979480333334</v>
          </cell>
          <cell r="BL120">
            <v>80.349999999999994</v>
          </cell>
          <cell r="BM120">
            <v>976.48977429646663</v>
          </cell>
        </row>
        <row r="121">
          <cell r="A121">
            <v>110</v>
          </cell>
          <cell r="B121" t="str">
            <v>NESTARES CASTAÑEDA GREGORIO ROBERTO</v>
          </cell>
          <cell r="C121">
            <v>38931</v>
          </cell>
          <cell r="D121">
            <v>39716</v>
          </cell>
          <cell r="E121" t="str">
            <v>PERFORISTA</v>
          </cell>
          <cell r="F121">
            <v>56.15</v>
          </cell>
          <cell r="G121">
            <v>25</v>
          </cell>
          <cell r="H121">
            <v>200</v>
          </cell>
          <cell r="I121">
            <v>1403.75</v>
          </cell>
          <cell r="J121">
            <v>3.8461538461538463</v>
          </cell>
          <cell r="K121">
            <v>215.96</v>
          </cell>
          <cell r="L121">
            <v>0</v>
          </cell>
          <cell r="M121">
            <v>0</v>
          </cell>
          <cell r="N121">
            <v>31</v>
          </cell>
          <cell r="O121">
            <v>56.833333333333329</v>
          </cell>
          <cell r="P121">
            <v>40</v>
          </cell>
          <cell r="Q121">
            <v>361.46562499999999</v>
          </cell>
          <cell r="R121">
            <v>38</v>
          </cell>
          <cell r="S121">
            <v>333.390625</v>
          </cell>
          <cell r="T121">
            <v>0</v>
          </cell>
          <cell r="U121">
            <v>0</v>
          </cell>
          <cell r="V121">
            <v>2</v>
          </cell>
          <cell r="W121">
            <v>28.074999999999999</v>
          </cell>
          <cell r="X121">
            <v>8</v>
          </cell>
          <cell r="Y121">
            <v>112.3</v>
          </cell>
          <cell r="Z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796.32</v>
          </cell>
          <cell r="AH121">
            <v>1686.33</v>
          </cell>
          <cell r="AI121">
            <v>252.95</v>
          </cell>
          <cell r="AJ121">
            <v>0</v>
          </cell>
          <cell r="AK121">
            <v>0</v>
          </cell>
          <cell r="AL121">
            <v>4885.9089583333334</v>
          </cell>
          <cell r="AM121">
            <v>635.16816458333335</v>
          </cell>
          <cell r="AN121">
            <v>5</v>
          </cell>
          <cell r="AO121" t="str">
            <v>ONP</v>
          </cell>
          <cell r="AP121">
            <v>0</v>
          </cell>
          <cell r="AQ121">
            <v>586.30907500000001</v>
          </cell>
          <cell r="AR121">
            <v>95.2752246875</v>
          </cell>
          <cell r="AS121">
            <v>42.507407937499998</v>
          </cell>
          <cell r="AT121">
            <v>724.09170762500003</v>
          </cell>
          <cell r="AU121">
            <v>24.21</v>
          </cell>
          <cell r="AV121">
            <v>0</v>
          </cell>
          <cell r="AW121">
            <v>0</v>
          </cell>
          <cell r="AX121">
            <v>0</v>
          </cell>
          <cell r="AY121">
            <v>0</v>
          </cell>
          <cell r="AZ121">
            <v>0</v>
          </cell>
          <cell r="BA121">
            <v>0</v>
          </cell>
          <cell r="BB121">
            <v>0</v>
          </cell>
          <cell r="BD121">
            <v>0</v>
          </cell>
          <cell r="BE121">
            <v>0</v>
          </cell>
          <cell r="BF121">
            <v>1388.4698722083335</v>
          </cell>
          <cell r="BG121">
            <v>3497.4390861249999</v>
          </cell>
          <cell r="BH121">
            <v>439.73</v>
          </cell>
          <cell r="BI121">
            <v>50.126091862291673</v>
          </cell>
          <cell r="BJ121">
            <v>359.90533957125416</v>
          </cell>
          <cell r="BK121">
            <v>63.752602271458336</v>
          </cell>
          <cell r="BL121">
            <v>0</v>
          </cell>
          <cell r="BM121">
            <v>913.51403370500418</v>
          </cell>
        </row>
        <row r="122">
          <cell r="A122">
            <v>111</v>
          </cell>
          <cell r="B122" t="str">
            <v>OCHOA QUISPE LEON</v>
          </cell>
          <cell r="C122">
            <v>35829</v>
          </cell>
          <cell r="D122">
            <v>39716</v>
          </cell>
          <cell r="E122" t="str">
            <v>PERFORISTA</v>
          </cell>
          <cell r="F122">
            <v>56.15</v>
          </cell>
          <cell r="G122">
            <v>25</v>
          </cell>
          <cell r="H122">
            <v>200</v>
          </cell>
          <cell r="I122">
            <v>1403.75</v>
          </cell>
          <cell r="J122">
            <v>3.8461538461538463</v>
          </cell>
          <cell r="K122">
            <v>215.96</v>
          </cell>
          <cell r="L122">
            <v>0</v>
          </cell>
          <cell r="M122">
            <v>0</v>
          </cell>
          <cell r="N122">
            <v>31</v>
          </cell>
          <cell r="O122">
            <v>56.833333333333329</v>
          </cell>
          <cell r="P122">
            <v>41</v>
          </cell>
          <cell r="Q122">
            <v>359.7109375</v>
          </cell>
          <cell r="R122">
            <v>41</v>
          </cell>
          <cell r="S122">
            <v>359.7109375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16</v>
          </cell>
          <cell r="Y122">
            <v>224.6</v>
          </cell>
          <cell r="Z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796.32</v>
          </cell>
          <cell r="AH122">
            <v>0</v>
          </cell>
          <cell r="AI122">
            <v>1091.43</v>
          </cell>
          <cell r="AJ122">
            <v>0</v>
          </cell>
          <cell r="AK122">
            <v>0</v>
          </cell>
          <cell r="AL122">
            <v>4148.6042708333334</v>
          </cell>
          <cell r="AM122">
            <v>0</v>
          </cell>
          <cell r="AN122">
            <v>5</v>
          </cell>
          <cell r="AO122" t="str">
            <v>IN</v>
          </cell>
          <cell r="AP122">
            <v>609.01510695833338</v>
          </cell>
          <cell r="AQ122">
            <v>497.83251250000001</v>
          </cell>
          <cell r="AR122">
            <v>80.89778328125</v>
          </cell>
          <cell r="AS122">
            <v>36.092857156249998</v>
          </cell>
          <cell r="AT122">
            <v>614.82315293750003</v>
          </cell>
          <cell r="AU122">
            <v>102.56</v>
          </cell>
          <cell r="AV122">
            <v>0</v>
          </cell>
          <cell r="AW122">
            <v>0</v>
          </cell>
          <cell r="AX122">
            <v>35</v>
          </cell>
          <cell r="AY122">
            <v>0</v>
          </cell>
          <cell r="AZ122">
            <v>0</v>
          </cell>
          <cell r="BA122">
            <v>0</v>
          </cell>
          <cell r="BB122">
            <v>0</v>
          </cell>
          <cell r="BD122">
            <v>0</v>
          </cell>
          <cell r="BE122">
            <v>0</v>
          </cell>
          <cell r="BF122">
            <v>757.38315293749997</v>
          </cell>
          <cell r="BG122">
            <v>3391.2211178958332</v>
          </cell>
          <cell r="BH122">
            <v>373.37</v>
          </cell>
          <cell r="BI122">
            <v>41.08894830760417</v>
          </cell>
          <cell r="BJ122">
            <v>295.01864884859793</v>
          </cell>
          <cell r="BK122">
            <v>52.258759498020837</v>
          </cell>
          <cell r="BL122">
            <v>67.05</v>
          </cell>
          <cell r="BM122">
            <v>828.78635665422291</v>
          </cell>
        </row>
        <row r="123">
          <cell r="A123">
            <v>112</v>
          </cell>
          <cell r="B123" t="str">
            <v>ORTIZ VEGA CRISTIAN CARLOS</v>
          </cell>
          <cell r="C123">
            <v>39462</v>
          </cell>
          <cell r="D123">
            <v>39716</v>
          </cell>
          <cell r="E123" t="str">
            <v>DIGITADOR</v>
          </cell>
          <cell r="F123">
            <v>54.15</v>
          </cell>
          <cell r="G123">
            <v>26</v>
          </cell>
          <cell r="H123">
            <v>208</v>
          </cell>
          <cell r="I123">
            <v>1407.9</v>
          </cell>
          <cell r="J123">
            <v>4</v>
          </cell>
          <cell r="K123">
            <v>216.6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62</v>
          </cell>
          <cell r="Q123">
            <v>575.34375</v>
          </cell>
          <cell r="R123">
            <v>52</v>
          </cell>
          <cell r="S123">
            <v>439.96875</v>
          </cell>
          <cell r="T123">
            <v>0</v>
          </cell>
          <cell r="U123">
            <v>0</v>
          </cell>
          <cell r="V123">
            <v>10</v>
          </cell>
          <cell r="W123">
            <v>135.375</v>
          </cell>
          <cell r="X123">
            <v>40</v>
          </cell>
          <cell r="Y123">
            <v>541.5</v>
          </cell>
          <cell r="Z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767.99</v>
          </cell>
          <cell r="AH123">
            <v>0</v>
          </cell>
          <cell r="AI123">
            <v>1133.92</v>
          </cell>
          <cell r="AJ123">
            <v>0</v>
          </cell>
          <cell r="AK123">
            <v>0</v>
          </cell>
          <cell r="AL123">
            <v>4643.2537499999999</v>
          </cell>
          <cell r="AM123">
            <v>603.62298750000002</v>
          </cell>
          <cell r="AN123">
            <v>5</v>
          </cell>
          <cell r="AO123" t="str">
            <v>ONP</v>
          </cell>
          <cell r="AP123">
            <v>0</v>
          </cell>
          <cell r="AQ123">
            <v>557.19044999999994</v>
          </cell>
          <cell r="AR123">
            <v>90.543448124999998</v>
          </cell>
          <cell r="AS123">
            <v>40.396307624999999</v>
          </cell>
          <cell r="AT123">
            <v>688.13020574999996</v>
          </cell>
          <cell r="AU123">
            <v>19.09</v>
          </cell>
          <cell r="AV123">
            <v>0</v>
          </cell>
          <cell r="AW123">
            <v>0</v>
          </cell>
          <cell r="AX123">
            <v>20</v>
          </cell>
          <cell r="AY123">
            <v>0</v>
          </cell>
          <cell r="AZ123">
            <v>0</v>
          </cell>
          <cell r="BA123">
            <v>0</v>
          </cell>
          <cell r="BB123">
            <v>0</v>
          </cell>
          <cell r="BD123">
            <v>0</v>
          </cell>
          <cell r="BE123">
            <v>0</v>
          </cell>
          <cell r="BF123">
            <v>1335.84319325</v>
          </cell>
          <cell r="BG123">
            <v>3307.4105567500001</v>
          </cell>
          <cell r="BH123">
            <v>417.89</v>
          </cell>
          <cell r="BI123">
            <v>47.499107783749999</v>
          </cell>
          <cell r="BJ123">
            <v>341.04359388732496</v>
          </cell>
          <cell r="BK123">
            <v>60.411486598750002</v>
          </cell>
          <cell r="BL123">
            <v>0</v>
          </cell>
          <cell r="BM123">
            <v>866.84418826982494</v>
          </cell>
        </row>
        <row r="124">
          <cell r="A124">
            <v>113</v>
          </cell>
          <cell r="B124" t="str">
            <v>OSORIO ANGULO ANTOLIN</v>
          </cell>
          <cell r="C124">
            <v>39639</v>
          </cell>
          <cell r="D124">
            <v>39716</v>
          </cell>
          <cell r="E124" t="str">
            <v>PERFORISTA</v>
          </cell>
          <cell r="F124">
            <v>54.15</v>
          </cell>
          <cell r="G124">
            <v>25</v>
          </cell>
          <cell r="H124">
            <v>200</v>
          </cell>
          <cell r="I124">
            <v>1353.75</v>
          </cell>
          <cell r="J124">
            <v>3.8461538461538463</v>
          </cell>
          <cell r="K124">
            <v>208.27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40</v>
          </cell>
          <cell r="Q124">
            <v>338.4375</v>
          </cell>
          <cell r="R124">
            <v>40</v>
          </cell>
          <cell r="S124">
            <v>338.4375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16</v>
          </cell>
          <cell r="Y124">
            <v>216.6</v>
          </cell>
          <cell r="Z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496.94</v>
          </cell>
          <cell r="AH124">
            <v>0</v>
          </cell>
          <cell r="AI124">
            <v>343.34</v>
          </cell>
          <cell r="AJ124">
            <v>0</v>
          </cell>
          <cell r="AK124">
            <v>0</v>
          </cell>
          <cell r="AL124">
            <v>2957.3375000000001</v>
          </cell>
          <cell r="AM124">
            <v>0</v>
          </cell>
          <cell r="AN124">
            <v>0</v>
          </cell>
          <cell r="AO124" t="str">
            <v>HR</v>
          </cell>
          <cell r="AP124">
            <v>438.57315124999997</v>
          </cell>
          <cell r="AQ124">
            <v>354.88049999999998</v>
          </cell>
          <cell r="AR124">
            <v>57.66808125</v>
          </cell>
          <cell r="AS124">
            <v>25.728836250000001</v>
          </cell>
          <cell r="AT124">
            <v>438.27741749999996</v>
          </cell>
          <cell r="AU124">
            <v>0</v>
          </cell>
          <cell r="AV124">
            <v>0</v>
          </cell>
          <cell r="AW124">
            <v>0</v>
          </cell>
          <cell r="AX124">
            <v>0</v>
          </cell>
          <cell r="AY124">
            <v>0</v>
          </cell>
          <cell r="AZ124">
            <v>0</v>
          </cell>
          <cell r="BA124">
            <v>0</v>
          </cell>
          <cell r="BB124">
            <v>0</v>
          </cell>
          <cell r="BD124">
            <v>0</v>
          </cell>
          <cell r="BE124">
            <v>0</v>
          </cell>
          <cell r="BF124">
            <v>438.27741749999996</v>
          </cell>
          <cell r="BG124">
            <v>2519.0600825000001</v>
          </cell>
          <cell r="BH124">
            <v>266.16000000000003</v>
          </cell>
          <cell r="BI124">
            <v>30.157092157500003</v>
          </cell>
          <cell r="BJ124">
            <v>216.52792169085001</v>
          </cell>
          <cell r="BK124">
            <v>38.355136627500002</v>
          </cell>
          <cell r="BL124">
            <v>49.21</v>
          </cell>
          <cell r="BM124">
            <v>600.41015047584995</v>
          </cell>
        </row>
        <row r="125">
          <cell r="A125">
            <v>114</v>
          </cell>
          <cell r="B125" t="str">
            <v>OSORIO PAUCAR YDRIS</v>
          </cell>
          <cell r="C125">
            <v>38867</v>
          </cell>
          <cell r="D125">
            <v>39716</v>
          </cell>
          <cell r="E125" t="str">
            <v>AYTE. PERF.</v>
          </cell>
          <cell r="F125">
            <v>54.15</v>
          </cell>
          <cell r="G125">
            <v>25</v>
          </cell>
          <cell r="H125">
            <v>200</v>
          </cell>
          <cell r="I125">
            <v>1353.75</v>
          </cell>
          <cell r="J125">
            <v>3.8461538461538463</v>
          </cell>
          <cell r="K125">
            <v>208.27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2</v>
          </cell>
          <cell r="Q125">
            <v>16.921875</v>
          </cell>
          <cell r="R125">
            <v>2</v>
          </cell>
          <cell r="S125">
            <v>16.921875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8</v>
          </cell>
          <cell r="Y125">
            <v>108.3</v>
          </cell>
          <cell r="Z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767.99</v>
          </cell>
          <cell r="AH125">
            <v>1626.33</v>
          </cell>
          <cell r="AI125">
            <v>524.04</v>
          </cell>
          <cell r="AJ125">
            <v>0</v>
          </cell>
          <cell r="AK125">
            <v>0</v>
          </cell>
          <cell r="AL125">
            <v>4605.6018750000003</v>
          </cell>
          <cell r="AM125">
            <v>0</v>
          </cell>
          <cell r="AN125">
            <v>5</v>
          </cell>
          <cell r="AO125" t="str">
            <v>PF</v>
          </cell>
          <cell r="AP125">
            <v>685.31355899999994</v>
          </cell>
          <cell r="AQ125">
            <v>552.67222500000003</v>
          </cell>
          <cell r="AR125">
            <v>89.809236562500004</v>
          </cell>
          <cell r="AS125">
            <v>40.0687363125</v>
          </cell>
          <cell r="AT125">
            <v>682.55019787500009</v>
          </cell>
          <cell r="AU125">
            <v>0</v>
          </cell>
          <cell r="AV125">
            <v>0</v>
          </cell>
          <cell r="AW125">
            <v>0</v>
          </cell>
          <cell r="AX125">
            <v>25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D125">
            <v>0</v>
          </cell>
          <cell r="BE125">
            <v>0</v>
          </cell>
          <cell r="BF125">
            <v>712.55019787500009</v>
          </cell>
          <cell r="BG125">
            <v>3893.0516771250004</v>
          </cell>
          <cell r="BH125">
            <v>414.5</v>
          </cell>
          <cell r="BI125">
            <v>47.037608751874998</v>
          </cell>
          <cell r="BJ125">
            <v>337.73003083846254</v>
          </cell>
          <cell r="BK125">
            <v>59.824531519375014</v>
          </cell>
          <cell r="BL125">
            <v>76.75</v>
          </cell>
          <cell r="BM125">
            <v>935.84217110971258</v>
          </cell>
        </row>
        <row r="126">
          <cell r="A126">
            <v>115</v>
          </cell>
          <cell r="B126" t="str">
            <v>OSORIO RIVERA ENRRIQUE</v>
          </cell>
          <cell r="C126">
            <v>39647</v>
          </cell>
          <cell r="D126">
            <v>39716</v>
          </cell>
          <cell r="E126" t="str">
            <v>PERFORISTA</v>
          </cell>
          <cell r="F126">
            <v>54.15</v>
          </cell>
          <cell r="G126">
            <v>25</v>
          </cell>
          <cell r="H126">
            <v>200</v>
          </cell>
          <cell r="I126">
            <v>1353.75</v>
          </cell>
          <cell r="J126">
            <v>3.8461538461538463</v>
          </cell>
          <cell r="K126">
            <v>208.27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42</v>
          </cell>
          <cell r="Q126">
            <v>365.51249999999999</v>
          </cell>
          <cell r="R126">
            <v>40</v>
          </cell>
          <cell r="S126">
            <v>338.4375</v>
          </cell>
          <cell r="T126">
            <v>0</v>
          </cell>
          <cell r="U126">
            <v>0</v>
          </cell>
          <cell r="V126">
            <v>2</v>
          </cell>
          <cell r="W126">
            <v>27.074999999999999</v>
          </cell>
          <cell r="X126">
            <v>16</v>
          </cell>
          <cell r="Y126">
            <v>216.6</v>
          </cell>
          <cell r="Z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496.38</v>
          </cell>
          <cell r="AH126">
            <v>0</v>
          </cell>
          <cell r="AI126">
            <v>306.38</v>
          </cell>
          <cell r="AJ126">
            <v>0</v>
          </cell>
          <cell r="AK126">
            <v>0</v>
          </cell>
          <cell r="AL126">
            <v>2946.8925000000004</v>
          </cell>
          <cell r="AM126">
            <v>0</v>
          </cell>
          <cell r="AN126">
            <v>0</v>
          </cell>
          <cell r="AO126" t="str">
            <v>PF</v>
          </cell>
          <cell r="AP126">
            <v>438.49760400000002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2946.8925000000004</v>
          </cell>
          <cell r="BH126">
            <v>265.22000000000003</v>
          </cell>
          <cell r="BI126">
            <v>30.035931712500002</v>
          </cell>
          <cell r="BJ126">
            <v>215.65798969575002</v>
          </cell>
          <cell r="BK126">
            <v>38.201039362500005</v>
          </cell>
          <cell r="BL126">
            <v>49.01</v>
          </cell>
          <cell r="BM126">
            <v>598.12496077074991</v>
          </cell>
        </row>
        <row r="127">
          <cell r="A127">
            <v>116</v>
          </cell>
          <cell r="B127" t="str">
            <v>PAREDES FALCON MOISES DAVID</v>
          </cell>
          <cell r="C127">
            <v>38747</v>
          </cell>
          <cell r="D127">
            <v>39716</v>
          </cell>
          <cell r="E127" t="str">
            <v>PERFORISTA</v>
          </cell>
          <cell r="F127">
            <v>56.15</v>
          </cell>
          <cell r="G127">
            <v>24</v>
          </cell>
          <cell r="H127">
            <v>192</v>
          </cell>
          <cell r="I127">
            <v>1347.6</v>
          </cell>
          <cell r="J127">
            <v>3.6923076923076925</v>
          </cell>
          <cell r="K127">
            <v>207.32</v>
          </cell>
          <cell r="L127">
            <v>0</v>
          </cell>
          <cell r="M127">
            <v>0</v>
          </cell>
          <cell r="N127">
            <v>31</v>
          </cell>
          <cell r="O127">
            <v>56.833333333333329</v>
          </cell>
          <cell r="P127">
            <v>28</v>
          </cell>
          <cell r="Q127">
            <v>245.65625</v>
          </cell>
          <cell r="R127">
            <v>28</v>
          </cell>
          <cell r="S127">
            <v>245.65625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8</v>
          </cell>
          <cell r="Y127">
            <v>112.3</v>
          </cell>
          <cell r="Z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796.32</v>
          </cell>
          <cell r="AH127">
            <v>1686.33</v>
          </cell>
          <cell r="AI127">
            <v>1105.48</v>
          </cell>
          <cell r="AJ127">
            <v>0</v>
          </cell>
          <cell r="AK127">
            <v>0</v>
          </cell>
          <cell r="AL127">
            <v>5557.8395833333325</v>
          </cell>
          <cell r="AM127">
            <v>0</v>
          </cell>
          <cell r="AN127">
            <v>5</v>
          </cell>
          <cell r="AO127" t="str">
            <v>IN</v>
          </cell>
          <cell r="AP127">
            <v>815.89085083333327</v>
          </cell>
          <cell r="AQ127">
            <v>666.94074999999987</v>
          </cell>
          <cell r="AR127">
            <v>108.37787187499998</v>
          </cell>
          <cell r="AS127">
            <v>48.35320437499999</v>
          </cell>
          <cell r="AT127">
            <v>823.67182624999987</v>
          </cell>
          <cell r="AU127">
            <v>65.8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D127">
            <v>0</v>
          </cell>
          <cell r="BE127">
            <v>0</v>
          </cell>
          <cell r="BF127">
            <v>894.47182624999982</v>
          </cell>
          <cell r="BG127">
            <v>4663.3677570833324</v>
          </cell>
          <cell r="BH127">
            <v>500.21</v>
          </cell>
          <cell r="BI127">
            <v>58.361945532916664</v>
          </cell>
          <cell r="BJ127">
            <v>419.03876892634162</v>
          </cell>
          <cell r="BK127">
            <v>74.227328784583321</v>
          </cell>
          <cell r="BL127">
            <v>95.23</v>
          </cell>
          <cell r="BM127">
            <v>1147.0680432438417</v>
          </cell>
        </row>
        <row r="128">
          <cell r="A128">
            <v>117</v>
          </cell>
          <cell r="B128" t="str">
            <v>PAYTAN HUAMANI CARLOS</v>
          </cell>
          <cell r="C128">
            <v>38428</v>
          </cell>
          <cell r="D128">
            <v>39716</v>
          </cell>
          <cell r="E128" t="str">
            <v>PERFORISTA</v>
          </cell>
          <cell r="F128">
            <v>56.15</v>
          </cell>
          <cell r="G128">
            <v>25</v>
          </cell>
          <cell r="H128">
            <v>200</v>
          </cell>
          <cell r="I128">
            <v>1403.75</v>
          </cell>
          <cell r="J128">
            <v>3.8461538461538463</v>
          </cell>
          <cell r="K128">
            <v>215.96</v>
          </cell>
          <cell r="L128">
            <v>0</v>
          </cell>
          <cell r="M128">
            <v>0</v>
          </cell>
          <cell r="N128">
            <v>31</v>
          </cell>
          <cell r="O128">
            <v>56.833333333333329</v>
          </cell>
          <cell r="P128">
            <v>36</v>
          </cell>
          <cell r="Q128">
            <v>315.84375</v>
          </cell>
          <cell r="R128">
            <v>36</v>
          </cell>
          <cell r="S128">
            <v>315.84375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796.32</v>
          </cell>
          <cell r="AH128">
            <v>1686.33</v>
          </cell>
          <cell r="AI128">
            <v>932.17</v>
          </cell>
          <cell r="AJ128">
            <v>0</v>
          </cell>
          <cell r="AK128">
            <v>0</v>
          </cell>
          <cell r="AL128">
            <v>5407.2070833333328</v>
          </cell>
          <cell r="AM128">
            <v>0</v>
          </cell>
          <cell r="AN128">
            <v>5</v>
          </cell>
          <cell r="AO128" t="str">
            <v>PF</v>
          </cell>
          <cell r="AP128">
            <v>804.59241399999985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  <cell r="AU128">
            <v>30.02</v>
          </cell>
          <cell r="AV128">
            <v>1141.8986673333332</v>
          </cell>
          <cell r="AW128">
            <v>0</v>
          </cell>
          <cell r="AX128">
            <v>0</v>
          </cell>
          <cell r="AY128">
            <v>0</v>
          </cell>
          <cell r="AZ128">
            <v>0</v>
          </cell>
          <cell r="BA128">
            <v>0</v>
          </cell>
          <cell r="BB128">
            <v>0</v>
          </cell>
          <cell r="BD128">
            <v>0</v>
          </cell>
          <cell r="BE128">
            <v>0</v>
          </cell>
          <cell r="BF128">
            <v>1176.9186673333331</v>
          </cell>
          <cell r="BG128">
            <v>4230.2884159999994</v>
          </cell>
          <cell r="BH128">
            <v>486.65</v>
          </cell>
          <cell r="BI128">
            <v>56.515642980416665</v>
          </cell>
          <cell r="BJ128">
            <v>405.78231659939172</v>
          </cell>
          <cell r="BK128">
            <v>71.879118742083335</v>
          </cell>
          <cell r="BL128">
            <v>92.22</v>
          </cell>
          <cell r="BM128">
            <v>1113.0470783218918</v>
          </cell>
        </row>
        <row r="129">
          <cell r="A129">
            <v>118</v>
          </cell>
          <cell r="B129" t="str">
            <v>PEREZ PALACIOS, ARONDO MORA</v>
          </cell>
          <cell r="C129">
            <v>39268</v>
          </cell>
          <cell r="D129">
            <v>39716</v>
          </cell>
          <cell r="E129" t="str">
            <v>AYTE. PERF.</v>
          </cell>
          <cell r="F129">
            <v>54.15</v>
          </cell>
          <cell r="G129">
            <v>25</v>
          </cell>
          <cell r="H129">
            <v>200</v>
          </cell>
          <cell r="I129">
            <v>1353.75</v>
          </cell>
          <cell r="J129">
            <v>3.8461538461538463</v>
          </cell>
          <cell r="K129">
            <v>208.27</v>
          </cell>
          <cell r="L129">
            <v>0</v>
          </cell>
          <cell r="M129">
            <v>0</v>
          </cell>
          <cell r="N129">
            <v>31</v>
          </cell>
          <cell r="O129">
            <v>56.833333333333329</v>
          </cell>
          <cell r="P129">
            <v>6</v>
          </cell>
          <cell r="Q129">
            <v>50.765625</v>
          </cell>
          <cell r="R129">
            <v>6</v>
          </cell>
          <cell r="S129">
            <v>50.765625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16</v>
          </cell>
          <cell r="Y129">
            <v>216.6</v>
          </cell>
          <cell r="Z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  <cell r="AG129">
            <v>767.99</v>
          </cell>
          <cell r="AH129">
            <v>1626.33</v>
          </cell>
          <cell r="AI129">
            <v>365.93</v>
          </cell>
          <cell r="AJ129">
            <v>0</v>
          </cell>
          <cell r="AK129">
            <v>0</v>
          </cell>
          <cell r="AL129">
            <v>4646.4689583333329</v>
          </cell>
          <cell r="AM129">
            <v>604.04096458333333</v>
          </cell>
          <cell r="AN129">
            <v>5</v>
          </cell>
          <cell r="AO129" t="str">
            <v>ONP</v>
          </cell>
          <cell r="AP129">
            <v>0</v>
          </cell>
          <cell r="AQ129">
            <v>557.5762749999999</v>
          </cell>
          <cell r="AR129">
            <v>90.606144687499992</v>
          </cell>
          <cell r="AS129">
            <v>40.424279937499996</v>
          </cell>
          <cell r="AT129">
            <v>688.60669962499992</v>
          </cell>
          <cell r="AU129">
            <v>8.84</v>
          </cell>
          <cell r="AV129">
            <v>0</v>
          </cell>
          <cell r="AW129">
            <v>0</v>
          </cell>
          <cell r="AX129">
            <v>25</v>
          </cell>
          <cell r="AY129">
            <v>0</v>
          </cell>
          <cell r="AZ129">
            <v>0</v>
          </cell>
          <cell r="BA129">
            <v>0</v>
          </cell>
          <cell r="BB129">
            <v>0</v>
          </cell>
          <cell r="BD129">
            <v>0</v>
          </cell>
          <cell r="BE129">
            <v>0</v>
          </cell>
          <cell r="BF129">
            <v>1331.4876642083332</v>
          </cell>
          <cell r="BG129">
            <v>3314.9812941249997</v>
          </cell>
          <cell r="BH129">
            <v>418.18</v>
          </cell>
          <cell r="BI129">
            <v>47.538516592291671</v>
          </cell>
          <cell r="BJ129">
            <v>341.32654913265418</v>
          </cell>
          <cell r="BK129">
            <v>60.461608481458327</v>
          </cell>
          <cell r="BL129">
            <v>0</v>
          </cell>
          <cell r="BM129">
            <v>867.50667420640423</v>
          </cell>
        </row>
        <row r="130">
          <cell r="A130">
            <v>119</v>
          </cell>
          <cell r="B130" t="str">
            <v>PEREZ TORIBIO, ALEJANDRO VICENTE</v>
          </cell>
          <cell r="C130">
            <v>39263</v>
          </cell>
          <cell r="D130">
            <v>39716</v>
          </cell>
          <cell r="E130" t="str">
            <v>AYTE. PERF.</v>
          </cell>
          <cell r="F130">
            <v>54.15</v>
          </cell>
          <cell r="G130">
            <v>24</v>
          </cell>
          <cell r="H130">
            <v>192</v>
          </cell>
          <cell r="I130">
            <v>1299.5999999999999</v>
          </cell>
          <cell r="J130">
            <v>3.6923076923076925</v>
          </cell>
          <cell r="K130">
            <v>199.94</v>
          </cell>
          <cell r="L130">
            <v>0</v>
          </cell>
          <cell r="M130">
            <v>0</v>
          </cell>
          <cell r="N130">
            <v>31</v>
          </cell>
          <cell r="O130">
            <v>56.833333333333329</v>
          </cell>
          <cell r="P130">
            <v>32</v>
          </cell>
          <cell r="Q130">
            <v>270.75</v>
          </cell>
          <cell r="R130">
            <v>32</v>
          </cell>
          <cell r="S130">
            <v>270.75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16</v>
          </cell>
          <cell r="Y130">
            <v>216.6</v>
          </cell>
          <cell r="Z130">
            <v>0</v>
          </cell>
          <cell r="AB130">
            <v>0</v>
          </cell>
          <cell r="AC130">
            <v>0</v>
          </cell>
          <cell r="AD130">
            <v>0</v>
          </cell>
          <cell r="AE130">
            <v>0</v>
          </cell>
          <cell r="AF130">
            <v>0</v>
          </cell>
          <cell r="AG130">
            <v>767.99</v>
          </cell>
          <cell r="AH130">
            <v>1626.33</v>
          </cell>
          <cell r="AI130">
            <v>1337.21</v>
          </cell>
          <cell r="AJ130">
            <v>0</v>
          </cell>
          <cell r="AK130">
            <v>0</v>
          </cell>
          <cell r="AL130">
            <v>5775.2533333333331</v>
          </cell>
          <cell r="AM130">
            <v>0</v>
          </cell>
          <cell r="AN130">
            <v>5</v>
          </cell>
          <cell r="AO130" t="str">
            <v>PF</v>
          </cell>
          <cell r="AP130">
            <v>859.35769599999992</v>
          </cell>
          <cell r="AQ130">
            <v>693.03039999999999</v>
          </cell>
          <cell r="AR130">
            <v>112.61744</v>
          </cell>
          <cell r="AS130">
            <v>50.244703999999992</v>
          </cell>
          <cell r="AT130">
            <v>855.89254399999993</v>
          </cell>
          <cell r="AU130">
            <v>0</v>
          </cell>
          <cell r="AV130">
            <v>0</v>
          </cell>
          <cell r="AW130">
            <v>0</v>
          </cell>
          <cell r="AX130">
            <v>20</v>
          </cell>
          <cell r="AY130">
            <v>0</v>
          </cell>
          <cell r="AZ130">
            <v>0</v>
          </cell>
          <cell r="BA130">
            <v>0</v>
          </cell>
          <cell r="BB130">
            <v>0</v>
          </cell>
          <cell r="BD130">
            <v>0</v>
          </cell>
          <cell r="BE130">
            <v>0</v>
          </cell>
          <cell r="BF130">
            <v>880.89254399999993</v>
          </cell>
          <cell r="BG130">
            <v>4894.3607893333328</v>
          </cell>
          <cell r="BH130">
            <v>519.77</v>
          </cell>
          <cell r="BI130">
            <v>61.374026676666666</v>
          </cell>
          <cell r="BJ130">
            <v>440.66551153846666</v>
          </cell>
          <cell r="BK130">
            <v>78.058228103333335</v>
          </cell>
          <cell r="BL130">
            <v>100.15</v>
          </cell>
          <cell r="BM130">
            <v>1200.0177663184666</v>
          </cell>
        </row>
        <row r="131">
          <cell r="A131">
            <v>120</v>
          </cell>
          <cell r="B131" t="str">
            <v>PICHARDO SOTO MARCELINO</v>
          </cell>
          <cell r="C131">
            <v>38420</v>
          </cell>
          <cell r="D131">
            <v>39716</v>
          </cell>
          <cell r="E131" t="str">
            <v>PERFORISTA</v>
          </cell>
          <cell r="F131">
            <v>56.15</v>
          </cell>
          <cell r="G131">
            <v>24</v>
          </cell>
          <cell r="H131">
            <v>192</v>
          </cell>
          <cell r="I131">
            <v>1347.6</v>
          </cell>
          <cell r="J131">
            <v>3.6923076923076925</v>
          </cell>
          <cell r="K131">
            <v>207.32</v>
          </cell>
          <cell r="L131">
            <v>0</v>
          </cell>
          <cell r="M131">
            <v>0</v>
          </cell>
          <cell r="N131">
            <v>31</v>
          </cell>
          <cell r="O131">
            <v>56.833333333333329</v>
          </cell>
          <cell r="P131">
            <v>26</v>
          </cell>
          <cell r="Q131">
            <v>228.109375</v>
          </cell>
          <cell r="R131">
            <v>26</v>
          </cell>
          <cell r="S131">
            <v>228.109375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16</v>
          </cell>
          <cell r="Y131">
            <v>224.6</v>
          </cell>
          <cell r="Z131">
            <v>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  <cell r="AG131">
            <v>796.32</v>
          </cell>
          <cell r="AH131">
            <v>1686.33</v>
          </cell>
          <cell r="AI131">
            <v>922.8</v>
          </cell>
          <cell r="AJ131">
            <v>0</v>
          </cell>
          <cell r="AK131">
            <v>0</v>
          </cell>
          <cell r="AL131">
            <v>5469.9127083333333</v>
          </cell>
          <cell r="AM131">
            <v>0</v>
          </cell>
          <cell r="AN131">
            <v>5</v>
          </cell>
          <cell r="AO131" t="str">
            <v>IN</v>
          </cell>
          <cell r="AP131">
            <v>802.98318558333335</v>
          </cell>
          <cell r="AQ131">
            <v>656.38952499999994</v>
          </cell>
          <cell r="AR131">
            <v>106.66329781250001</v>
          </cell>
          <cell r="AS131">
            <v>47.588240562499998</v>
          </cell>
          <cell r="AT131">
            <v>810.64106337499993</v>
          </cell>
          <cell r="AU131">
            <v>23.94</v>
          </cell>
          <cell r="AV131">
            <v>0</v>
          </cell>
          <cell r="AW131">
            <v>0</v>
          </cell>
          <cell r="AX131">
            <v>35</v>
          </cell>
          <cell r="AY131">
            <v>0</v>
          </cell>
          <cell r="AZ131">
            <v>0</v>
          </cell>
          <cell r="BA131">
            <v>0</v>
          </cell>
          <cell r="BB131">
            <v>0</v>
          </cell>
          <cell r="BD131">
            <v>0</v>
          </cell>
          <cell r="BE131">
            <v>0</v>
          </cell>
          <cell r="BF131">
            <v>874.58106337499999</v>
          </cell>
          <cell r="BG131">
            <v>4595.3316449583335</v>
          </cell>
          <cell r="BH131">
            <v>492.29</v>
          </cell>
          <cell r="BI131">
            <v>57.284225826041663</v>
          </cell>
          <cell r="BJ131">
            <v>411.30074143097914</v>
          </cell>
          <cell r="BK131">
            <v>72.856636730208336</v>
          </cell>
          <cell r="BL131">
            <v>93.47</v>
          </cell>
          <cell r="BM131">
            <v>1127.2016039872292</v>
          </cell>
        </row>
        <row r="132">
          <cell r="A132">
            <v>121</v>
          </cell>
          <cell r="B132" t="str">
            <v>POMA MARTINEZ VICTOR</v>
          </cell>
          <cell r="C132">
            <v>35942</v>
          </cell>
          <cell r="D132">
            <v>39716</v>
          </cell>
          <cell r="E132" t="str">
            <v>MEC.-PERF.</v>
          </cell>
          <cell r="F132">
            <v>56.15</v>
          </cell>
          <cell r="G132">
            <v>25</v>
          </cell>
          <cell r="H132">
            <v>200</v>
          </cell>
          <cell r="I132">
            <v>1403.75</v>
          </cell>
          <cell r="J132">
            <v>3.8461538461538463</v>
          </cell>
          <cell r="K132">
            <v>215.96</v>
          </cell>
          <cell r="L132">
            <v>0</v>
          </cell>
          <cell r="M132">
            <v>0</v>
          </cell>
          <cell r="N132">
            <v>31</v>
          </cell>
          <cell r="O132">
            <v>56.833333333333329</v>
          </cell>
          <cell r="P132">
            <v>24</v>
          </cell>
          <cell r="Q132">
            <v>210.5625</v>
          </cell>
          <cell r="R132">
            <v>24</v>
          </cell>
          <cell r="S132">
            <v>210.5625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8</v>
          </cell>
          <cell r="Y132">
            <v>112.3</v>
          </cell>
          <cell r="Z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0</v>
          </cell>
          <cell r="AF132">
            <v>0</v>
          </cell>
          <cell r="AG132">
            <v>796.32</v>
          </cell>
          <cell r="AH132">
            <v>0</v>
          </cell>
          <cell r="AI132">
            <v>557.42999999999995</v>
          </cell>
          <cell r="AJ132">
            <v>0</v>
          </cell>
          <cell r="AK132">
            <v>0</v>
          </cell>
          <cell r="AL132">
            <v>3353.1558333333332</v>
          </cell>
          <cell r="AM132">
            <v>435.91025833333333</v>
          </cell>
          <cell r="AN132">
            <v>5</v>
          </cell>
          <cell r="AO132" t="str">
            <v>ONP</v>
          </cell>
          <cell r="AP132">
            <v>0</v>
          </cell>
          <cell r="AQ132">
            <v>402.37869999999998</v>
          </cell>
          <cell r="AR132">
            <v>65.38653875</v>
          </cell>
          <cell r="AS132">
            <v>29.172455749999997</v>
          </cell>
          <cell r="AT132">
            <v>496.93769449999996</v>
          </cell>
          <cell r="AU132">
            <v>6.67</v>
          </cell>
          <cell r="AV132">
            <v>0</v>
          </cell>
          <cell r="AW132">
            <v>0</v>
          </cell>
          <cell r="AX132">
            <v>35</v>
          </cell>
          <cell r="AY132">
            <v>0</v>
          </cell>
          <cell r="AZ132">
            <v>0</v>
          </cell>
          <cell r="BA132">
            <v>0</v>
          </cell>
          <cell r="BB132">
            <v>0</v>
          </cell>
          <cell r="BD132">
            <v>0</v>
          </cell>
          <cell r="BE132">
            <v>0</v>
          </cell>
          <cell r="BF132">
            <v>979.5179528333332</v>
          </cell>
          <cell r="BG132">
            <v>2373.6378804999999</v>
          </cell>
          <cell r="BH132">
            <v>301.77999999999997</v>
          </cell>
          <cell r="BI132">
            <v>31.339136809166664</v>
          </cell>
          <cell r="BJ132">
            <v>225.01500228981666</v>
          </cell>
          <cell r="BK132">
            <v>39.858513805833333</v>
          </cell>
          <cell r="BL132">
            <v>0</v>
          </cell>
          <cell r="BM132">
            <v>597.99265290481662</v>
          </cell>
        </row>
        <row r="133">
          <cell r="A133">
            <v>122</v>
          </cell>
          <cell r="B133" t="str">
            <v>PORTAL RIVERA ROMEL</v>
          </cell>
          <cell r="C133">
            <v>38549</v>
          </cell>
          <cell r="D133">
            <v>39716</v>
          </cell>
          <cell r="E133" t="str">
            <v>PERFORISTA</v>
          </cell>
          <cell r="F133">
            <v>56.15</v>
          </cell>
          <cell r="G133">
            <v>22</v>
          </cell>
          <cell r="H133">
            <v>176</v>
          </cell>
          <cell r="I133">
            <v>1235.3</v>
          </cell>
          <cell r="J133">
            <v>3.3846153846153846</v>
          </cell>
          <cell r="K133">
            <v>190.05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32</v>
          </cell>
          <cell r="Q133">
            <v>280.75</v>
          </cell>
          <cell r="R133">
            <v>32</v>
          </cell>
          <cell r="S133">
            <v>280.75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  <cell r="Y133">
            <v>0</v>
          </cell>
          <cell r="Z133">
            <v>0</v>
          </cell>
          <cell r="AB133">
            <v>0</v>
          </cell>
          <cell r="AC133">
            <v>0</v>
          </cell>
          <cell r="AD133">
            <v>0</v>
          </cell>
          <cell r="AE133">
            <v>0</v>
          </cell>
          <cell r="AF133">
            <v>0</v>
          </cell>
          <cell r="AG133">
            <v>795.46</v>
          </cell>
          <cell r="AH133">
            <v>1684.5</v>
          </cell>
          <cell r="AI133">
            <v>327.54000000000002</v>
          </cell>
          <cell r="AJ133">
            <v>0</v>
          </cell>
          <cell r="AK133">
            <v>0</v>
          </cell>
          <cell r="AL133">
            <v>4513.5999999999995</v>
          </cell>
          <cell r="AM133">
            <v>0</v>
          </cell>
          <cell r="AN133">
            <v>5</v>
          </cell>
          <cell r="AO133" t="str">
            <v>IN</v>
          </cell>
          <cell r="AP133">
            <v>662.59647999999993</v>
          </cell>
          <cell r="AQ133">
            <v>541.63199999999995</v>
          </cell>
          <cell r="AR133">
            <v>88.015199999999993</v>
          </cell>
          <cell r="AS133">
            <v>39.268319999999996</v>
          </cell>
          <cell r="AT133">
            <v>668.9155199999999</v>
          </cell>
          <cell r="AU133">
            <v>9.9600000000000009</v>
          </cell>
          <cell r="AV133">
            <v>0</v>
          </cell>
          <cell r="AW133">
            <v>0</v>
          </cell>
          <cell r="AX133">
            <v>17.5</v>
          </cell>
          <cell r="AY133">
            <v>0</v>
          </cell>
          <cell r="AZ133">
            <v>0</v>
          </cell>
          <cell r="BA133">
            <v>0</v>
          </cell>
          <cell r="BB133">
            <v>0</v>
          </cell>
          <cell r="BD133">
            <v>0</v>
          </cell>
          <cell r="BE133">
            <v>0</v>
          </cell>
          <cell r="BF133">
            <v>701.37551999999994</v>
          </cell>
          <cell r="BG133">
            <v>3812.2244799999994</v>
          </cell>
          <cell r="BH133">
            <v>406.22</v>
          </cell>
          <cell r="BI133">
            <v>45.573241979999999</v>
          </cell>
          <cell r="BJ133">
            <v>327.21587741639996</v>
          </cell>
          <cell r="BK133">
            <v>57.962084459999993</v>
          </cell>
          <cell r="BL133">
            <v>74.36</v>
          </cell>
          <cell r="BM133">
            <v>911.33120385639995</v>
          </cell>
        </row>
        <row r="134">
          <cell r="A134">
            <v>123</v>
          </cell>
          <cell r="B134" t="str">
            <v xml:space="preserve">PORTAL TRUJILLO RUBEN </v>
          </cell>
          <cell r="C134">
            <v>39676</v>
          </cell>
          <cell r="D134">
            <v>39716</v>
          </cell>
          <cell r="E134" t="str">
            <v>AYTE. PERF.</v>
          </cell>
          <cell r="F134">
            <v>50.15</v>
          </cell>
          <cell r="G134">
            <v>22</v>
          </cell>
          <cell r="H134">
            <v>176</v>
          </cell>
          <cell r="I134">
            <v>1103.3</v>
          </cell>
          <cell r="J134">
            <v>3.3846153846153846</v>
          </cell>
          <cell r="K134">
            <v>169.74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14</v>
          </cell>
          <cell r="Q134">
            <v>109.703125</v>
          </cell>
          <cell r="R134">
            <v>14</v>
          </cell>
          <cell r="S134">
            <v>109.703125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270.75</v>
          </cell>
          <cell r="AH134">
            <v>0</v>
          </cell>
          <cell r="AI134">
            <v>180.5</v>
          </cell>
          <cell r="AJ134">
            <v>0</v>
          </cell>
          <cell r="AK134">
            <v>0</v>
          </cell>
          <cell r="AL134">
            <v>1833.993125</v>
          </cell>
          <cell r="AM134">
            <v>0</v>
          </cell>
          <cell r="AN134">
            <v>0</v>
          </cell>
          <cell r="AO134" t="str">
            <v>PF</v>
          </cell>
          <cell r="AP134">
            <v>272.89817699999998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0</v>
          </cell>
          <cell r="AW134">
            <v>0</v>
          </cell>
          <cell r="AX134">
            <v>0</v>
          </cell>
          <cell r="AY134">
            <v>0</v>
          </cell>
          <cell r="AZ134">
            <v>0</v>
          </cell>
          <cell r="BA134">
            <v>0</v>
          </cell>
          <cell r="BB134">
            <v>0</v>
          </cell>
          <cell r="BD134">
            <v>0</v>
          </cell>
          <cell r="BE134">
            <v>0</v>
          </cell>
          <cell r="BF134">
            <v>0</v>
          </cell>
          <cell r="BG134">
            <v>1833.993125</v>
          </cell>
          <cell r="BH134">
            <v>165.06</v>
          </cell>
          <cell r="BI134">
            <v>19.160670983124998</v>
          </cell>
          <cell r="BJ134">
            <v>137.57361765883752</v>
          </cell>
          <cell r="BK134">
            <v>24.369397075624999</v>
          </cell>
          <cell r="BL134">
            <v>31.26</v>
          </cell>
          <cell r="BM134">
            <v>377.42368571758749</v>
          </cell>
        </row>
        <row r="135">
          <cell r="A135">
            <v>124</v>
          </cell>
          <cell r="B135" t="str">
            <v>QUISPE HUACHO EDGAR</v>
          </cell>
          <cell r="C135">
            <v>38755</v>
          </cell>
          <cell r="D135">
            <v>39716</v>
          </cell>
          <cell r="E135" t="str">
            <v>OP. SCOOP</v>
          </cell>
          <cell r="F135">
            <v>59.65</v>
          </cell>
          <cell r="G135">
            <v>17</v>
          </cell>
          <cell r="H135">
            <v>136</v>
          </cell>
          <cell r="I135">
            <v>1014.05</v>
          </cell>
          <cell r="J135">
            <v>2.6153846153846154</v>
          </cell>
          <cell r="K135">
            <v>156.01</v>
          </cell>
          <cell r="L135">
            <v>0</v>
          </cell>
          <cell r="M135">
            <v>0</v>
          </cell>
          <cell r="N135">
            <v>31</v>
          </cell>
          <cell r="O135">
            <v>56.833333333333329</v>
          </cell>
          <cell r="P135">
            <v>18</v>
          </cell>
          <cell r="Q135">
            <v>167.765625</v>
          </cell>
          <cell r="R135">
            <v>18</v>
          </cell>
          <cell r="S135">
            <v>167.765625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B135">
            <v>238.6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845.91</v>
          </cell>
          <cell r="AH135">
            <v>1791.33</v>
          </cell>
          <cell r="AI135">
            <v>1139.48</v>
          </cell>
          <cell r="AJ135">
            <v>0</v>
          </cell>
          <cell r="AK135">
            <v>0</v>
          </cell>
          <cell r="AL135">
            <v>5409.9789583333331</v>
          </cell>
          <cell r="AM135">
            <v>0</v>
          </cell>
          <cell r="AN135">
            <v>5</v>
          </cell>
          <cell r="AO135" t="str">
            <v>PF</v>
          </cell>
          <cell r="AP135">
            <v>805.00486899999987</v>
          </cell>
          <cell r="AQ135">
            <v>649.19747499999994</v>
          </cell>
          <cell r="AR135">
            <v>105.4945896875</v>
          </cell>
          <cell r="AS135">
            <v>47.066816937499993</v>
          </cell>
          <cell r="AT135">
            <v>801.75888162499996</v>
          </cell>
          <cell r="AU135">
            <v>54.45</v>
          </cell>
          <cell r="AV135">
            <v>0</v>
          </cell>
          <cell r="AW135">
            <v>0</v>
          </cell>
          <cell r="AX135">
            <v>35</v>
          </cell>
          <cell r="AY135">
            <v>0</v>
          </cell>
          <cell r="AZ135">
            <v>0</v>
          </cell>
          <cell r="BA135">
            <v>0</v>
          </cell>
          <cell r="BB135">
            <v>0</v>
          </cell>
          <cell r="BD135">
            <v>0</v>
          </cell>
          <cell r="BE135">
            <v>0</v>
          </cell>
          <cell r="BF135">
            <v>896.208881625</v>
          </cell>
          <cell r="BG135">
            <v>4513.7700767083334</v>
          </cell>
          <cell r="BH135">
            <v>486.9</v>
          </cell>
          <cell r="BI135">
            <v>55.941793222291665</v>
          </cell>
          <cell r="BJ135">
            <v>401.66207533605422</v>
          </cell>
          <cell r="BK135">
            <v>71.149270991458337</v>
          </cell>
          <cell r="BL135">
            <v>91.28</v>
          </cell>
          <cell r="BM135">
            <v>1106.9331395498041</v>
          </cell>
        </row>
        <row r="136">
          <cell r="A136">
            <v>125</v>
          </cell>
          <cell r="B136" t="str">
            <v>QUISPE HUACHO GAMANIEL</v>
          </cell>
          <cell r="C136">
            <v>39183</v>
          </cell>
          <cell r="D136">
            <v>39716</v>
          </cell>
          <cell r="E136" t="str">
            <v>AYTE. PERF.</v>
          </cell>
          <cell r="F136">
            <v>54.15</v>
          </cell>
          <cell r="G136">
            <v>5</v>
          </cell>
          <cell r="H136">
            <v>40</v>
          </cell>
          <cell r="I136">
            <v>270.75</v>
          </cell>
          <cell r="J136">
            <v>0.76923076923076927</v>
          </cell>
          <cell r="K136">
            <v>41.65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6</v>
          </cell>
          <cell r="Q136">
            <v>50.765625</v>
          </cell>
          <cell r="R136">
            <v>6</v>
          </cell>
          <cell r="S136">
            <v>50.765625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767.99</v>
          </cell>
          <cell r="AH136">
            <v>1626.33</v>
          </cell>
          <cell r="AI136">
            <v>731.85</v>
          </cell>
          <cell r="AJ136">
            <v>0</v>
          </cell>
          <cell r="AK136">
            <v>0</v>
          </cell>
          <cell r="AL136">
            <v>3489.3356249999997</v>
          </cell>
          <cell r="AM136">
            <v>0</v>
          </cell>
          <cell r="AN136">
            <v>5</v>
          </cell>
          <cell r="AO136" t="str">
            <v>HR</v>
          </cell>
          <cell r="AP136">
            <v>517.46847318749997</v>
          </cell>
          <cell r="AQ136">
            <v>418.72027499999996</v>
          </cell>
          <cell r="AR136">
            <v>68.042044687499995</v>
          </cell>
          <cell r="AS136">
            <v>30.357219937499995</v>
          </cell>
          <cell r="AT136">
            <v>517.1195396249999</v>
          </cell>
          <cell r="AU136">
            <v>2.34</v>
          </cell>
          <cell r="AV136">
            <v>0</v>
          </cell>
          <cell r="AW136">
            <v>0</v>
          </cell>
          <cell r="AX136">
            <v>49.33</v>
          </cell>
          <cell r="AY136">
            <v>0</v>
          </cell>
          <cell r="AZ136">
            <v>0</v>
          </cell>
          <cell r="BA136">
            <v>0</v>
          </cell>
          <cell r="BB136">
            <v>0</v>
          </cell>
          <cell r="BD136">
            <v>0</v>
          </cell>
          <cell r="BE136">
            <v>0</v>
          </cell>
          <cell r="BF136">
            <v>573.78953962499997</v>
          </cell>
          <cell r="BG136">
            <v>2915.5460853749996</v>
          </cell>
          <cell r="BH136">
            <v>314.04000000000002</v>
          </cell>
          <cell r="BI136">
            <v>33.355533325624997</v>
          </cell>
          <cell r="BJ136">
            <v>239.49272927798751</v>
          </cell>
          <cell r="BK136">
            <v>42.423056948125001</v>
          </cell>
          <cell r="BL136">
            <v>54.43</v>
          </cell>
          <cell r="BM136">
            <v>683.74131955173755</v>
          </cell>
        </row>
        <row r="137">
          <cell r="A137">
            <v>126</v>
          </cell>
          <cell r="B137" t="str">
            <v>QUISPE HUANCA CARLOS ANTONIO</v>
          </cell>
          <cell r="C137">
            <v>37953</v>
          </cell>
          <cell r="D137">
            <v>39716</v>
          </cell>
          <cell r="E137" t="str">
            <v>PERFORISTA</v>
          </cell>
          <cell r="F137">
            <v>56.15</v>
          </cell>
          <cell r="G137">
            <v>26</v>
          </cell>
          <cell r="H137">
            <v>208</v>
          </cell>
          <cell r="I137">
            <v>1459.9</v>
          </cell>
          <cell r="J137">
            <v>4</v>
          </cell>
          <cell r="K137">
            <v>224.6</v>
          </cell>
          <cell r="L137">
            <v>0</v>
          </cell>
          <cell r="M137">
            <v>0</v>
          </cell>
          <cell r="N137">
            <v>31</v>
          </cell>
          <cell r="O137">
            <v>56.833333333333329</v>
          </cell>
          <cell r="P137">
            <v>34</v>
          </cell>
          <cell r="Q137">
            <v>298.296875</v>
          </cell>
          <cell r="R137">
            <v>34</v>
          </cell>
          <cell r="S137">
            <v>298.296875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16</v>
          </cell>
          <cell r="Y137">
            <v>224.6</v>
          </cell>
          <cell r="Z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795.46</v>
          </cell>
          <cell r="AH137">
            <v>0</v>
          </cell>
          <cell r="AI137">
            <v>1394.39</v>
          </cell>
          <cell r="AJ137">
            <v>0</v>
          </cell>
          <cell r="AK137">
            <v>0</v>
          </cell>
          <cell r="AL137">
            <v>4454.0802083333338</v>
          </cell>
          <cell r="AM137">
            <v>0</v>
          </cell>
          <cell r="AN137">
            <v>5</v>
          </cell>
          <cell r="AO137" t="str">
            <v>IN</v>
          </cell>
          <cell r="AP137">
            <v>653.85897458333341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54.14</v>
          </cell>
          <cell r="AV137">
            <v>0</v>
          </cell>
          <cell r="AW137">
            <v>0</v>
          </cell>
          <cell r="AX137">
            <v>35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D137">
            <v>0</v>
          </cell>
          <cell r="BE137">
            <v>0</v>
          </cell>
          <cell r="BF137">
            <v>94.14</v>
          </cell>
          <cell r="BG137">
            <v>4359.9402083333334</v>
          </cell>
          <cell r="BH137">
            <v>400.87</v>
          </cell>
          <cell r="BI137">
            <v>44.843707893541676</v>
          </cell>
          <cell r="BJ137">
            <v>321.97782267562917</v>
          </cell>
          <cell r="BK137">
            <v>57.034230427708344</v>
          </cell>
          <cell r="BL137">
            <v>73.17</v>
          </cell>
          <cell r="BM137">
            <v>897.89576099687918</v>
          </cell>
        </row>
        <row r="138">
          <cell r="A138">
            <v>127</v>
          </cell>
          <cell r="B138" t="str">
            <v>QUISPE HUILLCAS PABLO</v>
          </cell>
          <cell r="C138">
            <v>35434</v>
          </cell>
          <cell r="D138">
            <v>39716</v>
          </cell>
          <cell r="E138" t="str">
            <v>PERFORISTA</v>
          </cell>
          <cell r="F138">
            <v>56.15</v>
          </cell>
          <cell r="G138">
            <v>24</v>
          </cell>
          <cell r="H138">
            <v>192</v>
          </cell>
          <cell r="I138">
            <v>1347.6</v>
          </cell>
          <cell r="J138">
            <v>3.6923076923076925</v>
          </cell>
          <cell r="K138">
            <v>207.32</v>
          </cell>
          <cell r="L138">
            <v>0</v>
          </cell>
          <cell r="M138">
            <v>0</v>
          </cell>
          <cell r="N138">
            <v>31</v>
          </cell>
          <cell r="O138">
            <v>56.833333333333329</v>
          </cell>
          <cell r="P138">
            <v>34</v>
          </cell>
          <cell r="Q138">
            <v>298.296875</v>
          </cell>
          <cell r="R138">
            <v>34</v>
          </cell>
          <cell r="S138">
            <v>298.296875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796.32</v>
          </cell>
          <cell r="AH138">
            <v>0</v>
          </cell>
          <cell r="AI138">
            <v>1227.28</v>
          </cell>
          <cell r="AJ138">
            <v>0</v>
          </cell>
          <cell r="AK138">
            <v>0</v>
          </cell>
          <cell r="AL138">
            <v>3933.6502083333335</v>
          </cell>
          <cell r="AM138">
            <v>0</v>
          </cell>
          <cell r="AN138">
            <v>5</v>
          </cell>
          <cell r="AO138" t="str">
            <v>IN</v>
          </cell>
          <cell r="AP138">
            <v>577.45985058333338</v>
          </cell>
          <cell r="AQ138">
            <v>472.038025</v>
          </cell>
          <cell r="AR138">
            <v>76.706179062499999</v>
          </cell>
          <cell r="AS138">
            <v>34.222756812500002</v>
          </cell>
          <cell r="AT138">
            <v>582.96696087500004</v>
          </cell>
          <cell r="AU138">
            <v>16.170000000000002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D138">
            <v>0</v>
          </cell>
          <cell r="BE138">
            <v>0</v>
          </cell>
          <cell r="BF138">
            <v>604.136960875</v>
          </cell>
          <cell r="BG138">
            <v>3329.5132474583334</v>
          </cell>
          <cell r="BH138">
            <v>354.03</v>
          </cell>
          <cell r="BI138">
            <v>38.454256363541667</v>
          </cell>
          <cell r="BJ138">
            <v>276.10156069022918</v>
          </cell>
          <cell r="BK138">
            <v>48.907840617708338</v>
          </cell>
          <cell r="BL138">
            <v>62.75</v>
          </cell>
          <cell r="BM138">
            <v>780.24365767147913</v>
          </cell>
        </row>
        <row r="139">
          <cell r="A139">
            <v>128</v>
          </cell>
          <cell r="B139" t="str">
            <v>QUISPE HUINCHO MAXIMO</v>
          </cell>
          <cell r="C139">
            <v>37454</v>
          </cell>
          <cell r="D139">
            <v>39716</v>
          </cell>
          <cell r="E139" t="str">
            <v>PERFORISTA</v>
          </cell>
          <cell r="F139">
            <v>56.15</v>
          </cell>
          <cell r="G139">
            <v>25</v>
          </cell>
          <cell r="H139">
            <v>200</v>
          </cell>
          <cell r="I139">
            <v>1403.75</v>
          </cell>
          <cell r="J139">
            <v>4</v>
          </cell>
          <cell r="K139">
            <v>224.6</v>
          </cell>
          <cell r="L139">
            <v>0</v>
          </cell>
          <cell r="M139">
            <v>0</v>
          </cell>
          <cell r="N139">
            <v>31</v>
          </cell>
          <cell r="O139">
            <v>56.833333333333329</v>
          </cell>
          <cell r="P139">
            <v>20</v>
          </cell>
          <cell r="Q139">
            <v>175.46875</v>
          </cell>
          <cell r="R139">
            <v>20</v>
          </cell>
          <cell r="S139">
            <v>175.46875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8</v>
          </cell>
          <cell r="Y139">
            <v>112.3</v>
          </cell>
          <cell r="Z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  <cell r="AG139">
            <v>796.32</v>
          </cell>
          <cell r="AH139">
            <v>1686.33</v>
          </cell>
          <cell r="AI139">
            <v>323.22000000000003</v>
          </cell>
          <cell r="AJ139">
            <v>1</v>
          </cell>
          <cell r="AK139">
            <v>56.15</v>
          </cell>
          <cell r="AL139">
            <v>4834.9720833333331</v>
          </cell>
          <cell r="AM139">
            <v>0</v>
          </cell>
          <cell r="AN139">
            <v>5</v>
          </cell>
          <cell r="AO139" t="str">
            <v>PF</v>
          </cell>
          <cell r="AP139">
            <v>719.44384599999989</v>
          </cell>
          <cell r="AQ139">
            <v>580.19664999999998</v>
          </cell>
          <cell r="AR139">
            <v>94.281955624999995</v>
          </cell>
          <cell r="AS139">
            <v>42.064257124999997</v>
          </cell>
          <cell r="AT139">
            <v>716.54286275000004</v>
          </cell>
          <cell r="AU139">
            <v>40.07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D139">
            <v>0</v>
          </cell>
          <cell r="BE139">
            <v>0</v>
          </cell>
          <cell r="BF139">
            <v>761.61286275000009</v>
          </cell>
          <cell r="BG139">
            <v>4073.3592205833329</v>
          </cell>
          <cell r="BH139">
            <v>435.15</v>
          </cell>
          <cell r="BI139">
            <v>49.50175858541666</v>
          </cell>
          <cell r="BJ139">
            <v>355.42262664329166</v>
          </cell>
          <cell r="BK139">
            <v>62.958547327083323</v>
          </cell>
          <cell r="BL139">
            <v>80.77</v>
          </cell>
          <cell r="BM139">
            <v>983.8029325557917</v>
          </cell>
        </row>
        <row r="140">
          <cell r="A140">
            <v>129</v>
          </cell>
          <cell r="B140" t="str">
            <v>QUISPE PARIONA NICOLAS</v>
          </cell>
          <cell r="C140">
            <v>38667</v>
          </cell>
          <cell r="D140">
            <v>39716</v>
          </cell>
          <cell r="E140" t="str">
            <v>PERFORISTA</v>
          </cell>
          <cell r="F140">
            <v>56.15</v>
          </cell>
          <cell r="G140">
            <v>25</v>
          </cell>
          <cell r="H140">
            <v>200</v>
          </cell>
          <cell r="I140">
            <v>1403.75</v>
          </cell>
          <cell r="J140">
            <v>5.384615384615385</v>
          </cell>
          <cell r="K140">
            <v>302.35000000000002</v>
          </cell>
          <cell r="L140">
            <v>0</v>
          </cell>
          <cell r="M140">
            <v>0</v>
          </cell>
          <cell r="N140">
            <v>31</v>
          </cell>
          <cell r="O140">
            <v>56.833333333333329</v>
          </cell>
          <cell r="P140">
            <v>34</v>
          </cell>
          <cell r="Q140">
            <v>298.296875</v>
          </cell>
          <cell r="R140">
            <v>34</v>
          </cell>
          <cell r="S140">
            <v>298.296875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796.32</v>
          </cell>
          <cell r="AH140">
            <v>0</v>
          </cell>
          <cell r="AI140">
            <v>1335.01</v>
          </cell>
          <cell r="AJ140">
            <v>10</v>
          </cell>
          <cell r="AK140">
            <v>561.5</v>
          </cell>
          <cell r="AL140">
            <v>4754.0602083333333</v>
          </cell>
          <cell r="AM140">
            <v>0</v>
          </cell>
          <cell r="AN140">
            <v>5</v>
          </cell>
          <cell r="AO140" t="str">
            <v>IN</v>
          </cell>
          <cell r="AP140">
            <v>697.89603858333339</v>
          </cell>
          <cell r="AQ140">
            <v>570.48722499999997</v>
          </cell>
          <cell r="AR140">
            <v>92.704174062500002</v>
          </cell>
          <cell r="AS140">
            <v>41.360323812499999</v>
          </cell>
          <cell r="AT140">
            <v>704.551722875</v>
          </cell>
          <cell r="AU140">
            <v>1.55</v>
          </cell>
          <cell r="AV140">
            <v>0</v>
          </cell>
          <cell r="AW140">
            <v>0</v>
          </cell>
          <cell r="AX140">
            <v>36</v>
          </cell>
          <cell r="AY140">
            <v>0</v>
          </cell>
          <cell r="AZ140">
            <v>0</v>
          </cell>
          <cell r="BA140">
            <v>0</v>
          </cell>
          <cell r="BB140">
            <v>0</v>
          </cell>
          <cell r="BD140">
            <v>0</v>
          </cell>
          <cell r="BE140">
            <v>0</v>
          </cell>
          <cell r="BF140">
            <v>747.10172287499995</v>
          </cell>
          <cell r="BG140">
            <v>4006.9584854583336</v>
          </cell>
          <cell r="BH140">
            <v>427.87</v>
          </cell>
          <cell r="BI140">
            <v>48.51002173354167</v>
          </cell>
          <cell r="BJ140">
            <v>348.30195604682916</v>
          </cell>
          <cell r="BK140">
            <v>61.697212107708332</v>
          </cell>
          <cell r="BL140">
            <v>79.150000000000006</v>
          </cell>
          <cell r="BM140">
            <v>965.52918988807915</v>
          </cell>
        </row>
        <row r="141">
          <cell r="A141">
            <v>130</v>
          </cell>
          <cell r="B141" t="str">
            <v>QUISPE ROQUE MARIO</v>
          </cell>
          <cell r="C141">
            <v>38266</v>
          </cell>
          <cell r="D141">
            <v>39716</v>
          </cell>
          <cell r="E141" t="str">
            <v>PERFORISTA</v>
          </cell>
          <cell r="F141">
            <v>56.15</v>
          </cell>
          <cell r="G141">
            <v>24</v>
          </cell>
          <cell r="H141">
            <v>192</v>
          </cell>
          <cell r="I141">
            <v>1347.6</v>
          </cell>
          <cell r="J141">
            <v>7.5384615384615383</v>
          </cell>
          <cell r="K141">
            <v>423.28</v>
          </cell>
          <cell r="L141">
            <v>0</v>
          </cell>
          <cell r="M141">
            <v>0</v>
          </cell>
          <cell r="N141">
            <v>31</v>
          </cell>
          <cell r="O141">
            <v>56.833333333333329</v>
          </cell>
          <cell r="P141">
            <v>32</v>
          </cell>
          <cell r="Q141">
            <v>280.75</v>
          </cell>
          <cell r="R141">
            <v>32</v>
          </cell>
          <cell r="S141">
            <v>280.75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8</v>
          </cell>
          <cell r="Y141">
            <v>112.3</v>
          </cell>
          <cell r="Z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796.32</v>
          </cell>
          <cell r="AH141">
            <v>0</v>
          </cell>
          <cell r="AI141">
            <v>1639.49</v>
          </cell>
          <cell r="AJ141">
            <v>25</v>
          </cell>
          <cell r="AK141">
            <v>1403.75</v>
          </cell>
          <cell r="AL141">
            <v>6060.3233333333337</v>
          </cell>
          <cell r="AM141">
            <v>0</v>
          </cell>
          <cell r="AN141">
            <v>5</v>
          </cell>
          <cell r="AO141" t="str">
            <v>PR</v>
          </cell>
          <cell r="AP141">
            <v>870.86846300000002</v>
          </cell>
          <cell r="AQ141">
            <v>727.23879999999997</v>
          </cell>
          <cell r="AR141">
            <v>118.17630500000001</v>
          </cell>
          <cell r="AS141">
            <v>52.724812999999997</v>
          </cell>
          <cell r="AT141">
            <v>898.13991800000008</v>
          </cell>
          <cell r="AU141">
            <v>18.54</v>
          </cell>
          <cell r="AV141">
            <v>0</v>
          </cell>
          <cell r="AW141">
            <v>0</v>
          </cell>
          <cell r="AX141">
            <v>35</v>
          </cell>
          <cell r="AY141">
            <v>0</v>
          </cell>
          <cell r="AZ141">
            <v>0</v>
          </cell>
          <cell r="BA141">
            <v>0</v>
          </cell>
          <cell r="BB141">
            <v>0</v>
          </cell>
          <cell r="BD141">
            <v>0</v>
          </cell>
          <cell r="BE141">
            <v>0</v>
          </cell>
          <cell r="BF141">
            <v>956.67991800000004</v>
          </cell>
          <cell r="BG141">
            <v>5103.6434153333339</v>
          </cell>
          <cell r="BH141">
            <v>545.42999999999995</v>
          </cell>
          <cell r="BI141">
            <v>64.520888856666673</v>
          </cell>
          <cell r="BJ141">
            <v>463.25998199086678</v>
          </cell>
          <cell r="BK141">
            <v>82.060547963333349</v>
          </cell>
          <cell r="BL141">
            <v>105.28</v>
          </cell>
          <cell r="BM141">
            <v>1260.5514188108668</v>
          </cell>
        </row>
        <row r="142">
          <cell r="A142">
            <v>131</v>
          </cell>
          <cell r="B142" t="str">
            <v>QUISPE TORRES MELITON</v>
          </cell>
          <cell r="C142">
            <v>37860</v>
          </cell>
          <cell r="D142">
            <v>39716</v>
          </cell>
          <cell r="E142" t="str">
            <v>PERFORISTA</v>
          </cell>
          <cell r="F142">
            <v>56.15</v>
          </cell>
          <cell r="G142">
            <v>3</v>
          </cell>
          <cell r="H142">
            <v>24</v>
          </cell>
          <cell r="I142">
            <v>168.45</v>
          </cell>
          <cell r="J142">
            <v>0.46153846153846156</v>
          </cell>
          <cell r="K142">
            <v>25.92</v>
          </cell>
          <cell r="L142">
            <v>0</v>
          </cell>
          <cell r="M142">
            <v>0</v>
          </cell>
          <cell r="N142">
            <v>31</v>
          </cell>
          <cell r="O142">
            <v>56.833333333333329</v>
          </cell>
          <cell r="P142">
            <v>2</v>
          </cell>
          <cell r="Q142">
            <v>17.546875</v>
          </cell>
          <cell r="R142">
            <v>2</v>
          </cell>
          <cell r="S142">
            <v>17.546875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  <cell r="AG142">
            <v>796.32</v>
          </cell>
          <cell r="AH142">
            <v>0</v>
          </cell>
          <cell r="AI142">
            <v>1545.81</v>
          </cell>
          <cell r="AJ142">
            <v>0</v>
          </cell>
          <cell r="AK142">
            <v>0</v>
          </cell>
          <cell r="AL142">
            <v>2610.880208333333</v>
          </cell>
          <cell r="AM142">
            <v>0</v>
          </cell>
          <cell r="AN142">
            <v>5</v>
          </cell>
          <cell r="AO142" t="str">
            <v>PR</v>
          </cell>
          <cell r="AP142">
            <v>375.18348593749994</v>
          </cell>
          <cell r="AQ142">
            <v>313.30562499999996</v>
          </cell>
          <cell r="AR142">
            <v>50.912164062499997</v>
          </cell>
          <cell r="AS142">
            <v>22.714657812499997</v>
          </cell>
          <cell r="AT142">
            <v>386.93244687499993</v>
          </cell>
          <cell r="AU142">
            <v>46.19</v>
          </cell>
          <cell r="AV142">
            <v>0</v>
          </cell>
          <cell r="AW142">
            <v>0</v>
          </cell>
          <cell r="AX142">
            <v>35</v>
          </cell>
          <cell r="AY142">
            <v>0</v>
          </cell>
          <cell r="AZ142">
            <v>0</v>
          </cell>
          <cell r="BA142">
            <v>0</v>
          </cell>
          <cell r="BB142">
            <v>0</v>
          </cell>
          <cell r="BD142">
            <v>0</v>
          </cell>
          <cell r="BE142">
            <v>0</v>
          </cell>
          <cell r="BF142">
            <v>473.12244687499992</v>
          </cell>
          <cell r="BG142">
            <v>2137.7577614583333</v>
          </cell>
          <cell r="BH142">
            <v>234.98</v>
          </cell>
          <cell r="BI142">
            <v>22.241064473541662</v>
          </cell>
          <cell r="BJ142">
            <v>159.69084292002913</v>
          </cell>
          <cell r="BK142">
            <v>28.287179087708328</v>
          </cell>
          <cell r="BL142">
            <v>36.29</v>
          </cell>
          <cell r="BM142">
            <v>481.48908648127917</v>
          </cell>
        </row>
        <row r="143">
          <cell r="A143">
            <v>132</v>
          </cell>
          <cell r="B143" t="str">
            <v>RIVERA NATO EDWIN OSCAR</v>
          </cell>
          <cell r="C143">
            <v>39639</v>
          </cell>
          <cell r="D143">
            <v>39716</v>
          </cell>
          <cell r="E143" t="str">
            <v>PERFORISTA</v>
          </cell>
          <cell r="F143">
            <v>54.15</v>
          </cell>
          <cell r="G143">
            <v>25</v>
          </cell>
          <cell r="H143">
            <v>200</v>
          </cell>
          <cell r="I143">
            <v>1353.75</v>
          </cell>
          <cell r="J143">
            <v>3.8461538461538463</v>
          </cell>
          <cell r="K143">
            <v>208.27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38</v>
          </cell>
          <cell r="Q143">
            <v>321.515625</v>
          </cell>
          <cell r="R143">
            <v>38</v>
          </cell>
          <cell r="S143">
            <v>321.515625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496.38</v>
          </cell>
          <cell r="AH143">
            <v>0</v>
          </cell>
          <cell r="AI143">
            <v>342.95</v>
          </cell>
          <cell r="AJ143">
            <v>0</v>
          </cell>
          <cell r="AK143">
            <v>0</v>
          </cell>
          <cell r="AL143">
            <v>2722.8656249999999</v>
          </cell>
          <cell r="AM143">
            <v>0</v>
          </cell>
          <cell r="AN143">
            <v>5</v>
          </cell>
          <cell r="AO143" t="str">
            <v>PR</v>
          </cell>
          <cell r="AP143">
            <v>391.27579031249996</v>
          </cell>
          <cell r="AQ143">
            <v>326.743875</v>
          </cell>
          <cell r="AR143">
            <v>53.095879687499995</v>
          </cell>
          <cell r="AS143">
            <v>23.688930937499997</v>
          </cell>
          <cell r="AT143">
            <v>403.52868562499998</v>
          </cell>
          <cell r="AU143">
            <v>0</v>
          </cell>
          <cell r="AV143">
            <v>0</v>
          </cell>
          <cell r="AW143">
            <v>0</v>
          </cell>
          <cell r="AX143">
            <v>0</v>
          </cell>
          <cell r="AY143">
            <v>0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E143">
            <v>0</v>
          </cell>
          <cell r="BF143">
            <v>408.52868562499998</v>
          </cell>
          <cell r="BG143">
            <v>2314.3369393749999</v>
          </cell>
          <cell r="BH143">
            <v>245.06</v>
          </cell>
          <cell r="BI143">
            <v>27.290034305624999</v>
          </cell>
          <cell r="BJ143">
            <v>195.94244631438747</v>
          </cell>
          <cell r="BK143">
            <v>34.708684408124995</v>
          </cell>
          <cell r="BL143">
            <v>44.53</v>
          </cell>
          <cell r="BM143">
            <v>547.53116502813748</v>
          </cell>
        </row>
        <row r="144">
          <cell r="A144">
            <v>133</v>
          </cell>
          <cell r="B144" t="str">
            <v>RIVERA NATO GERAMIAS ROLANDO</v>
          </cell>
          <cell r="C144">
            <v>38817</v>
          </cell>
          <cell r="D144">
            <v>39716</v>
          </cell>
          <cell r="E144" t="str">
            <v>AYTE. PERF.</v>
          </cell>
          <cell r="F144">
            <v>54.15</v>
          </cell>
          <cell r="G144">
            <v>23</v>
          </cell>
          <cell r="H144">
            <v>184</v>
          </cell>
          <cell r="I144">
            <v>1245.45</v>
          </cell>
          <cell r="J144">
            <v>3.5384615384615383</v>
          </cell>
          <cell r="K144">
            <v>191.61</v>
          </cell>
          <cell r="L144">
            <v>0</v>
          </cell>
          <cell r="M144">
            <v>0</v>
          </cell>
          <cell r="N144">
            <v>31</v>
          </cell>
          <cell r="O144">
            <v>56.833333333333329</v>
          </cell>
          <cell r="P144">
            <v>24</v>
          </cell>
          <cell r="Q144">
            <v>203.0625</v>
          </cell>
          <cell r="R144">
            <v>24</v>
          </cell>
          <cell r="S144">
            <v>203.0625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  <cell r="Y144">
            <v>0</v>
          </cell>
          <cell r="Z144">
            <v>0</v>
          </cell>
          <cell r="AB144">
            <v>0</v>
          </cell>
          <cell r="AC144">
            <v>0</v>
          </cell>
          <cell r="AD144">
            <v>0</v>
          </cell>
          <cell r="AE144">
            <v>0</v>
          </cell>
          <cell r="AF144">
            <v>0</v>
          </cell>
          <cell r="AG144">
            <v>767.99</v>
          </cell>
          <cell r="AH144">
            <v>1626.33</v>
          </cell>
          <cell r="AI144">
            <v>727.33</v>
          </cell>
          <cell r="AJ144">
            <v>0</v>
          </cell>
          <cell r="AK144">
            <v>0</v>
          </cell>
          <cell r="AL144">
            <v>4818.6058333333331</v>
          </cell>
          <cell r="AM144">
            <v>626.41875833333336</v>
          </cell>
          <cell r="AN144">
            <v>5</v>
          </cell>
          <cell r="AO144" t="str">
            <v>ONP</v>
          </cell>
          <cell r="AP144">
            <v>0</v>
          </cell>
          <cell r="AQ144">
            <v>578.23269999999991</v>
          </cell>
          <cell r="AR144">
            <v>93.962813749999995</v>
          </cell>
          <cell r="AS144">
            <v>41.921870749999997</v>
          </cell>
          <cell r="AT144">
            <v>714.11738449999996</v>
          </cell>
          <cell r="AU144">
            <v>24.03</v>
          </cell>
          <cell r="AV144">
            <v>0</v>
          </cell>
          <cell r="AW144">
            <v>0</v>
          </cell>
          <cell r="AX144">
            <v>32</v>
          </cell>
          <cell r="AY144">
            <v>0</v>
          </cell>
          <cell r="AZ144">
            <v>0</v>
          </cell>
          <cell r="BA144">
            <v>0</v>
          </cell>
          <cell r="BB144">
            <v>0</v>
          </cell>
          <cell r="BD144">
            <v>0</v>
          </cell>
          <cell r="BE144">
            <v>0</v>
          </cell>
          <cell r="BF144">
            <v>1401.5661428333333</v>
          </cell>
          <cell r="BG144">
            <v>3417.0396904999998</v>
          </cell>
          <cell r="BH144">
            <v>433.67</v>
          </cell>
          <cell r="BI144">
            <v>49.648398269166663</v>
          </cell>
          <cell r="BJ144">
            <v>356.47549957261674</v>
          </cell>
          <cell r="BK144">
            <v>63.145050225833337</v>
          </cell>
          <cell r="BL144">
            <v>0</v>
          </cell>
          <cell r="BM144">
            <v>902.93894806761671</v>
          </cell>
        </row>
        <row r="145">
          <cell r="A145">
            <v>134</v>
          </cell>
          <cell r="B145" t="str">
            <v>ROBLES ATENCIO SILVER KANE</v>
          </cell>
          <cell r="C145">
            <v>38864</v>
          </cell>
          <cell r="D145">
            <v>39716</v>
          </cell>
          <cell r="E145" t="str">
            <v>AYTE. PERF.</v>
          </cell>
          <cell r="F145">
            <v>54.15</v>
          </cell>
          <cell r="G145">
            <v>26</v>
          </cell>
          <cell r="H145">
            <v>208</v>
          </cell>
          <cell r="I145">
            <v>1407.9</v>
          </cell>
          <cell r="J145">
            <v>4</v>
          </cell>
          <cell r="K145">
            <v>216.6</v>
          </cell>
          <cell r="L145">
            <v>0</v>
          </cell>
          <cell r="M145">
            <v>0</v>
          </cell>
          <cell r="N145">
            <v>31</v>
          </cell>
          <cell r="O145">
            <v>56.833333333333329</v>
          </cell>
          <cell r="P145">
            <v>24</v>
          </cell>
          <cell r="Q145">
            <v>203.0625</v>
          </cell>
          <cell r="R145">
            <v>24</v>
          </cell>
          <cell r="S145">
            <v>203.0625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8</v>
          </cell>
          <cell r="Y145">
            <v>108.3</v>
          </cell>
          <cell r="Z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767.99</v>
          </cell>
          <cell r="AH145">
            <v>1626.33</v>
          </cell>
          <cell r="AI145">
            <v>537.59</v>
          </cell>
          <cell r="AJ145">
            <v>0</v>
          </cell>
          <cell r="AK145">
            <v>0</v>
          </cell>
          <cell r="AL145">
            <v>4924.6058333333331</v>
          </cell>
          <cell r="AM145">
            <v>0</v>
          </cell>
          <cell r="AN145">
            <v>5</v>
          </cell>
          <cell r="AO145" t="str">
            <v>IN</v>
          </cell>
          <cell r="AP145">
            <v>722.93213633333335</v>
          </cell>
          <cell r="AQ145">
            <v>590.95269999999994</v>
          </cell>
          <cell r="AR145">
            <v>96.029813749999988</v>
          </cell>
          <cell r="AS145">
            <v>42.844070749999993</v>
          </cell>
          <cell r="AT145">
            <v>729.82658449999997</v>
          </cell>
          <cell r="AU145">
            <v>36.159999999999997</v>
          </cell>
          <cell r="AV145">
            <v>0</v>
          </cell>
          <cell r="AW145">
            <v>0</v>
          </cell>
          <cell r="AX145">
            <v>35</v>
          </cell>
          <cell r="AY145">
            <v>0</v>
          </cell>
          <cell r="AZ145">
            <v>0</v>
          </cell>
          <cell r="BA145">
            <v>0</v>
          </cell>
          <cell r="BB145">
            <v>0</v>
          </cell>
          <cell r="BD145">
            <v>0</v>
          </cell>
          <cell r="BE145">
            <v>0</v>
          </cell>
          <cell r="BF145">
            <v>805.98658449999994</v>
          </cell>
          <cell r="BG145">
            <v>4118.6192488333327</v>
          </cell>
          <cell r="BH145">
            <v>0</v>
          </cell>
          <cell r="BI145">
            <v>50.947640269166669</v>
          </cell>
          <cell r="BJ145">
            <v>365.80405713261666</v>
          </cell>
          <cell r="BK145">
            <v>64.79748422583333</v>
          </cell>
          <cell r="BL145">
            <v>83.13</v>
          </cell>
          <cell r="BM145">
            <v>564.67918162761657</v>
          </cell>
        </row>
        <row r="146">
          <cell r="A146">
            <v>135</v>
          </cell>
          <cell r="B146" t="str">
            <v>RODRIGUEZ TAPIA FLORENCIO</v>
          </cell>
          <cell r="C146">
            <v>37953</v>
          </cell>
          <cell r="D146">
            <v>39716</v>
          </cell>
          <cell r="E146" t="str">
            <v>CAPATAZ OBRAS CIVILES</v>
          </cell>
          <cell r="F146">
            <v>61.05</v>
          </cell>
          <cell r="G146">
            <v>26</v>
          </cell>
          <cell r="H146">
            <v>208</v>
          </cell>
          <cell r="I146">
            <v>1587.3</v>
          </cell>
          <cell r="J146">
            <v>4.1538461538461542</v>
          </cell>
          <cell r="K146">
            <v>253.59</v>
          </cell>
          <cell r="L146">
            <v>0</v>
          </cell>
          <cell r="M146">
            <v>0</v>
          </cell>
          <cell r="N146">
            <v>31</v>
          </cell>
          <cell r="O146">
            <v>56.833333333333329</v>
          </cell>
          <cell r="P146">
            <v>12</v>
          </cell>
          <cell r="Q146">
            <v>114.46875</v>
          </cell>
          <cell r="R146">
            <v>12</v>
          </cell>
          <cell r="S146">
            <v>114.46875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16</v>
          </cell>
          <cell r="Y146">
            <v>244.2</v>
          </cell>
          <cell r="Z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  <cell r="AG146">
            <v>865.74</v>
          </cell>
          <cell r="AH146">
            <v>0</v>
          </cell>
          <cell r="AI146">
            <v>1517.59</v>
          </cell>
          <cell r="AJ146">
            <v>1</v>
          </cell>
          <cell r="AK146">
            <v>61.05</v>
          </cell>
          <cell r="AL146">
            <v>4700.7720833333333</v>
          </cell>
          <cell r="AM146">
            <v>611.10037083333339</v>
          </cell>
          <cell r="AN146">
            <v>5</v>
          </cell>
          <cell r="AO146" t="str">
            <v>ONP</v>
          </cell>
          <cell r="AP146">
            <v>0</v>
          </cell>
          <cell r="AQ146">
            <v>564.09264999999994</v>
          </cell>
          <cell r="AR146">
            <v>91.665055624999994</v>
          </cell>
          <cell r="AS146">
            <v>40.896717124999995</v>
          </cell>
          <cell r="AT146">
            <v>696.65442274999998</v>
          </cell>
          <cell r="AU146">
            <v>89.89</v>
          </cell>
          <cell r="AV146">
            <v>0</v>
          </cell>
          <cell r="AW146">
            <v>0</v>
          </cell>
          <cell r="AX146">
            <v>49</v>
          </cell>
          <cell r="AY146">
            <v>0</v>
          </cell>
          <cell r="AZ146">
            <v>0</v>
          </cell>
          <cell r="BA146">
            <v>0</v>
          </cell>
          <cell r="BB146">
            <v>0</v>
          </cell>
          <cell r="BD146">
            <v>0</v>
          </cell>
          <cell r="BE146">
            <v>0</v>
          </cell>
          <cell r="BF146">
            <v>1451.6447935833335</v>
          </cell>
          <cell r="BG146">
            <v>3249.1272897499998</v>
          </cell>
          <cell r="BH146">
            <v>423.07</v>
          </cell>
          <cell r="BI146">
            <v>47.005988245416667</v>
          </cell>
          <cell r="BJ146">
            <v>337.50299560209169</v>
          </cell>
          <cell r="BK146">
            <v>59.78431514708334</v>
          </cell>
          <cell r="BL146">
            <v>0</v>
          </cell>
          <cell r="BM146">
            <v>867.36329899459179</v>
          </cell>
        </row>
        <row r="147">
          <cell r="A147">
            <v>136</v>
          </cell>
          <cell r="B147" t="str">
            <v>ROMANI ICHPAS VICTOR</v>
          </cell>
          <cell r="C147">
            <v>0</v>
          </cell>
          <cell r="D147">
            <v>39716</v>
          </cell>
          <cell r="E147" t="str">
            <v>PERFORISTA</v>
          </cell>
          <cell r="F147">
            <v>54.15</v>
          </cell>
          <cell r="G147">
            <v>25</v>
          </cell>
          <cell r="H147">
            <v>200</v>
          </cell>
          <cell r="I147">
            <v>1353.75</v>
          </cell>
          <cell r="J147">
            <v>8.1538461538461533</v>
          </cell>
          <cell r="K147">
            <v>441.53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36</v>
          </cell>
          <cell r="Q147">
            <v>304.59375</v>
          </cell>
          <cell r="R147">
            <v>36</v>
          </cell>
          <cell r="S147">
            <v>304.59375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16</v>
          </cell>
          <cell r="Y147">
            <v>216.6</v>
          </cell>
          <cell r="Z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496.38</v>
          </cell>
          <cell r="AH147">
            <v>0</v>
          </cell>
          <cell r="AI147">
            <v>302.33999999999997</v>
          </cell>
          <cell r="AJ147">
            <v>28</v>
          </cell>
          <cell r="AK147">
            <v>1516.2</v>
          </cell>
          <cell r="AL147">
            <v>4631.3937500000002</v>
          </cell>
          <cell r="AM147">
            <v>0</v>
          </cell>
          <cell r="AN147">
            <v>0</v>
          </cell>
          <cell r="AO147" t="str">
            <v>HR</v>
          </cell>
          <cell r="AP147">
            <v>686.83569312499992</v>
          </cell>
          <cell r="AQ147">
            <v>555.76724999999999</v>
          </cell>
          <cell r="AR147">
            <v>90.312178125000003</v>
          </cell>
          <cell r="AS147">
            <v>40.293125625000002</v>
          </cell>
          <cell r="AT147">
            <v>686.37255375000007</v>
          </cell>
          <cell r="AU147">
            <v>0</v>
          </cell>
          <cell r="AV147">
            <v>0</v>
          </cell>
          <cell r="AW147">
            <v>0</v>
          </cell>
          <cell r="AX147">
            <v>0</v>
          </cell>
          <cell r="AY147">
            <v>0</v>
          </cell>
          <cell r="AZ147">
            <v>0</v>
          </cell>
          <cell r="BA147">
            <v>0</v>
          </cell>
          <cell r="BB147">
            <v>0</v>
          </cell>
          <cell r="BD147">
            <v>0</v>
          </cell>
          <cell r="BE147">
            <v>0</v>
          </cell>
          <cell r="BF147">
            <v>686.37255375000007</v>
          </cell>
          <cell r="BG147">
            <v>3945.0211962500002</v>
          </cell>
          <cell r="BH147">
            <v>416.83</v>
          </cell>
          <cell r="BI147">
            <v>50.682863533750002</v>
          </cell>
          <cell r="BJ147">
            <v>363.90296017232498</v>
          </cell>
          <cell r="BK147">
            <v>64.460729348750007</v>
          </cell>
          <cell r="BL147">
            <v>82.7</v>
          </cell>
          <cell r="BM147">
            <v>978.5765530548249</v>
          </cell>
        </row>
        <row r="148">
          <cell r="A148">
            <v>137</v>
          </cell>
          <cell r="B148" t="str">
            <v>ROSALES FERNANDEZ WILVER GUZMAN</v>
          </cell>
          <cell r="C148">
            <v>38817</v>
          </cell>
          <cell r="D148">
            <v>39716</v>
          </cell>
          <cell r="E148" t="str">
            <v>PERFORISTA</v>
          </cell>
          <cell r="F148">
            <v>56.15</v>
          </cell>
          <cell r="G148">
            <v>25</v>
          </cell>
          <cell r="H148">
            <v>200</v>
          </cell>
          <cell r="I148">
            <v>1403.75</v>
          </cell>
          <cell r="J148">
            <v>3.8461538461538463</v>
          </cell>
          <cell r="K148">
            <v>215.96</v>
          </cell>
          <cell r="L148">
            <v>0</v>
          </cell>
          <cell r="M148">
            <v>0</v>
          </cell>
          <cell r="N148">
            <v>31</v>
          </cell>
          <cell r="O148">
            <v>56.833333333333329</v>
          </cell>
          <cell r="P148">
            <v>30</v>
          </cell>
          <cell r="Q148">
            <v>263.203125</v>
          </cell>
          <cell r="R148">
            <v>30</v>
          </cell>
          <cell r="S148">
            <v>263.203125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B148">
            <v>0</v>
          </cell>
          <cell r="AC148">
            <v>0</v>
          </cell>
          <cell r="AD148">
            <v>0</v>
          </cell>
          <cell r="AE148">
            <v>0</v>
          </cell>
          <cell r="AF148">
            <v>0</v>
          </cell>
          <cell r="AG148">
            <v>796.32</v>
          </cell>
          <cell r="AH148">
            <v>0</v>
          </cell>
          <cell r="AI148">
            <v>777.59</v>
          </cell>
          <cell r="AJ148">
            <v>0</v>
          </cell>
          <cell r="AK148">
            <v>0</v>
          </cell>
          <cell r="AL148">
            <v>3513.6564583333334</v>
          </cell>
          <cell r="AM148">
            <v>0</v>
          </cell>
          <cell r="AN148">
            <v>5</v>
          </cell>
          <cell r="AO148" t="str">
            <v>PR</v>
          </cell>
          <cell r="AP148">
            <v>504.91243306249999</v>
          </cell>
          <cell r="AQ148">
            <v>421.63877500000001</v>
          </cell>
          <cell r="AR148">
            <v>68.516300937500006</v>
          </cell>
          <cell r="AS148">
            <v>30.5688111875</v>
          </cell>
          <cell r="AT148">
            <v>520.72388712500003</v>
          </cell>
          <cell r="AU148">
            <v>39.1</v>
          </cell>
          <cell r="AV148">
            <v>0</v>
          </cell>
          <cell r="AW148">
            <v>0</v>
          </cell>
          <cell r="AX148">
            <v>0</v>
          </cell>
          <cell r="AY148">
            <v>0</v>
          </cell>
          <cell r="AZ148">
            <v>0</v>
          </cell>
          <cell r="BA148">
            <v>0</v>
          </cell>
          <cell r="BB148">
            <v>0</v>
          </cell>
          <cell r="BD148">
            <v>0</v>
          </cell>
          <cell r="BE148">
            <v>0</v>
          </cell>
          <cell r="BF148">
            <v>564.82388712500006</v>
          </cell>
          <cell r="BG148">
            <v>2948.8325712083333</v>
          </cell>
          <cell r="BH148">
            <v>316.23</v>
          </cell>
          <cell r="BI148">
            <v>33.306392969791659</v>
          </cell>
          <cell r="BJ148">
            <v>239.13990152310413</v>
          </cell>
          <cell r="BK148">
            <v>42.360558048958332</v>
          </cell>
          <cell r="BL148">
            <v>54.35</v>
          </cell>
          <cell r="BM148">
            <v>685.38685254185418</v>
          </cell>
        </row>
        <row r="149">
          <cell r="A149">
            <v>138</v>
          </cell>
          <cell r="B149" t="str">
            <v>RUA ESCOBAR FILIBERTO</v>
          </cell>
          <cell r="C149">
            <v>36292</v>
          </cell>
          <cell r="D149">
            <v>39716</v>
          </cell>
          <cell r="E149" t="str">
            <v>PERFORISTA</v>
          </cell>
          <cell r="F149">
            <v>56.15</v>
          </cell>
          <cell r="G149">
            <v>25</v>
          </cell>
          <cell r="H149">
            <v>200</v>
          </cell>
          <cell r="I149">
            <v>1403.75</v>
          </cell>
          <cell r="J149">
            <v>3.8461538461538463</v>
          </cell>
          <cell r="K149">
            <v>215.96</v>
          </cell>
          <cell r="L149">
            <v>0</v>
          </cell>
          <cell r="M149">
            <v>0</v>
          </cell>
          <cell r="N149">
            <v>31</v>
          </cell>
          <cell r="O149">
            <v>56.833333333333329</v>
          </cell>
          <cell r="P149">
            <v>52</v>
          </cell>
          <cell r="Q149">
            <v>466.74687499999999</v>
          </cell>
          <cell r="R149">
            <v>50</v>
          </cell>
          <cell r="S149">
            <v>438.671875</v>
          </cell>
          <cell r="T149">
            <v>0</v>
          </cell>
          <cell r="U149">
            <v>0</v>
          </cell>
          <cell r="V149">
            <v>2</v>
          </cell>
          <cell r="W149">
            <v>28.074999999999999</v>
          </cell>
          <cell r="X149">
            <v>24</v>
          </cell>
          <cell r="Y149">
            <v>336.9</v>
          </cell>
          <cell r="Z149">
            <v>0</v>
          </cell>
          <cell r="AB149">
            <v>56.64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796.32</v>
          </cell>
          <cell r="AH149">
            <v>1686.33</v>
          </cell>
          <cell r="AI149">
            <v>627.69000000000005</v>
          </cell>
          <cell r="AJ149">
            <v>0</v>
          </cell>
          <cell r="AK149">
            <v>0</v>
          </cell>
          <cell r="AL149">
            <v>5647.170208333333</v>
          </cell>
          <cell r="AM149">
            <v>0</v>
          </cell>
          <cell r="AN149">
            <v>5</v>
          </cell>
          <cell r="AO149" t="str">
            <v>PR</v>
          </cell>
          <cell r="AP149">
            <v>811.49835893749992</v>
          </cell>
          <cell r="AQ149">
            <v>677.66042499999992</v>
          </cell>
          <cell r="AR149">
            <v>110.1198190625</v>
          </cell>
          <cell r="AS149">
            <v>49.130380812499993</v>
          </cell>
          <cell r="AT149">
            <v>836.91062487499994</v>
          </cell>
          <cell r="AU149">
            <v>73.62</v>
          </cell>
          <cell r="AV149">
            <v>0</v>
          </cell>
          <cell r="AW149">
            <v>0</v>
          </cell>
          <cell r="AX149">
            <v>36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D149">
            <v>0</v>
          </cell>
          <cell r="BE149">
            <v>0</v>
          </cell>
          <cell r="BF149">
            <v>951.53062487499994</v>
          </cell>
          <cell r="BG149">
            <v>4695.6395834583327</v>
          </cell>
          <cell r="BH149">
            <v>508.25</v>
          </cell>
          <cell r="BI149">
            <v>59.456871003541664</v>
          </cell>
          <cell r="BJ149">
            <v>426.90033380542917</v>
          </cell>
          <cell r="BK149">
            <v>75.619903897708326</v>
          </cell>
          <cell r="BL149">
            <v>97.02</v>
          </cell>
          <cell r="BM149">
            <v>1167.2471087066792</v>
          </cell>
        </row>
        <row r="150">
          <cell r="A150">
            <v>139</v>
          </cell>
          <cell r="B150" t="str">
            <v>RUEDA MANDUJANO AURELIO</v>
          </cell>
          <cell r="C150">
            <v>38100</v>
          </cell>
          <cell r="D150">
            <v>39716</v>
          </cell>
          <cell r="E150" t="str">
            <v>AYTE. PERF.</v>
          </cell>
          <cell r="F150">
            <v>54.15</v>
          </cell>
          <cell r="G150">
            <v>6</v>
          </cell>
          <cell r="H150">
            <v>48</v>
          </cell>
          <cell r="I150">
            <v>324.89999999999998</v>
          </cell>
          <cell r="J150">
            <v>1.2307692307692308</v>
          </cell>
          <cell r="K150">
            <v>66.650000000000006</v>
          </cell>
          <cell r="L150">
            <v>0</v>
          </cell>
          <cell r="M150">
            <v>0</v>
          </cell>
          <cell r="N150">
            <v>31</v>
          </cell>
          <cell r="O150">
            <v>56.833333333333329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767.99</v>
          </cell>
          <cell r="AH150">
            <v>0</v>
          </cell>
          <cell r="AI150">
            <v>691.19</v>
          </cell>
          <cell r="AJ150">
            <v>2</v>
          </cell>
          <cell r="AK150">
            <v>108.3</v>
          </cell>
          <cell r="AL150">
            <v>2015.8633333333332</v>
          </cell>
          <cell r="AM150">
            <v>262.06223333333332</v>
          </cell>
          <cell r="AN150">
            <v>5</v>
          </cell>
          <cell r="AO150" t="str">
            <v>ONP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11.93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D150">
            <v>0</v>
          </cell>
          <cell r="BE150">
            <v>0</v>
          </cell>
          <cell r="BF150">
            <v>278.99223333333333</v>
          </cell>
          <cell r="BG150">
            <v>1736.8710999999998</v>
          </cell>
          <cell r="BH150">
            <v>181.43</v>
          </cell>
          <cell r="BI150">
            <v>15.295183446666666</v>
          </cell>
          <cell r="BJ150">
            <v>109.81941714706664</v>
          </cell>
          <cell r="BK150">
            <v>19.45309739333333</v>
          </cell>
          <cell r="BL150">
            <v>0</v>
          </cell>
          <cell r="BM150">
            <v>325.99769798706666</v>
          </cell>
        </row>
        <row r="151">
          <cell r="A151">
            <v>140</v>
          </cell>
          <cell r="B151" t="str">
            <v>SALVATIERRA QUISPE CIRILO</v>
          </cell>
          <cell r="C151">
            <v>38743</v>
          </cell>
          <cell r="D151">
            <v>39716</v>
          </cell>
          <cell r="E151" t="str">
            <v>PERFORISTA</v>
          </cell>
          <cell r="F151">
            <v>56.15</v>
          </cell>
          <cell r="G151">
            <v>25</v>
          </cell>
          <cell r="H151">
            <v>200</v>
          </cell>
          <cell r="I151">
            <v>1403.75</v>
          </cell>
          <cell r="J151">
            <v>3.8461538461538463</v>
          </cell>
          <cell r="K151">
            <v>215.96</v>
          </cell>
          <cell r="L151">
            <v>0</v>
          </cell>
          <cell r="M151">
            <v>0</v>
          </cell>
          <cell r="N151">
            <v>31</v>
          </cell>
          <cell r="O151">
            <v>56.833333333333329</v>
          </cell>
          <cell r="P151">
            <v>50</v>
          </cell>
          <cell r="Q151">
            <v>438.671875</v>
          </cell>
          <cell r="R151">
            <v>50</v>
          </cell>
          <cell r="S151">
            <v>438.671875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24</v>
          </cell>
          <cell r="Y151">
            <v>336.9</v>
          </cell>
          <cell r="Z151">
            <v>0</v>
          </cell>
          <cell r="AB151">
            <v>52.64</v>
          </cell>
          <cell r="AC151">
            <v>0</v>
          </cell>
          <cell r="AD151">
            <v>0</v>
          </cell>
          <cell r="AE151">
            <v>0</v>
          </cell>
          <cell r="AF151">
            <v>0</v>
          </cell>
          <cell r="AG151">
            <v>796.32</v>
          </cell>
          <cell r="AH151">
            <v>0</v>
          </cell>
          <cell r="AI151">
            <v>1124.22</v>
          </cell>
          <cell r="AJ151">
            <v>0</v>
          </cell>
          <cell r="AK151">
            <v>0</v>
          </cell>
          <cell r="AL151">
            <v>4425.295208333333</v>
          </cell>
          <cell r="AM151">
            <v>0</v>
          </cell>
          <cell r="AN151">
            <v>5</v>
          </cell>
          <cell r="AO151" t="str">
            <v>PF</v>
          </cell>
          <cell r="AP151">
            <v>658.48392699999988</v>
          </cell>
          <cell r="AQ151">
            <v>0</v>
          </cell>
          <cell r="AR151">
            <v>0</v>
          </cell>
          <cell r="AS151">
            <v>38.500068312499991</v>
          </cell>
          <cell r="AT151">
            <v>38.500068312499991</v>
          </cell>
          <cell r="AU151">
            <v>27.78</v>
          </cell>
          <cell r="AV151">
            <v>0</v>
          </cell>
          <cell r="AW151">
            <v>0</v>
          </cell>
          <cell r="AX151">
            <v>49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D151">
            <v>0</v>
          </cell>
          <cell r="BE151">
            <v>0</v>
          </cell>
          <cell r="BF151">
            <v>120.28006831249999</v>
          </cell>
          <cell r="BG151">
            <v>4305.0151400208333</v>
          </cell>
          <cell r="BH151">
            <v>398.28</v>
          </cell>
          <cell r="BI151">
            <v>44.480349128541661</v>
          </cell>
          <cell r="BJ151">
            <v>319.36890674292908</v>
          </cell>
          <cell r="BK151">
            <v>56.572094522708333</v>
          </cell>
          <cell r="BL151">
            <v>72.58</v>
          </cell>
          <cell r="BM151">
            <v>891.28135039417907</v>
          </cell>
        </row>
        <row r="152">
          <cell r="A152">
            <v>141</v>
          </cell>
          <cell r="B152" t="str">
            <v>SANTAMARIA PEÑA RODOLFO</v>
          </cell>
          <cell r="C152">
            <v>38201</v>
          </cell>
          <cell r="D152">
            <v>39716</v>
          </cell>
          <cell r="E152" t="str">
            <v>PERFORISTA</v>
          </cell>
          <cell r="F152">
            <v>56.15</v>
          </cell>
          <cell r="G152">
            <v>25</v>
          </cell>
          <cell r="H152">
            <v>200</v>
          </cell>
          <cell r="I152">
            <v>1403.75</v>
          </cell>
          <cell r="J152">
            <v>3.8461538461538463</v>
          </cell>
          <cell r="K152">
            <v>215.96</v>
          </cell>
          <cell r="L152">
            <v>0</v>
          </cell>
          <cell r="M152">
            <v>0</v>
          </cell>
          <cell r="N152">
            <v>31</v>
          </cell>
          <cell r="O152">
            <v>56.833333333333329</v>
          </cell>
          <cell r="P152">
            <v>44</v>
          </cell>
          <cell r="Q152">
            <v>396.55937499999999</v>
          </cell>
          <cell r="R152">
            <v>42</v>
          </cell>
          <cell r="S152">
            <v>368.484375</v>
          </cell>
          <cell r="T152">
            <v>0</v>
          </cell>
          <cell r="U152">
            <v>0</v>
          </cell>
          <cell r="V152">
            <v>2</v>
          </cell>
          <cell r="W152">
            <v>28.074999999999999</v>
          </cell>
          <cell r="X152">
            <v>8</v>
          </cell>
          <cell r="Y152">
            <v>112.3</v>
          </cell>
          <cell r="Z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796.32</v>
          </cell>
          <cell r="AH152">
            <v>1686.33</v>
          </cell>
          <cell r="AI152">
            <v>252.95</v>
          </cell>
          <cell r="AJ152">
            <v>0</v>
          </cell>
          <cell r="AK152">
            <v>0</v>
          </cell>
          <cell r="AL152">
            <v>4921.0027083333334</v>
          </cell>
          <cell r="AM152">
            <v>0</v>
          </cell>
          <cell r="AN152">
            <v>5</v>
          </cell>
          <cell r="AO152" t="str">
            <v>IN</v>
          </cell>
          <cell r="AP152">
            <v>722.40319758333339</v>
          </cell>
          <cell r="AQ152">
            <v>0</v>
          </cell>
          <cell r="AR152">
            <v>0</v>
          </cell>
          <cell r="AS152">
            <v>42.812723562499997</v>
          </cell>
          <cell r="AT152">
            <v>42.812723562499997</v>
          </cell>
          <cell r="AU152">
            <v>122.72</v>
          </cell>
          <cell r="AV152">
            <v>0</v>
          </cell>
          <cell r="AW152">
            <v>0</v>
          </cell>
          <cell r="AX152">
            <v>0</v>
          </cell>
          <cell r="AY152">
            <v>0</v>
          </cell>
          <cell r="AZ152">
            <v>0</v>
          </cell>
          <cell r="BA152">
            <v>0</v>
          </cell>
          <cell r="BB152">
            <v>0</v>
          </cell>
          <cell r="BD152">
            <v>0</v>
          </cell>
          <cell r="BE152">
            <v>0</v>
          </cell>
          <cell r="BF152">
            <v>170.5327235625</v>
          </cell>
          <cell r="BG152">
            <v>4750.4699847708334</v>
          </cell>
          <cell r="BH152">
            <v>442.89</v>
          </cell>
          <cell r="BI152">
            <v>50.556235956041675</v>
          </cell>
          <cell r="BJ152">
            <v>362.99377416437926</v>
          </cell>
          <cell r="BK152">
            <v>64.29967874020835</v>
          </cell>
          <cell r="BL152">
            <v>82.49</v>
          </cell>
          <cell r="BM152">
            <v>1003.2296888606293</v>
          </cell>
        </row>
        <row r="153">
          <cell r="A153">
            <v>142</v>
          </cell>
          <cell r="B153" t="str">
            <v xml:space="preserve">SANTIAGO AMBROSIO NARCISO </v>
          </cell>
          <cell r="C153">
            <v>39674</v>
          </cell>
          <cell r="D153">
            <v>39716</v>
          </cell>
          <cell r="E153" t="str">
            <v>PERFORISTA</v>
          </cell>
          <cell r="F153">
            <v>54.15</v>
          </cell>
          <cell r="G153">
            <v>24</v>
          </cell>
          <cell r="H153">
            <v>192</v>
          </cell>
          <cell r="I153">
            <v>1299.5999999999999</v>
          </cell>
          <cell r="J153">
            <v>3.6923076923076925</v>
          </cell>
          <cell r="K153">
            <v>199.94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34</v>
          </cell>
          <cell r="Q153">
            <v>287.671875</v>
          </cell>
          <cell r="R153">
            <v>34</v>
          </cell>
          <cell r="S153">
            <v>287.671875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24</v>
          </cell>
          <cell r="Y153">
            <v>324.89999999999998</v>
          </cell>
          <cell r="Z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270.75</v>
          </cell>
          <cell r="AH153">
            <v>0</v>
          </cell>
          <cell r="AI153">
            <v>185.01</v>
          </cell>
          <cell r="AJ153">
            <v>0</v>
          </cell>
          <cell r="AK153">
            <v>0</v>
          </cell>
          <cell r="AL153">
            <v>2567.8718749999998</v>
          </cell>
          <cell r="AM153">
            <v>0</v>
          </cell>
          <cell r="AN153">
            <v>0</v>
          </cell>
          <cell r="AO153" t="str">
            <v>PR</v>
          </cell>
          <cell r="AP153">
            <v>369.00318843749994</v>
          </cell>
          <cell r="AQ153">
            <v>308.14462499999996</v>
          </cell>
          <cell r="AR153">
            <v>50.073501562499999</v>
          </cell>
          <cell r="AS153">
            <v>22.340485312499997</v>
          </cell>
          <cell r="AT153">
            <v>380.55861187499994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D153">
            <v>0</v>
          </cell>
          <cell r="BE153">
            <v>0</v>
          </cell>
          <cell r="BF153">
            <v>380.55861187499994</v>
          </cell>
          <cell r="BG153">
            <v>2187.313263125</v>
          </cell>
          <cell r="BH153">
            <v>231.11</v>
          </cell>
          <cell r="BI153">
            <v>28.155822821874999</v>
          </cell>
          <cell r="BJ153">
            <v>202.15880786106251</v>
          </cell>
          <cell r="BK153">
            <v>35.809832909374997</v>
          </cell>
          <cell r="BL153">
            <v>45.94</v>
          </cell>
          <cell r="BM153">
            <v>543.17446359231258</v>
          </cell>
        </row>
        <row r="154">
          <cell r="A154">
            <v>143</v>
          </cell>
          <cell r="B154" t="str">
            <v>SARMIENTO HUILLCAS HUGO</v>
          </cell>
          <cell r="C154">
            <v>38541</v>
          </cell>
          <cell r="D154">
            <v>39716</v>
          </cell>
          <cell r="E154" t="str">
            <v>PERFORISTA</v>
          </cell>
          <cell r="F154">
            <v>56.15</v>
          </cell>
          <cell r="G154">
            <v>20</v>
          </cell>
          <cell r="H154">
            <v>160</v>
          </cell>
          <cell r="I154">
            <v>1123</v>
          </cell>
          <cell r="J154">
            <v>3.0769230769230771</v>
          </cell>
          <cell r="K154">
            <v>172.77</v>
          </cell>
          <cell r="L154">
            <v>0</v>
          </cell>
          <cell r="M154">
            <v>0</v>
          </cell>
          <cell r="N154">
            <v>31</v>
          </cell>
          <cell r="O154">
            <v>56.833333333333329</v>
          </cell>
          <cell r="P154">
            <v>26</v>
          </cell>
          <cell r="Q154">
            <v>228.109375</v>
          </cell>
          <cell r="R154">
            <v>26</v>
          </cell>
          <cell r="S154">
            <v>228.109375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795.46</v>
          </cell>
          <cell r="AH154">
            <v>1684.5</v>
          </cell>
          <cell r="AI154">
            <v>355.62</v>
          </cell>
          <cell r="AJ154">
            <v>0</v>
          </cell>
          <cell r="AK154">
            <v>0</v>
          </cell>
          <cell r="AL154">
            <v>4416.2927083333334</v>
          </cell>
          <cell r="AM154">
            <v>0</v>
          </cell>
          <cell r="AN154">
            <v>5</v>
          </cell>
          <cell r="AO154" t="str">
            <v>IN</v>
          </cell>
          <cell r="AP154">
            <v>648.31176958333344</v>
          </cell>
          <cell r="AQ154">
            <v>529.95512499999995</v>
          </cell>
          <cell r="AR154">
            <v>86.117707812500001</v>
          </cell>
          <cell r="AS154">
            <v>38.421746562499997</v>
          </cell>
          <cell r="AT154">
            <v>654.49457937499994</v>
          </cell>
          <cell r="AU154">
            <v>14.88</v>
          </cell>
          <cell r="AV154">
            <v>0</v>
          </cell>
          <cell r="AW154">
            <v>0</v>
          </cell>
          <cell r="AX154">
            <v>51</v>
          </cell>
          <cell r="AY154">
            <v>0</v>
          </cell>
          <cell r="AZ154">
            <v>0</v>
          </cell>
          <cell r="BA154">
            <v>0</v>
          </cell>
          <cell r="BB154">
            <v>0</v>
          </cell>
          <cell r="BD154">
            <v>0</v>
          </cell>
          <cell r="BE154">
            <v>0</v>
          </cell>
          <cell r="BF154">
            <v>725.37457937499994</v>
          </cell>
          <cell r="BG154">
            <v>3690.9181289583335</v>
          </cell>
          <cell r="BH154">
            <v>397.47</v>
          </cell>
          <cell r="BI154">
            <v>44.380546506041668</v>
          </cell>
          <cell r="BJ154">
            <v>318.65232391337918</v>
          </cell>
          <cell r="BK154">
            <v>56.445161090208337</v>
          </cell>
          <cell r="BL154">
            <v>72.42</v>
          </cell>
          <cell r="BM154">
            <v>889.36803150962919</v>
          </cell>
        </row>
        <row r="155">
          <cell r="A155">
            <v>144</v>
          </cell>
          <cell r="B155" t="str">
            <v>TAIPE RAMOS CIRILO</v>
          </cell>
          <cell r="C155">
            <v>38418</v>
          </cell>
          <cell r="D155">
            <v>39716</v>
          </cell>
          <cell r="E155" t="str">
            <v>PERFORISTA</v>
          </cell>
          <cell r="F155">
            <v>56.15</v>
          </cell>
          <cell r="G155">
            <v>25</v>
          </cell>
          <cell r="H155">
            <v>200</v>
          </cell>
          <cell r="I155">
            <v>1403.75</v>
          </cell>
          <cell r="J155">
            <v>3.8461538461538463</v>
          </cell>
          <cell r="K155">
            <v>215.96</v>
          </cell>
          <cell r="L155">
            <v>0</v>
          </cell>
          <cell r="M155">
            <v>0</v>
          </cell>
          <cell r="N155">
            <v>31</v>
          </cell>
          <cell r="O155">
            <v>56.833333333333329</v>
          </cell>
          <cell r="P155">
            <v>46</v>
          </cell>
          <cell r="Q155">
            <v>403.578125</v>
          </cell>
          <cell r="R155">
            <v>46</v>
          </cell>
          <cell r="S155">
            <v>403.578125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8</v>
          </cell>
          <cell r="Y155">
            <v>112.3</v>
          </cell>
          <cell r="Z155">
            <v>0</v>
          </cell>
          <cell r="AB155">
            <v>287.77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796.32</v>
          </cell>
          <cell r="AH155">
            <v>1686.33</v>
          </cell>
          <cell r="AI155">
            <v>932.17</v>
          </cell>
          <cell r="AJ155">
            <v>0</v>
          </cell>
          <cell r="AK155">
            <v>0</v>
          </cell>
          <cell r="AL155">
            <v>5895.0114583333334</v>
          </cell>
          <cell r="AM155">
            <v>0</v>
          </cell>
          <cell r="AN155">
            <v>5</v>
          </cell>
          <cell r="AO155" t="str">
            <v>PF</v>
          </cell>
          <cell r="AP155">
            <v>877.17770499999995</v>
          </cell>
          <cell r="AQ155">
            <v>707.40137500000003</v>
          </cell>
          <cell r="AR155">
            <v>114.9527234375</v>
          </cell>
          <cell r="AS155">
            <v>51.286599687499994</v>
          </cell>
          <cell r="AT155">
            <v>873.64069812500009</v>
          </cell>
          <cell r="AU155">
            <v>54.48</v>
          </cell>
          <cell r="AV155">
            <v>0</v>
          </cell>
          <cell r="AW155">
            <v>0</v>
          </cell>
          <cell r="AX155">
            <v>0</v>
          </cell>
          <cell r="AY155">
            <v>0</v>
          </cell>
          <cell r="AZ155">
            <v>0</v>
          </cell>
          <cell r="BA155">
            <v>0</v>
          </cell>
          <cell r="BB155">
            <v>0</v>
          </cell>
          <cell r="BD155">
            <v>0</v>
          </cell>
          <cell r="BE155">
            <v>0</v>
          </cell>
          <cell r="BF155">
            <v>933.1206981250001</v>
          </cell>
          <cell r="BG155">
            <v>4961.8907602083336</v>
          </cell>
          <cell r="BH155">
            <v>530.54999999999995</v>
          </cell>
          <cell r="BI155">
            <v>62.494661204791669</v>
          </cell>
          <cell r="BJ155">
            <v>448.71166745040421</v>
          </cell>
          <cell r="BK155">
            <v>79.483501143958335</v>
          </cell>
          <cell r="BL155">
            <v>101.97</v>
          </cell>
          <cell r="BM155">
            <v>1223.2098297991542</v>
          </cell>
        </row>
        <row r="156">
          <cell r="A156">
            <v>145</v>
          </cell>
          <cell r="B156" t="str">
            <v xml:space="preserve">TAYPE VASQUEZ HECTOR </v>
          </cell>
          <cell r="C156">
            <v>38881</v>
          </cell>
          <cell r="D156">
            <v>39716</v>
          </cell>
          <cell r="E156" t="str">
            <v>OP. SCOOP</v>
          </cell>
          <cell r="F156">
            <v>59.65</v>
          </cell>
          <cell r="G156">
            <v>15</v>
          </cell>
          <cell r="H156">
            <v>120</v>
          </cell>
          <cell r="I156">
            <v>894.75</v>
          </cell>
          <cell r="J156">
            <v>2.4615384615384617</v>
          </cell>
          <cell r="K156">
            <v>146.83000000000001</v>
          </cell>
          <cell r="L156">
            <v>0</v>
          </cell>
          <cell r="M156">
            <v>0</v>
          </cell>
          <cell r="N156">
            <v>31</v>
          </cell>
          <cell r="O156">
            <v>56.833333333333329</v>
          </cell>
          <cell r="P156">
            <v>8</v>
          </cell>
          <cell r="Q156">
            <v>74.5625</v>
          </cell>
          <cell r="R156">
            <v>8</v>
          </cell>
          <cell r="S156">
            <v>74.5625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845.91</v>
          </cell>
          <cell r="AH156">
            <v>0</v>
          </cell>
          <cell r="AI156">
            <v>512.52</v>
          </cell>
          <cell r="AJ156">
            <v>1</v>
          </cell>
          <cell r="AK156">
            <v>59.65</v>
          </cell>
          <cell r="AL156">
            <v>2591.0558333333333</v>
          </cell>
          <cell r="AM156">
            <v>0</v>
          </cell>
          <cell r="AN156">
            <v>5</v>
          </cell>
          <cell r="AO156" t="str">
            <v>PF</v>
          </cell>
          <cell r="AP156">
            <v>385.54910799999999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14.59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D156">
            <v>0</v>
          </cell>
          <cell r="BE156">
            <v>0</v>
          </cell>
          <cell r="BF156">
            <v>19.59</v>
          </cell>
          <cell r="BG156">
            <v>2571.4658333333332</v>
          </cell>
          <cell r="BH156">
            <v>233.2</v>
          </cell>
          <cell r="BI156">
            <v>21.390252479166669</v>
          </cell>
          <cell r="BJ156">
            <v>153.58201280041669</v>
          </cell>
          <cell r="BK156">
            <v>27.205078395833336</v>
          </cell>
          <cell r="BL156">
            <v>34.9</v>
          </cell>
          <cell r="BM156">
            <v>470.27734367541666</v>
          </cell>
        </row>
        <row r="157">
          <cell r="A157">
            <v>146</v>
          </cell>
          <cell r="B157" t="str">
            <v>TELLO ALVINO EDWIN WUALTER</v>
          </cell>
          <cell r="C157">
            <v>39356</v>
          </cell>
          <cell r="D157">
            <v>39716</v>
          </cell>
          <cell r="E157" t="str">
            <v>AYTE. PERF.</v>
          </cell>
          <cell r="F157">
            <v>54.15</v>
          </cell>
          <cell r="G157">
            <v>25</v>
          </cell>
          <cell r="H157">
            <v>200</v>
          </cell>
          <cell r="I157">
            <v>1353.75</v>
          </cell>
          <cell r="J157">
            <v>3.8461538461538463</v>
          </cell>
          <cell r="K157">
            <v>208.27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24</v>
          </cell>
          <cell r="Q157">
            <v>203.0625</v>
          </cell>
          <cell r="R157">
            <v>24</v>
          </cell>
          <cell r="S157">
            <v>203.0625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767.99</v>
          </cell>
          <cell r="AH157">
            <v>1626.33</v>
          </cell>
          <cell r="AI157">
            <v>158.12</v>
          </cell>
          <cell r="AJ157">
            <v>0</v>
          </cell>
          <cell r="AK157">
            <v>0</v>
          </cell>
          <cell r="AL157">
            <v>4317.5225</v>
          </cell>
          <cell r="AM157">
            <v>0</v>
          </cell>
          <cell r="AN157">
            <v>5</v>
          </cell>
          <cell r="AO157" t="str">
            <v>PF</v>
          </cell>
          <cell r="AP157">
            <v>642.44734799999992</v>
          </cell>
          <cell r="AQ157">
            <v>518.10270000000003</v>
          </cell>
          <cell r="AR157">
            <v>84.191688749999997</v>
          </cell>
          <cell r="AS157">
            <v>37.562445749999995</v>
          </cell>
          <cell r="AT157">
            <v>639.8568345000001</v>
          </cell>
          <cell r="AU157">
            <v>-20.3</v>
          </cell>
          <cell r="AV157">
            <v>0</v>
          </cell>
          <cell r="AW157">
            <v>0</v>
          </cell>
          <cell r="AX157">
            <v>0</v>
          </cell>
          <cell r="AY157">
            <v>0</v>
          </cell>
          <cell r="AZ157">
            <v>0</v>
          </cell>
          <cell r="BA157">
            <v>0</v>
          </cell>
          <cell r="BB157">
            <v>0</v>
          </cell>
          <cell r="BD157">
            <v>0</v>
          </cell>
          <cell r="BE157">
            <v>0</v>
          </cell>
          <cell r="BF157">
            <v>624.55683450000015</v>
          </cell>
          <cell r="BG157">
            <v>3692.9656654999999</v>
          </cell>
          <cell r="BH157">
            <v>388.58</v>
          </cell>
          <cell r="BI157">
            <v>43.506619852500009</v>
          </cell>
          <cell r="BJ157">
            <v>312.37753054095003</v>
          </cell>
          <cell r="BK157">
            <v>55.333662142500003</v>
          </cell>
          <cell r="BL157">
            <v>70.989999999999995</v>
          </cell>
          <cell r="BM157">
            <v>870.78781253595002</v>
          </cell>
        </row>
        <row r="158">
          <cell r="A158">
            <v>147</v>
          </cell>
          <cell r="B158" t="str">
            <v>TORIBIO LOPEZ BERNABE FELIX</v>
          </cell>
          <cell r="C158">
            <v>39150</v>
          </cell>
          <cell r="D158">
            <v>39716</v>
          </cell>
          <cell r="E158" t="str">
            <v>AYTE. PERF.</v>
          </cell>
          <cell r="F158">
            <v>54.15</v>
          </cell>
          <cell r="G158">
            <v>25</v>
          </cell>
          <cell r="H158">
            <v>200</v>
          </cell>
          <cell r="I158">
            <v>1353.75</v>
          </cell>
          <cell r="J158">
            <v>3.8461538461538463</v>
          </cell>
          <cell r="K158">
            <v>208.27</v>
          </cell>
          <cell r="L158">
            <v>0</v>
          </cell>
          <cell r="M158">
            <v>0</v>
          </cell>
          <cell r="N158">
            <v>31</v>
          </cell>
          <cell r="O158">
            <v>56.833333333333329</v>
          </cell>
          <cell r="P158">
            <v>44</v>
          </cell>
          <cell r="Q158">
            <v>372.28125</v>
          </cell>
          <cell r="R158">
            <v>44</v>
          </cell>
          <cell r="S158">
            <v>372.28125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8</v>
          </cell>
          <cell r="Y158">
            <v>108.3</v>
          </cell>
          <cell r="Z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767.99</v>
          </cell>
          <cell r="AH158">
            <v>1626.33</v>
          </cell>
          <cell r="AI158">
            <v>889.97</v>
          </cell>
          <cell r="AJ158">
            <v>0</v>
          </cell>
          <cell r="AK158">
            <v>0</v>
          </cell>
          <cell r="AL158">
            <v>5383.7245833333336</v>
          </cell>
          <cell r="AM158">
            <v>0</v>
          </cell>
          <cell r="AN158">
            <v>5</v>
          </cell>
          <cell r="AO158" t="str">
            <v>HR</v>
          </cell>
          <cell r="AP158">
            <v>798.40635570833331</v>
          </cell>
          <cell r="AQ158">
            <v>646.04695000000004</v>
          </cell>
          <cell r="AR158">
            <v>104.982629375</v>
          </cell>
          <cell r="AS158">
            <v>46.838403874999997</v>
          </cell>
          <cell r="AT158">
            <v>797.86798325000007</v>
          </cell>
          <cell r="AU158">
            <v>22.86</v>
          </cell>
          <cell r="AV158">
            <v>0</v>
          </cell>
          <cell r="AW158">
            <v>0</v>
          </cell>
          <cell r="AX158">
            <v>0</v>
          </cell>
          <cell r="AY158">
            <v>0</v>
          </cell>
          <cell r="AZ158">
            <v>0</v>
          </cell>
          <cell r="BA158">
            <v>0</v>
          </cell>
          <cell r="BB158">
            <v>0</v>
          </cell>
          <cell r="BD158">
            <v>0</v>
          </cell>
          <cell r="BE158">
            <v>0</v>
          </cell>
          <cell r="BF158">
            <v>825.72798325000008</v>
          </cell>
          <cell r="BG158">
            <v>4557.9966000833338</v>
          </cell>
          <cell r="BH158">
            <v>484.54</v>
          </cell>
          <cell r="BI158">
            <v>56.575058787916674</v>
          </cell>
          <cell r="BJ158">
            <v>406.20892209724167</v>
          </cell>
          <cell r="BK158">
            <v>71.954686419583339</v>
          </cell>
          <cell r="BL158">
            <v>92.31</v>
          </cell>
          <cell r="BM158">
            <v>1111.5886673047416</v>
          </cell>
        </row>
        <row r="159">
          <cell r="A159">
            <v>148</v>
          </cell>
          <cell r="B159" t="str">
            <v xml:space="preserve">TORRES ROJAS ADRIAN </v>
          </cell>
          <cell r="C159">
            <v>37879</v>
          </cell>
          <cell r="D159">
            <v>39716</v>
          </cell>
          <cell r="E159" t="str">
            <v>PERFORISTA</v>
          </cell>
          <cell r="F159">
            <v>56.15</v>
          </cell>
          <cell r="G159">
            <v>24</v>
          </cell>
          <cell r="H159">
            <v>192</v>
          </cell>
          <cell r="I159">
            <v>1347.6</v>
          </cell>
          <cell r="J159">
            <v>3.6923076923076925</v>
          </cell>
          <cell r="K159">
            <v>207.32</v>
          </cell>
          <cell r="L159">
            <v>0</v>
          </cell>
          <cell r="M159">
            <v>0</v>
          </cell>
          <cell r="N159">
            <v>31</v>
          </cell>
          <cell r="O159">
            <v>56.833333333333329</v>
          </cell>
          <cell r="P159">
            <v>41</v>
          </cell>
          <cell r="Q159">
            <v>359.7109375</v>
          </cell>
          <cell r="R159">
            <v>41</v>
          </cell>
          <cell r="S159">
            <v>359.7109375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16</v>
          </cell>
          <cell r="Y159">
            <v>224.6</v>
          </cell>
          <cell r="Z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796.32</v>
          </cell>
          <cell r="AH159">
            <v>1686.33</v>
          </cell>
          <cell r="AI159">
            <v>51.53</v>
          </cell>
          <cell r="AJ159">
            <v>0</v>
          </cell>
          <cell r="AK159">
            <v>0</v>
          </cell>
          <cell r="AL159">
            <v>4730.2442708333328</v>
          </cell>
          <cell r="AM159">
            <v>0</v>
          </cell>
          <cell r="AN159">
            <v>5</v>
          </cell>
          <cell r="AO159" t="str">
            <v>IN</v>
          </cell>
          <cell r="AP159">
            <v>694.39985895833331</v>
          </cell>
          <cell r="AQ159">
            <v>567.62931249999997</v>
          </cell>
          <cell r="AR159">
            <v>92.239763281249992</v>
          </cell>
          <cell r="AS159">
            <v>41.153125156249992</v>
          </cell>
          <cell r="AT159">
            <v>701.02220093749997</v>
          </cell>
          <cell r="AU159">
            <v>19.100000000000001</v>
          </cell>
          <cell r="AV159">
            <v>0</v>
          </cell>
          <cell r="AW159">
            <v>0</v>
          </cell>
          <cell r="AX159">
            <v>0</v>
          </cell>
          <cell r="AY159">
            <v>0</v>
          </cell>
          <cell r="AZ159">
            <v>0</v>
          </cell>
          <cell r="BA159">
            <v>0</v>
          </cell>
          <cell r="BB159">
            <v>0</v>
          </cell>
          <cell r="BD159">
            <v>0</v>
          </cell>
          <cell r="BE159">
            <v>0</v>
          </cell>
          <cell r="BF159">
            <v>725.1222009375</v>
          </cell>
          <cell r="BG159">
            <v>4005.1220698958327</v>
          </cell>
          <cell r="BH159">
            <v>425.72</v>
          </cell>
          <cell r="BI159">
            <v>48.218109787604156</v>
          </cell>
          <cell r="BJ159">
            <v>346.20602827499789</v>
          </cell>
          <cell r="BK159">
            <v>61.325945458020826</v>
          </cell>
          <cell r="BL159">
            <v>78.680000000000007</v>
          </cell>
          <cell r="BM159">
            <v>960.15008352062284</v>
          </cell>
        </row>
        <row r="160">
          <cell r="A160">
            <v>149</v>
          </cell>
          <cell r="B160" t="str">
            <v>TORRES ROJAS FELICIANO</v>
          </cell>
          <cell r="C160">
            <v>37953</v>
          </cell>
          <cell r="D160">
            <v>39716</v>
          </cell>
          <cell r="E160" t="str">
            <v>PERFORISTA</v>
          </cell>
          <cell r="F160">
            <v>56.15</v>
          </cell>
          <cell r="G160">
            <v>25</v>
          </cell>
          <cell r="H160">
            <v>200</v>
          </cell>
          <cell r="I160">
            <v>1403.75</v>
          </cell>
          <cell r="J160">
            <v>4.615384615384615</v>
          </cell>
          <cell r="K160">
            <v>259.14999999999998</v>
          </cell>
          <cell r="L160">
            <v>0</v>
          </cell>
          <cell r="M160">
            <v>0</v>
          </cell>
          <cell r="N160">
            <v>31</v>
          </cell>
          <cell r="O160">
            <v>56.833333333333329</v>
          </cell>
          <cell r="P160">
            <v>30</v>
          </cell>
          <cell r="Q160">
            <v>263.203125</v>
          </cell>
          <cell r="R160">
            <v>30</v>
          </cell>
          <cell r="S160">
            <v>263.203125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8</v>
          </cell>
          <cell r="Y160">
            <v>112.3</v>
          </cell>
          <cell r="Z160">
            <v>0</v>
          </cell>
          <cell r="AB160">
            <v>20</v>
          </cell>
          <cell r="AC160">
            <v>0</v>
          </cell>
          <cell r="AD160">
            <v>0</v>
          </cell>
          <cell r="AE160">
            <v>0</v>
          </cell>
          <cell r="AF160">
            <v>796.32</v>
          </cell>
          <cell r="AG160">
            <v>796.32</v>
          </cell>
          <cell r="AH160">
            <v>1442.75</v>
          </cell>
          <cell r="AI160">
            <v>0</v>
          </cell>
          <cell r="AJ160">
            <v>5</v>
          </cell>
          <cell r="AK160">
            <v>280.75</v>
          </cell>
          <cell r="AL160">
            <v>5431.3764583333341</v>
          </cell>
          <cell r="AM160">
            <v>0</v>
          </cell>
          <cell r="AN160">
            <v>5</v>
          </cell>
          <cell r="AO160" t="str">
            <v>IN</v>
          </cell>
          <cell r="AP160">
            <v>797.32606408333356</v>
          </cell>
          <cell r="AQ160">
            <v>651.76517500000011</v>
          </cell>
          <cell r="AR160">
            <v>105.91184093750002</v>
          </cell>
          <cell r="AS160">
            <v>47.252975187500006</v>
          </cell>
          <cell r="AT160">
            <v>804.92999112500013</v>
          </cell>
          <cell r="AU160">
            <v>31.33</v>
          </cell>
          <cell r="AV160">
            <v>0</v>
          </cell>
          <cell r="AW160">
            <v>0</v>
          </cell>
          <cell r="AX160">
            <v>0</v>
          </cell>
          <cell r="AY160">
            <v>0</v>
          </cell>
          <cell r="AZ160">
            <v>0</v>
          </cell>
          <cell r="BA160">
            <v>0</v>
          </cell>
          <cell r="BB160">
            <v>0</v>
          </cell>
          <cell r="BD160">
            <v>0</v>
          </cell>
          <cell r="BE160">
            <v>0</v>
          </cell>
          <cell r="BF160">
            <v>841.25999112500017</v>
          </cell>
          <cell r="BG160">
            <v>4590.1164672083341</v>
          </cell>
          <cell r="BH160">
            <v>488.82</v>
          </cell>
          <cell r="BI160">
            <v>56.811887009791683</v>
          </cell>
          <cell r="BJ160">
            <v>407.90934873030426</v>
          </cell>
          <cell r="BK160">
            <v>72.255895128958343</v>
          </cell>
          <cell r="BL160">
            <v>92.7</v>
          </cell>
          <cell r="BM160">
            <v>1118.4971308690542</v>
          </cell>
        </row>
        <row r="161">
          <cell r="A161">
            <v>150</v>
          </cell>
          <cell r="B161" t="str">
            <v>TORRES VARGAS SAMUEL</v>
          </cell>
          <cell r="C161">
            <v>37907</v>
          </cell>
          <cell r="D161">
            <v>39716</v>
          </cell>
          <cell r="E161" t="str">
            <v>PERFORISTA</v>
          </cell>
          <cell r="F161">
            <v>56.15</v>
          </cell>
          <cell r="G161">
            <v>25</v>
          </cell>
          <cell r="H161">
            <v>200</v>
          </cell>
          <cell r="I161">
            <v>1403.75</v>
          </cell>
          <cell r="J161">
            <v>3.8461538461538463</v>
          </cell>
          <cell r="K161">
            <v>215.96</v>
          </cell>
          <cell r="L161">
            <v>0</v>
          </cell>
          <cell r="M161">
            <v>0</v>
          </cell>
          <cell r="N161">
            <v>31</v>
          </cell>
          <cell r="O161">
            <v>56.833333333333329</v>
          </cell>
          <cell r="P161">
            <v>40</v>
          </cell>
          <cell r="Q161">
            <v>350.9375</v>
          </cell>
          <cell r="R161">
            <v>40</v>
          </cell>
          <cell r="S161">
            <v>350.9375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16</v>
          </cell>
          <cell r="Y161">
            <v>224.6</v>
          </cell>
          <cell r="Z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796.32</v>
          </cell>
          <cell r="AH161">
            <v>0</v>
          </cell>
          <cell r="AI161">
            <v>1606.7</v>
          </cell>
          <cell r="AJ161">
            <v>0</v>
          </cell>
          <cell r="AK161">
            <v>0</v>
          </cell>
          <cell r="AL161">
            <v>4655.1008333333339</v>
          </cell>
          <cell r="AM161">
            <v>0</v>
          </cell>
          <cell r="AN161">
            <v>5</v>
          </cell>
          <cell r="AO161" t="str">
            <v>IN</v>
          </cell>
          <cell r="AP161">
            <v>683.36880233333352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18.07</v>
          </cell>
          <cell r="AV161">
            <v>0</v>
          </cell>
          <cell r="AW161">
            <v>0</v>
          </cell>
          <cell r="AX161">
            <v>36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D161">
            <v>0</v>
          </cell>
          <cell r="BE161">
            <v>0</v>
          </cell>
          <cell r="BF161">
            <v>59.07</v>
          </cell>
          <cell r="BG161">
            <v>4596.0308333333342</v>
          </cell>
          <cell r="BH161">
            <v>418.96</v>
          </cell>
          <cell r="BI161">
            <v>47.297076674166668</v>
          </cell>
          <cell r="BJ161">
            <v>339.59301052051671</v>
          </cell>
          <cell r="BK161">
            <v>60.154534410833342</v>
          </cell>
          <cell r="BL161">
            <v>77.180000000000007</v>
          </cell>
          <cell r="BM161">
            <v>943.18462160551667</v>
          </cell>
        </row>
        <row r="162">
          <cell r="A162">
            <v>151</v>
          </cell>
          <cell r="B162" t="str">
            <v>TOVAR OCHOA RAUL</v>
          </cell>
          <cell r="C162">
            <v>38481</v>
          </cell>
          <cell r="D162">
            <v>39716</v>
          </cell>
          <cell r="E162" t="str">
            <v>OP. SCOOP</v>
          </cell>
          <cell r="F162">
            <v>59.65</v>
          </cell>
          <cell r="G162">
            <v>23</v>
          </cell>
          <cell r="H162">
            <v>184</v>
          </cell>
          <cell r="I162">
            <v>1371.95</v>
          </cell>
          <cell r="J162">
            <v>3.5384615384615383</v>
          </cell>
          <cell r="K162">
            <v>211.07</v>
          </cell>
          <cell r="L162">
            <v>0</v>
          </cell>
          <cell r="M162">
            <v>0</v>
          </cell>
          <cell r="N162">
            <v>31</v>
          </cell>
          <cell r="O162">
            <v>56.833333333333329</v>
          </cell>
          <cell r="P162">
            <v>26</v>
          </cell>
          <cell r="Q162">
            <v>242.328125</v>
          </cell>
          <cell r="R162">
            <v>26</v>
          </cell>
          <cell r="S162">
            <v>242.328125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845.91</v>
          </cell>
          <cell r="AH162">
            <v>1791.33</v>
          </cell>
          <cell r="AI162">
            <v>681.7</v>
          </cell>
          <cell r="AJ162">
            <v>0</v>
          </cell>
          <cell r="AK162">
            <v>0</v>
          </cell>
          <cell r="AL162">
            <v>5201.1214583333331</v>
          </cell>
          <cell r="AM162">
            <v>0</v>
          </cell>
          <cell r="AN162">
            <v>5</v>
          </cell>
          <cell r="AO162" t="str">
            <v>PF</v>
          </cell>
          <cell r="AP162">
            <v>773.92687299999989</v>
          </cell>
          <cell r="AQ162">
            <v>624.13457499999993</v>
          </cell>
          <cell r="AR162">
            <v>101.4218684375</v>
          </cell>
          <cell r="AS162">
            <v>45.249756687499996</v>
          </cell>
          <cell r="AT162">
            <v>770.8062001249998</v>
          </cell>
          <cell r="AU162">
            <v>50.66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D162">
            <v>0</v>
          </cell>
          <cell r="BE162">
            <v>0</v>
          </cell>
          <cell r="BF162">
            <v>826.46620012499977</v>
          </cell>
          <cell r="BG162">
            <v>4374.6552582083332</v>
          </cell>
          <cell r="BH162">
            <v>468.1</v>
          </cell>
          <cell r="BI162">
            <v>53.381826844791675</v>
          </cell>
          <cell r="BJ162">
            <v>383.28151674560422</v>
          </cell>
          <cell r="BK162">
            <v>67.893391423958334</v>
          </cell>
          <cell r="BL162">
            <v>87.1</v>
          </cell>
          <cell r="BM162">
            <v>1059.7567350143543</v>
          </cell>
        </row>
        <row r="163">
          <cell r="A163">
            <v>152</v>
          </cell>
          <cell r="B163" t="str">
            <v>TRAVEZAÑO BUSTILLOS LUCIO ENRIQUE</v>
          </cell>
          <cell r="C163">
            <v>37641</v>
          </cell>
          <cell r="D163">
            <v>39716</v>
          </cell>
          <cell r="E163" t="str">
            <v>PERFORISTA</v>
          </cell>
          <cell r="F163">
            <v>56.15</v>
          </cell>
          <cell r="G163">
            <v>25</v>
          </cell>
          <cell r="H163">
            <v>200</v>
          </cell>
          <cell r="I163">
            <v>1403.75</v>
          </cell>
          <cell r="J163">
            <v>3.8461538461538463</v>
          </cell>
          <cell r="K163">
            <v>215.96</v>
          </cell>
          <cell r="L163">
            <v>0</v>
          </cell>
          <cell r="M163">
            <v>0</v>
          </cell>
          <cell r="N163">
            <v>31</v>
          </cell>
          <cell r="O163">
            <v>56.833333333333329</v>
          </cell>
          <cell r="P163">
            <v>48</v>
          </cell>
          <cell r="Q163">
            <v>431.65312499999999</v>
          </cell>
          <cell r="R163">
            <v>46</v>
          </cell>
          <cell r="S163">
            <v>403.578125</v>
          </cell>
          <cell r="T163">
            <v>0</v>
          </cell>
          <cell r="U163">
            <v>0</v>
          </cell>
          <cell r="V163">
            <v>2</v>
          </cell>
          <cell r="W163">
            <v>28.074999999999999</v>
          </cell>
          <cell r="X163">
            <v>16</v>
          </cell>
          <cell r="Y163">
            <v>224.6</v>
          </cell>
          <cell r="Z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796.32</v>
          </cell>
          <cell r="AH163">
            <v>0</v>
          </cell>
          <cell r="AI163">
            <v>1152.33</v>
          </cell>
          <cell r="AJ163">
            <v>0</v>
          </cell>
          <cell r="AK163">
            <v>0</v>
          </cell>
          <cell r="AL163">
            <v>4281.4464583333338</v>
          </cell>
          <cell r="AM163">
            <v>0</v>
          </cell>
          <cell r="AN163">
            <v>5</v>
          </cell>
          <cell r="AO163" t="str">
            <v>IN</v>
          </cell>
          <cell r="AP163">
            <v>628.51634008333349</v>
          </cell>
          <cell r="AQ163">
            <v>513.77357500000005</v>
          </cell>
          <cell r="AR163">
            <v>83.488205937500013</v>
          </cell>
          <cell r="AS163">
            <v>37.248584187500001</v>
          </cell>
          <cell r="AT163">
            <v>634.51036512500002</v>
          </cell>
          <cell r="AU163">
            <v>62.76</v>
          </cell>
          <cell r="AV163">
            <v>1075.5510354749999</v>
          </cell>
          <cell r="AW163">
            <v>0</v>
          </cell>
          <cell r="AX163">
            <v>36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D163">
            <v>0</v>
          </cell>
          <cell r="BE163">
            <v>0</v>
          </cell>
          <cell r="BF163">
            <v>1813.8214005999998</v>
          </cell>
          <cell r="BG163">
            <v>2467.625057733334</v>
          </cell>
          <cell r="BH163">
            <v>385.33</v>
          </cell>
          <cell r="BI163">
            <v>42.717194999791673</v>
          </cell>
          <cell r="BJ163">
            <v>306.70946009850422</v>
          </cell>
          <cell r="BK163">
            <v>54.329636358958339</v>
          </cell>
          <cell r="BL163">
            <v>69.7</v>
          </cell>
          <cell r="BM163">
            <v>858.78629145725426</v>
          </cell>
        </row>
        <row r="164">
          <cell r="A164">
            <v>153</v>
          </cell>
          <cell r="B164" t="str">
            <v>TRUJILLO DIAZ GABRIEL RAMOS</v>
          </cell>
          <cell r="C164">
            <v>38937</v>
          </cell>
          <cell r="D164">
            <v>39716</v>
          </cell>
          <cell r="E164" t="str">
            <v>PERFORISTA</v>
          </cell>
          <cell r="F164">
            <v>56.15</v>
          </cell>
          <cell r="G164">
            <v>23</v>
          </cell>
          <cell r="H164">
            <v>184</v>
          </cell>
          <cell r="I164">
            <v>1291.45</v>
          </cell>
          <cell r="J164">
            <v>3.5384615384615383</v>
          </cell>
          <cell r="K164">
            <v>198.68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26</v>
          </cell>
          <cell r="Q164">
            <v>228.109375</v>
          </cell>
          <cell r="R164">
            <v>26</v>
          </cell>
          <cell r="S164">
            <v>228.109375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8</v>
          </cell>
          <cell r="Y164">
            <v>112.3</v>
          </cell>
          <cell r="Z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796.32</v>
          </cell>
          <cell r="AH164">
            <v>1686.33</v>
          </cell>
          <cell r="AI164">
            <v>215.48</v>
          </cell>
          <cell r="AJ164">
            <v>0</v>
          </cell>
          <cell r="AK164">
            <v>0</v>
          </cell>
          <cell r="AL164">
            <v>4528.6693749999995</v>
          </cell>
          <cell r="AM164">
            <v>588.72701874999996</v>
          </cell>
          <cell r="AN164">
            <v>5</v>
          </cell>
          <cell r="AO164" t="str">
            <v>ONP</v>
          </cell>
          <cell r="AP164">
            <v>0</v>
          </cell>
          <cell r="AQ164">
            <v>543.44032499999992</v>
          </cell>
          <cell r="AR164">
            <v>88.309052812499985</v>
          </cell>
          <cell r="AS164">
            <v>39.39942356249999</v>
          </cell>
          <cell r="AT164">
            <v>671.14880137499995</v>
          </cell>
          <cell r="AU164">
            <v>0</v>
          </cell>
          <cell r="AV164">
            <v>0</v>
          </cell>
          <cell r="AW164">
            <v>0</v>
          </cell>
          <cell r="AX164">
            <v>51</v>
          </cell>
          <cell r="AY164">
            <v>0</v>
          </cell>
          <cell r="AZ164">
            <v>0</v>
          </cell>
          <cell r="BA164">
            <v>0</v>
          </cell>
          <cell r="BB164">
            <v>0</v>
          </cell>
          <cell r="BD164">
            <v>0</v>
          </cell>
          <cell r="BE164">
            <v>0</v>
          </cell>
          <cell r="BF164">
            <v>1315.8758201249998</v>
          </cell>
          <cell r="BG164">
            <v>3212.7935548749997</v>
          </cell>
          <cell r="BH164">
            <v>407.58</v>
          </cell>
          <cell r="BI164">
            <v>45.747406289374993</v>
          </cell>
          <cell r="BJ164">
            <v>328.46637715771249</v>
          </cell>
          <cell r="BK164">
            <v>58.183594406874988</v>
          </cell>
          <cell r="BL164">
            <v>0</v>
          </cell>
          <cell r="BM164">
            <v>839.97737785396248</v>
          </cell>
        </row>
        <row r="165">
          <cell r="A165">
            <v>154</v>
          </cell>
          <cell r="B165" t="str">
            <v>URBANO PALOMINO, SEVERO CIRIACO</v>
          </cell>
          <cell r="C165">
            <v>39263</v>
          </cell>
          <cell r="D165">
            <v>39716</v>
          </cell>
          <cell r="E165" t="str">
            <v>AYTE. PERF.</v>
          </cell>
          <cell r="F165">
            <v>54.15</v>
          </cell>
          <cell r="G165">
            <v>23</v>
          </cell>
          <cell r="H165">
            <v>184</v>
          </cell>
          <cell r="I165">
            <v>1245.45</v>
          </cell>
          <cell r="J165">
            <v>3.5384615384615383</v>
          </cell>
          <cell r="K165">
            <v>191.61</v>
          </cell>
          <cell r="L165">
            <v>0</v>
          </cell>
          <cell r="M165">
            <v>0</v>
          </cell>
          <cell r="N165">
            <v>31</v>
          </cell>
          <cell r="O165">
            <v>56.833333333333329</v>
          </cell>
          <cell r="P165">
            <v>12</v>
          </cell>
          <cell r="Q165">
            <v>106.94625000000001</v>
          </cell>
          <cell r="R165">
            <v>4</v>
          </cell>
          <cell r="S165">
            <v>33.84375</v>
          </cell>
          <cell r="T165">
            <v>8</v>
          </cell>
          <cell r="U165">
            <v>73.102500000000006</v>
          </cell>
          <cell r="V165">
            <v>0</v>
          </cell>
          <cell r="W165">
            <v>0</v>
          </cell>
          <cell r="X165">
            <v>16</v>
          </cell>
          <cell r="Y165">
            <v>216.6</v>
          </cell>
          <cell r="Z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767.13</v>
          </cell>
          <cell r="AH165">
            <v>1624.5</v>
          </cell>
          <cell r="AI165">
            <v>388.08</v>
          </cell>
          <cell r="AJ165">
            <v>0</v>
          </cell>
          <cell r="AK165">
            <v>0</v>
          </cell>
          <cell r="AL165">
            <v>4597.1495833333329</v>
          </cell>
          <cell r="AM165">
            <v>597.62944583333331</v>
          </cell>
          <cell r="AN165">
            <v>5</v>
          </cell>
          <cell r="AO165" t="str">
            <v>ONP</v>
          </cell>
          <cell r="AP165">
            <v>0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  <cell r="AU165">
            <v>3.97</v>
          </cell>
          <cell r="AV165">
            <v>0</v>
          </cell>
          <cell r="AW165">
            <v>0</v>
          </cell>
          <cell r="AX165">
            <v>0</v>
          </cell>
          <cell r="AY165">
            <v>0</v>
          </cell>
          <cell r="AZ165">
            <v>0</v>
          </cell>
          <cell r="BA165">
            <v>0</v>
          </cell>
          <cell r="BB165">
            <v>0</v>
          </cell>
          <cell r="BD165">
            <v>0</v>
          </cell>
          <cell r="BE165">
            <v>0</v>
          </cell>
          <cell r="BF165">
            <v>606.59944583333333</v>
          </cell>
          <cell r="BG165">
            <v>3990.5501374999994</v>
          </cell>
          <cell r="BH165">
            <v>413.74</v>
          </cell>
          <cell r="BI165">
            <v>46.944550032916659</v>
          </cell>
          <cell r="BJ165">
            <v>337.06186923634164</v>
          </cell>
          <cell r="BK165">
            <v>59.706175284583324</v>
          </cell>
          <cell r="BL165">
            <v>0</v>
          </cell>
          <cell r="BM165">
            <v>857.45259455384155</v>
          </cell>
        </row>
        <row r="166">
          <cell r="A166">
            <v>155</v>
          </cell>
          <cell r="B166" t="str">
            <v>URBANO VILLON, HAIRZHINO RENATO</v>
          </cell>
          <cell r="C166">
            <v>39263</v>
          </cell>
          <cell r="D166">
            <v>39716</v>
          </cell>
          <cell r="E166" t="str">
            <v>AYTE. PERF.</v>
          </cell>
          <cell r="F166">
            <v>54.15</v>
          </cell>
          <cell r="G166">
            <v>25</v>
          </cell>
          <cell r="H166">
            <v>200</v>
          </cell>
          <cell r="I166">
            <v>1353.75</v>
          </cell>
          <cell r="J166">
            <v>3.8461538461538463</v>
          </cell>
          <cell r="K166">
            <v>208.27</v>
          </cell>
          <cell r="L166">
            <v>0</v>
          </cell>
          <cell r="M166">
            <v>0</v>
          </cell>
          <cell r="N166">
            <v>31</v>
          </cell>
          <cell r="O166">
            <v>56.833333333333329</v>
          </cell>
          <cell r="P166">
            <v>28</v>
          </cell>
          <cell r="Q166">
            <v>236.90625</v>
          </cell>
          <cell r="R166">
            <v>28</v>
          </cell>
          <cell r="S166">
            <v>236.90625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8</v>
          </cell>
          <cell r="Y166">
            <v>108.3</v>
          </cell>
          <cell r="Z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767.99</v>
          </cell>
          <cell r="AH166">
            <v>1626.33</v>
          </cell>
          <cell r="AI166">
            <v>388.52</v>
          </cell>
          <cell r="AJ166">
            <v>0</v>
          </cell>
          <cell r="AK166">
            <v>0</v>
          </cell>
          <cell r="AL166">
            <v>4746.8995833333338</v>
          </cell>
          <cell r="AM166">
            <v>0</v>
          </cell>
          <cell r="AN166">
            <v>5</v>
          </cell>
          <cell r="AO166" t="str">
            <v>PF</v>
          </cell>
          <cell r="AP166">
            <v>706.33865800000001</v>
          </cell>
          <cell r="AQ166">
            <v>569.62795000000006</v>
          </cell>
          <cell r="AR166">
            <v>92.564541875000003</v>
          </cell>
          <cell r="AS166">
            <v>41.298026374999999</v>
          </cell>
          <cell r="AT166">
            <v>703.49051825000004</v>
          </cell>
          <cell r="AU166">
            <v>2.35</v>
          </cell>
          <cell r="AV166">
            <v>0</v>
          </cell>
          <cell r="AW166">
            <v>0</v>
          </cell>
          <cell r="AX166">
            <v>40</v>
          </cell>
          <cell r="AY166">
            <v>0</v>
          </cell>
          <cell r="AZ166">
            <v>0</v>
          </cell>
          <cell r="BA166">
            <v>0</v>
          </cell>
          <cell r="BB166">
            <v>0</v>
          </cell>
          <cell r="BD166">
            <v>0</v>
          </cell>
          <cell r="BE166">
            <v>0</v>
          </cell>
          <cell r="BF166">
            <v>750.84051825000006</v>
          </cell>
          <cell r="BG166">
            <v>3996.0590650833337</v>
          </cell>
          <cell r="BH166">
            <v>427.22</v>
          </cell>
          <cell r="BI166">
            <v>48.769494762916672</v>
          </cell>
          <cell r="BJ166">
            <v>350.16497239774179</v>
          </cell>
          <cell r="BK166">
            <v>62.027221494583344</v>
          </cell>
          <cell r="BL166">
            <v>79.58</v>
          </cell>
          <cell r="BM166">
            <v>967.76168865524198</v>
          </cell>
        </row>
        <row r="167">
          <cell r="A167">
            <v>156</v>
          </cell>
          <cell r="B167" t="str">
            <v>VALENCIA VENTURA VICTOR</v>
          </cell>
          <cell r="C167">
            <v>39647</v>
          </cell>
          <cell r="D167">
            <v>39716</v>
          </cell>
          <cell r="E167" t="str">
            <v>OPERADOR JUMBO</v>
          </cell>
          <cell r="F167">
            <v>56.15</v>
          </cell>
          <cell r="G167">
            <v>25</v>
          </cell>
          <cell r="H167">
            <v>200</v>
          </cell>
          <cell r="I167">
            <v>1403.75</v>
          </cell>
          <cell r="J167">
            <v>3.8461538461538463</v>
          </cell>
          <cell r="K167">
            <v>215.96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51</v>
          </cell>
          <cell r="Q167">
            <v>457.97343749999999</v>
          </cell>
          <cell r="R167">
            <v>49</v>
          </cell>
          <cell r="S167">
            <v>429.8984375</v>
          </cell>
          <cell r="T167">
            <v>0</v>
          </cell>
          <cell r="U167">
            <v>0</v>
          </cell>
          <cell r="V167">
            <v>2</v>
          </cell>
          <cell r="W167">
            <v>28.074999999999999</v>
          </cell>
          <cell r="X167">
            <v>8</v>
          </cell>
          <cell r="Y167">
            <v>112.3</v>
          </cell>
          <cell r="Z167">
            <v>0</v>
          </cell>
          <cell r="AB167">
            <v>20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514.71</v>
          </cell>
          <cell r="AH167">
            <v>0</v>
          </cell>
          <cell r="AI167">
            <v>318.18</v>
          </cell>
          <cell r="AJ167">
            <v>0</v>
          </cell>
          <cell r="AK167">
            <v>0</v>
          </cell>
          <cell r="AL167">
            <v>3042.8734374999999</v>
          </cell>
          <cell r="AM167">
            <v>0</v>
          </cell>
          <cell r="AN167">
            <v>0</v>
          </cell>
          <cell r="AO167" t="str">
            <v>IN</v>
          </cell>
          <cell r="AP167">
            <v>446.693820625</v>
          </cell>
          <cell r="AQ167">
            <v>365.1448125</v>
          </cell>
          <cell r="AR167">
            <v>59.336032031249999</v>
          </cell>
          <cell r="AS167">
            <v>26.472998906249998</v>
          </cell>
          <cell r="AT167">
            <v>450.95384343749998</v>
          </cell>
          <cell r="AU167">
            <v>0</v>
          </cell>
          <cell r="AV167">
            <v>0</v>
          </cell>
          <cell r="AW167">
            <v>0</v>
          </cell>
          <cell r="AX167">
            <v>0</v>
          </cell>
          <cell r="AY167">
            <v>0</v>
          </cell>
          <cell r="AZ167">
            <v>0</v>
          </cell>
          <cell r="BA167">
            <v>0</v>
          </cell>
          <cell r="BB167">
            <v>0</v>
          </cell>
          <cell r="BD167">
            <v>0</v>
          </cell>
          <cell r="BE167">
            <v>0</v>
          </cell>
          <cell r="BF167">
            <v>450.95384343749998</v>
          </cell>
          <cell r="BG167">
            <v>2591.9195940625</v>
          </cell>
          <cell r="BH167">
            <v>273.86</v>
          </cell>
          <cell r="BI167">
            <v>30.987699253437498</v>
          </cell>
          <cell r="BJ167">
            <v>222.49168063968125</v>
          </cell>
          <cell r="BK167">
            <v>39.411539827187504</v>
          </cell>
          <cell r="BL167">
            <v>50.56</v>
          </cell>
          <cell r="BM167">
            <v>617.31091972030629</v>
          </cell>
        </row>
        <row r="168">
          <cell r="A168">
            <v>157</v>
          </cell>
          <cell r="B168" t="str">
            <v>VARGAS APARCO FLAVIO</v>
          </cell>
          <cell r="C168">
            <v>35596</v>
          </cell>
          <cell r="D168">
            <v>39716</v>
          </cell>
          <cell r="E168" t="str">
            <v>PERFORISTA</v>
          </cell>
          <cell r="F168">
            <v>56.15</v>
          </cell>
          <cell r="G168">
            <v>26</v>
          </cell>
          <cell r="H168">
            <v>208</v>
          </cell>
          <cell r="I168">
            <v>1459.9</v>
          </cell>
          <cell r="J168">
            <v>4</v>
          </cell>
          <cell r="K168">
            <v>224.6</v>
          </cell>
          <cell r="L168">
            <v>0</v>
          </cell>
          <cell r="M168">
            <v>0</v>
          </cell>
          <cell r="N168">
            <v>31</v>
          </cell>
          <cell r="O168">
            <v>56.833333333333329</v>
          </cell>
          <cell r="P168">
            <v>48</v>
          </cell>
          <cell r="Q168">
            <v>431.65312499999999</v>
          </cell>
          <cell r="R168">
            <v>46</v>
          </cell>
          <cell r="S168">
            <v>403.578125</v>
          </cell>
          <cell r="T168">
            <v>0</v>
          </cell>
          <cell r="U168">
            <v>0</v>
          </cell>
          <cell r="V168">
            <v>2</v>
          </cell>
          <cell r="W168">
            <v>28.074999999999999</v>
          </cell>
          <cell r="X168">
            <v>8</v>
          </cell>
          <cell r="Y168">
            <v>112.3</v>
          </cell>
          <cell r="Z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795.46</v>
          </cell>
          <cell r="AH168">
            <v>1648.5</v>
          </cell>
          <cell r="AI168">
            <v>472.6</v>
          </cell>
          <cell r="AJ168">
            <v>0</v>
          </cell>
          <cell r="AK168">
            <v>0</v>
          </cell>
          <cell r="AL168">
            <v>5201.8464583333334</v>
          </cell>
          <cell r="AM168">
            <v>676.24003958333333</v>
          </cell>
          <cell r="AN168">
            <v>5</v>
          </cell>
          <cell r="AO168" t="str">
            <v>ONP</v>
          </cell>
          <cell r="AP168">
            <v>0</v>
          </cell>
          <cell r="AQ168">
            <v>624.22157500000003</v>
          </cell>
          <cell r="AR168">
            <v>101.4360059375</v>
          </cell>
          <cell r="AS168">
            <v>45.256064187499994</v>
          </cell>
          <cell r="AT168">
            <v>770.91364512500002</v>
          </cell>
          <cell r="AU168">
            <v>53.29</v>
          </cell>
          <cell r="AV168">
            <v>0</v>
          </cell>
          <cell r="AW168">
            <v>0</v>
          </cell>
          <cell r="AX168">
            <v>35</v>
          </cell>
          <cell r="AY168">
            <v>0</v>
          </cell>
          <cell r="AZ168">
            <v>0</v>
          </cell>
          <cell r="BA168">
            <v>0</v>
          </cell>
          <cell r="BB168">
            <v>0</v>
          </cell>
          <cell r="BD168">
            <v>0</v>
          </cell>
          <cell r="BE168">
            <v>0</v>
          </cell>
          <cell r="BF168">
            <v>1540.4436847083334</v>
          </cell>
          <cell r="BG168">
            <v>3661.402773625</v>
          </cell>
          <cell r="BH168">
            <v>468.17</v>
          </cell>
          <cell r="BI168">
            <v>54.009078819791668</v>
          </cell>
          <cell r="BJ168">
            <v>387.78518592610419</v>
          </cell>
          <cell r="BK168">
            <v>68.691158498958345</v>
          </cell>
          <cell r="BL168">
            <v>0</v>
          </cell>
          <cell r="BM168">
            <v>978.65542324485421</v>
          </cell>
        </row>
        <row r="169">
          <cell r="A169">
            <v>158</v>
          </cell>
          <cell r="B169" t="str">
            <v>VARGAS MAURE OSCAR</v>
          </cell>
          <cell r="C169">
            <v>38236</v>
          </cell>
          <cell r="D169">
            <v>39716</v>
          </cell>
          <cell r="E169" t="str">
            <v>PERFORISTA</v>
          </cell>
          <cell r="F169">
            <v>56.15</v>
          </cell>
          <cell r="G169">
            <v>19</v>
          </cell>
          <cell r="H169">
            <v>152</v>
          </cell>
          <cell r="I169">
            <v>1066.8499999999999</v>
          </cell>
          <cell r="J169">
            <v>2.9230769230769229</v>
          </cell>
          <cell r="K169">
            <v>164.13</v>
          </cell>
          <cell r="L169">
            <v>0</v>
          </cell>
          <cell r="M169">
            <v>0</v>
          </cell>
          <cell r="N169">
            <v>31</v>
          </cell>
          <cell r="O169">
            <v>56.833333333333329</v>
          </cell>
          <cell r="P169">
            <v>16</v>
          </cell>
          <cell r="Q169">
            <v>140.375</v>
          </cell>
          <cell r="R169">
            <v>16</v>
          </cell>
          <cell r="S169">
            <v>140.375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8</v>
          </cell>
          <cell r="Y169">
            <v>112.3</v>
          </cell>
          <cell r="Z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796.32</v>
          </cell>
          <cell r="AH169">
            <v>1686.33</v>
          </cell>
          <cell r="AI169">
            <v>93.69</v>
          </cell>
          <cell r="AJ169">
            <v>0</v>
          </cell>
          <cell r="AK169">
            <v>0</v>
          </cell>
          <cell r="AL169">
            <v>4116.8283333333329</v>
          </cell>
          <cell r="AM169">
            <v>0</v>
          </cell>
          <cell r="AN169">
            <v>5</v>
          </cell>
          <cell r="AO169" t="str">
            <v>IN</v>
          </cell>
          <cell r="AP169">
            <v>604.35039933333337</v>
          </cell>
          <cell r="AQ169">
            <v>494.01939999999991</v>
          </cell>
          <cell r="AR169">
            <v>80.27815249999999</v>
          </cell>
          <cell r="AS169">
            <v>35.816406499999992</v>
          </cell>
          <cell r="AT169">
            <v>610.11395899999991</v>
          </cell>
          <cell r="AU169">
            <v>36.869999999999997</v>
          </cell>
          <cell r="AV169">
            <v>0</v>
          </cell>
          <cell r="AW169">
            <v>0</v>
          </cell>
          <cell r="AX169">
            <v>35</v>
          </cell>
          <cell r="AY169">
            <v>0</v>
          </cell>
          <cell r="AZ169">
            <v>0</v>
          </cell>
          <cell r="BA169">
            <v>0</v>
          </cell>
          <cell r="BB169">
            <v>0</v>
          </cell>
          <cell r="BD169">
            <v>0</v>
          </cell>
          <cell r="BE169">
            <v>0</v>
          </cell>
          <cell r="BF169">
            <v>686.98395899999991</v>
          </cell>
          <cell r="BG169">
            <v>3429.8443743333328</v>
          </cell>
          <cell r="BH169">
            <v>370.51</v>
          </cell>
          <cell r="BI169">
            <v>40.699470641666665</v>
          </cell>
          <cell r="BJ169">
            <v>292.22219920716663</v>
          </cell>
          <cell r="BK169">
            <v>51.763404408333329</v>
          </cell>
          <cell r="BL169">
            <v>66.41</v>
          </cell>
          <cell r="BM169">
            <v>821.60507425716673</v>
          </cell>
        </row>
        <row r="170">
          <cell r="A170">
            <v>159</v>
          </cell>
          <cell r="B170" t="str">
            <v>VARGAS PEÑA MANUEL</v>
          </cell>
          <cell r="C170">
            <v>37956</v>
          </cell>
          <cell r="D170">
            <v>39716</v>
          </cell>
          <cell r="E170" t="str">
            <v>PERFORISTA</v>
          </cell>
          <cell r="F170">
            <v>56.15</v>
          </cell>
          <cell r="G170">
            <v>17</v>
          </cell>
          <cell r="H170">
            <v>136</v>
          </cell>
          <cell r="I170">
            <v>954.55</v>
          </cell>
          <cell r="J170">
            <v>2.6153846153846154</v>
          </cell>
          <cell r="K170">
            <v>146.85</v>
          </cell>
          <cell r="L170">
            <v>0</v>
          </cell>
          <cell r="M170">
            <v>0</v>
          </cell>
          <cell r="N170">
            <v>31</v>
          </cell>
          <cell r="O170">
            <v>56.833333333333329</v>
          </cell>
          <cell r="P170">
            <v>20</v>
          </cell>
          <cell r="Q170">
            <v>175.46875</v>
          </cell>
          <cell r="R170">
            <v>20</v>
          </cell>
          <cell r="S170">
            <v>175.46875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8</v>
          </cell>
          <cell r="Y170">
            <v>112.3</v>
          </cell>
          <cell r="Z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796.32</v>
          </cell>
          <cell r="AH170">
            <v>1686.33</v>
          </cell>
          <cell r="AI170">
            <v>0</v>
          </cell>
          <cell r="AJ170">
            <v>0</v>
          </cell>
          <cell r="AK170">
            <v>0</v>
          </cell>
          <cell r="AL170">
            <v>3928.6520833333329</v>
          </cell>
          <cell r="AM170">
            <v>0</v>
          </cell>
          <cell r="AN170">
            <v>5</v>
          </cell>
          <cell r="AO170" t="str">
            <v>HR</v>
          </cell>
          <cell r="AP170">
            <v>582.6191039583332</v>
          </cell>
          <cell r="AQ170">
            <v>471.43824999999993</v>
          </cell>
          <cell r="AR170">
            <v>76.608715624999988</v>
          </cell>
          <cell r="AS170">
            <v>34.179273124999995</v>
          </cell>
          <cell r="AT170">
            <v>582.22623874999988</v>
          </cell>
          <cell r="AU170">
            <v>10.51</v>
          </cell>
          <cell r="AV170">
            <v>0</v>
          </cell>
          <cell r="AW170">
            <v>0</v>
          </cell>
          <cell r="AX170">
            <v>0</v>
          </cell>
          <cell r="AY170">
            <v>0</v>
          </cell>
          <cell r="AZ170">
            <v>0</v>
          </cell>
          <cell r="BA170">
            <v>0</v>
          </cell>
          <cell r="BB170">
            <v>0</v>
          </cell>
          <cell r="BD170">
            <v>0</v>
          </cell>
          <cell r="BE170">
            <v>0</v>
          </cell>
          <cell r="BF170">
            <v>597.73623874999987</v>
          </cell>
          <cell r="BG170">
            <v>3330.9158445833332</v>
          </cell>
          <cell r="BH170">
            <v>353.58</v>
          </cell>
          <cell r="BI170">
            <v>38.39299434541666</v>
          </cell>
          <cell r="BJ170">
            <v>275.66169940009166</v>
          </cell>
          <cell r="BK170">
            <v>48.829924847083333</v>
          </cell>
          <cell r="BL170">
            <v>62.65</v>
          </cell>
          <cell r="BM170">
            <v>779.11461859259168</v>
          </cell>
        </row>
        <row r="171">
          <cell r="A171">
            <v>160</v>
          </cell>
          <cell r="B171" t="str">
            <v xml:space="preserve">VARGAS PORTAL FABIAN ANTONIO </v>
          </cell>
          <cell r="C171">
            <v>39676</v>
          </cell>
          <cell r="D171">
            <v>39716</v>
          </cell>
          <cell r="E171" t="str">
            <v>AYTE. PERF.</v>
          </cell>
          <cell r="F171">
            <v>50.15</v>
          </cell>
          <cell r="G171">
            <v>3</v>
          </cell>
          <cell r="H171">
            <v>24</v>
          </cell>
          <cell r="I171">
            <v>150.44999999999999</v>
          </cell>
          <cell r="J171">
            <v>0.46153846153846156</v>
          </cell>
          <cell r="K171">
            <v>23.15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4</v>
          </cell>
          <cell r="Q171">
            <v>31.34375</v>
          </cell>
          <cell r="R171">
            <v>4</v>
          </cell>
          <cell r="S171">
            <v>31.34375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204.94374999999999</v>
          </cell>
          <cell r="AM171">
            <v>26.642687500000001</v>
          </cell>
          <cell r="AN171">
            <v>0</v>
          </cell>
          <cell r="AO171" t="str">
            <v>ONP</v>
          </cell>
          <cell r="AP171">
            <v>0</v>
          </cell>
          <cell r="AQ171">
            <v>24.593249999999998</v>
          </cell>
          <cell r="AR171">
            <v>3.9964031250000001</v>
          </cell>
          <cell r="AS171">
            <v>1.7830106249999997</v>
          </cell>
          <cell r="AT171">
            <v>30.372663749999997</v>
          </cell>
          <cell r="AU171">
            <v>0</v>
          </cell>
          <cell r="AV171">
            <v>0</v>
          </cell>
          <cell r="AW171">
            <v>0</v>
          </cell>
          <cell r="AX171">
            <v>0</v>
          </cell>
          <cell r="AY171">
            <v>0</v>
          </cell>
          <cell r="AZ171">
            <v>0</v>
          </cell>
          <cell r="BA171">
            <v>0</v>
          </cell>
          <cell r="BB171">
            <v>0</v>
          </cell>
          <cell r="BD171">
            <v>0</v>
          </cell>
          <cell r="BE171">
            <v>0</v>
          </cell>
          <cell r="BF171">
            <v>57.015351249999995</v>
          </cell>
          <cell r="BG171">
            <v>147.92839874999999</v>
          </cell>
          <cell r="BH171">
            <v>49.5</v>
          </cell>
          <cell r="BI171">
            <v>2.5119955437499999</v>
          </cell>
          <cell r="BJ171">
            <v>18.036128004125001</v>
          </cell>
          <cell r="BK171">
            <v>3.1948681187499997</v>
          </cell>
          <cell r="BL171">
            <v>0</v>
          </cell>
          <cell r="BM171">
            <v>73.242991666624988</v>
          </cell>
        </row>
        <row r="172">
          <cell r="A172">
            <v>161</v>
          </cell>
          <cell r="B172" t="str">
            <v>VEGA URBANO HENRY CIRO</v>
          </cell>
          <cell r="C172">
            <v>39366</v>
          </cell>
          <cell r="D172">
            <v>39716</v>
          </cell>
          <cell r="E172" t="str">
            <v>AYTE. PERF.</v>
          </cell>
          <cell r="F172">
            <v>54.15</v>
          </cell>
          <cell r="G172">
            <v>24</v>
          </cell>
          <cell r="H172">
            <v>192</v>
          </cell>
          <cell r="I172">
            <v>1299.5999999999999</v>
          </cell>
          <cell r="J172">
            <v>3.6923076923076925</v>
          </cell>
          <cell r="K172">
            <v>199.94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36</v>
          </cell>
          <cell r="Q172">
            <v>304.59375</v>
          </cell>
          <cell r="R172">
            <v>36</v>
          </cell>
          <cell r="S172">
            <v>304.59375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796.32</v>
          </cell>
          <cell r="AH172">
            <v>0</v>
          </cell>
          <cell r="AI172">
            <v>1616.07</v>
          </cell>
          <cell r="AJ172">
            <v>0</v>
          </cell>
          <cell r="AK172">
            <v>0</v>
          </cell>
          <cell r="AL172">
            <v>4216.5237500000003</v>
          </cell>
          <cell r="AM172">
            <v>548.14808750000009</v>
          </cell>
          <cell r="AN172">
            <v>5</v>
          </cell>
          <cell r="AO172" t="str">
            <v>ONP</v>
          </cell>
          <cell r="AP172">
            <v>0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  <cell r="AU172">
            <v>-14.76</v>
          </cell>
          <cell r="AV172">
            <v>0</v>
          </cell>
          <cell r="AW172">
            <v>0</v>
          </cell>
          <cell r="AX172">
            <v>30.15</v>
          </cell>
          <cell r="AY172">
            <v>0</v>
          </cell>
          <cell r="AZ172">
            <v>0</v>
          </cell>
          <cell r="BA172">
            <v>0</v>
          </cell>
          <cell r="BB172">
            <v>0</v>
          </cell>
          <cell r="BD172">
            <v>0</v>
          </cell>
          <cell r="BE172">
            <v>0</v>
          </cell>
          <cell r="BF172">
            <v>568.53808750000007</v>
          </cell>
          <cell r="BG172">
            <v>3647.9856625000002</v>
          </cell>
          <cell r="BH172">
            <v>379.49</v>
          </cell>
          <cell r="BI172">
            <v>41.921437363750002</v>
          </cell>
          <cell r="BJ172">
            <v>300.99592027172503</v>
          </cell>
          <cell r="BK172">
            <v>53.317556258750002</v>
          </cell>
          <cell r="BL172">
            <v>0</v>
          </cell>
          <cell r="BM172">
            <v>775.72491389422498</v>
          </cell>
        </row>
        <row r="173">
          <cell r="A173">
            <v>162</v>
          </cell>
          <cell r="B173" t="str">
            <v>VENTOCILLA MELENDREZ EFRAIN MAXIMO</v>
          </cell>
          <cell r="C173">
            <v>38541</v>
          </cell>
          <cell r="D173">
            <v>39716</v>
          </cell>
          <cell r="E173" t="str">
            <v>AYTE. PERF.</v>
          </cell>
          <cell r="F173">
            <v>54.15</v>
          </cell>
          <cell r="G173">
            <v>24</v>
          </cell>
          <cell r="H173">
            <v>192</v>
          </cell>
          <cell r="I173">
            <v>1299.5999999999999</v>
          </cell>
          <cell r="J173">
            <v>3.6923076923076925</v>
          </cell>
          <cell r="K173">
            <v>199.94</v>
          </cell>
          <cell r="L173">
            <v>0</v>
          </cell>
          <cell r="M173">
            <v>0</v>
          </cell>
          <cell r="N173">
            <v>31</v>
          </cell>
          <cell r="O173">
            <v>56.833333333333329</v>
          </cell>
          <cell r="P173">
            <v>8</v>
          </cell>
          <cell r="Q173">
            <v>67.6875</v>
          </cell>
          <cell r="R173">
            <v>8</v>
          </cell>
          <cell r="S173">
            <v>67.6875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767.13</v>
          </cell>
          <cell r="AH173">
            <v>1624.5</v>
          </cell>
          <cell r="AI173">
            <v>342.95</v>
          </cell>
          <cell r="AJ173">
            <v>0</v>
          </cell>
          <cell r="AK173">
            <v>0</v>
          </cell>
          <cell r="AL173">
            <v>4358.6408333333329</v>
          </cell>
          <cell r="AM173">
            <v>0</v>
          </cell>
          <cell r="AN173">
            <v>5</v>
          </cell>
          <cell r="AO173" t="str">
            <v>PF</v>
          </cell>
          <cell r="AP173">
            <v>648.56575599999985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  <cell r="AU173">
            <v>12.9</v>
          </cell>
          <cell r="AV173">
            <v>0</v>
          </cell>
          <cell r="AW173">
            <v>0</v>
          </cell>
          <cell r="AX173">
            <v>35</v>
          </cell>
          <cell r="AY173">
            <v>0</v>
          </cell>
          <cell r="AZ173">
            <v>0</v>
          </cell>
          <cell r="BA173">
            <v>0</v>
          </cell>
          <cell r="BB173">
            <v>0</v>
          </cell>
          <cell r="BD173">
            <v>0</v>
          </cell>
          <cell r="BE173">
            <v>0</v>
          </cell>
          <cell r="BF173">
            <v>52.9</v>
          </cell>
          <cell r="BG173">
            <v>4305.7408333333333</v>
          </cell>
          <cell r="BH173">
            <v>392.28</v>
          </cell>
          <cell r="BI173">
            <v>44.021148284166657</v>
          </cell>
          <cell r="BJ173">
            <v>316.0718446803167</v>
          </cell>
          <cell r="BK173">
            <v>55.988062380833327</v>
          </cell>
          <cell r="BL173">
            <v>71.83</v>
          </cell>
          <cell r="BM173">
            <v>880.19105534531661</v>
          </cell>
        </row>
        <row r="174">
          <cell r="A174">
            <v>163</v>
          </cell>
          <cell r="B174" t="str">
            <v>VENTURA CABELLO TEODORO</v>
          </cell>
          <cell r="C174">
            <v>34851</v>
          </cell>
          <cell r="D174">
            <v>39716</v>
          </cell>
          <cell r="E174" t="str">
            <v>PERFORISTA</v>
          </cell>
          <cell r="F174">
            <v>56.15</v>
          </cell>
          <cell r="G174">
            <v>25</v>
          </cell>
          <cell r="H174">
            <v>200</v>
          </cell>
          <cell r="I174">
            <v>1403.75</v>
          </cell>
          <cell r="J174">
            <v>3.8461538461538463</v>
          </cell>
          <cell r="K174">
            <v>215.96</v>
          </cell>
          <cell r="L174">
            <v>0</v>
          </cell>
          <cell r="M174">
            <v>0</v>
          </cell>
          <cell r="N174">
            <v>31</v>
          </cell>
          <cell r="O174">
            <v>56.833333333333329</v>
          </cell>
          <cell r="P174">
            <v>50</v>
          </cell>
          <cell r="Q174">
            <v>438.671875</v>
          </cell>
          <cell r="R174">
            <v>50</v>
          </cell>
          <cell r="S174">
            <v>438.671875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16</v>
          </cell>
          <cell r="Y174">
            <v>224.6</v>
          </cell>
          <cell r="Z174">
            <v>0</v>
          </cell>
          <cell r="AB174">
            <v>105.28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796.32</v>
          </cell>
          <cell r="AH174">
            <v>1686.33</v>
          </cell>
          <cell r="AI174">
            <v>538.69000000000005</v>
          </cell>
          <cell r="AJ174">
            <v>0</v>
          </cell>
          <cell r="AK174">
            <v>0</v>
          </cell>
          <cell r="AL174">
            <v>5466.4352083333342</v>
          </cell>
          <cell r="AM174">
            <v>710.63657708333346</v>
          </cell>
          <cell r="AN174">
            <v>5</v>
          </cell>
          <cell r="AO174" t="str">
            <v>ONP</v>
          </cell>
          <cell r="AP174">
            <v>0</v>
          </cell>
          <cell r="AQ174">
            <v>655.97222500000009</v>
          </cell>
          <cell r="AR174">
            <v>106.59548656250001</v>
          </cell>
          <cell r="AS174">
            <v>47.557986312500006</v>
          </cell>
          <cell r="AT174">
            <v>810.12569787500013</v>
          </cell>
          <cell r="AU174">
            <v>19.23</v>
          </cell>
          <cell r="AV174">
            <v>0</v>
          </cell>
          <cell r="AW174">
            <v>0</v>
          </cell>
          <cell r="AX174">
            <v>36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D174">
            <v>0</v>
          </cell>
          <cell r="BE174">
            <v>0</v>
          </cell>
          <cell r="BF174">
            <v>1580.9922749583336</v>
          </cell>
          <cell r="BG174">
            <v>3885.4429333750004</v>
          </cell>
          <cell r="BH174">
            <v>491.98</v>
          </cell>
          <cell r="BI174">
            <v>57.241602108541684</v>
          </cell>
          <cell r="BJ174">
            <v>410.99470313932932</v>
          </cell>
          <cell r="BK174">
            <v>72.802425982708357</v>
          </cell>
          <cell r="BL174">
            <v>0</v>
          </cell>
          <cell r="BM174">
            <v>1033.0187312305793</v>
          </cell>
        </row>
        <row r="175">
          <cell r="A175">
            <v>164</v>
          </cell>
          <cell r="B175" t="str">
            <v>VILLANUEVA GALVEZ LIVER EMILIO</v>
          </cell>
          <cell r="C175">
            <v>38667</v>
          </cell>
          <cell r="D175">
            <v>39716</v>
          </cell>
          <cell r="E175" t="str">
            <v>PERFORISTA</v>
          </cell>
          <cell r="F175">
            <v>56.15</v>
          </cell>
          <cell r="G175">
            <v>25</v>
          </cell>
          <cell r="H175">
            <v>200</v>
          </cell>
          <cell r="I175">
            <v>1403.75</v>
          </cell>
          <cell r="J175">
            <v>3.8461538461538463</v>
          </cell>
          <cell r="K175">
            <v>215.96</v>
          </cell>
          <cell r="L175">
            <v>0</v>
          </cell>
          <cell r="M175">
            <v>0</v>
          </cell>
          <cell r="N175">
            <v>31</v>
          </cell>
          <cell r="O175">
            <v>56.833333333333329</v>
          </cell>
          <cell r="P175">
            <v>26</v>
          </cell>
          <cell r="Q175">
            <v>228.109375</v>
          </cell>
          <cell r="R175">
            <v>26</v>
          </cell>
          <cell r="S175">
            <v>228.109375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796.32</v>
          </cell>
          <cell r="AH175">
            <v>0</v>
          </cell>
          <cell r="AI175">
            <v>1475.54</v>
          </cell>
          <cell r="AJ175">
            <v>0</v>
          </cell>
          <cell r="AK175">
            <v>0</v>
          </cell>
          <cell r="AL175">
            <v>4176.5127083333336</v>
          </cell>
          <cell r="AM175">
            <v>542.94665208333345</v>
          </cell>
          <cell r="AN175">
            <v>5</v>
          </cell>
          <cell r="AO175" t="str">
            <v>ONP</v>
          </cell>
          <cell r="AP175">
            <v>0</v>
          </cell>
          <cell r="AQ175">
            <v>501.18152500000002</v>
          </cell>
          <cell r="AR175">
            <v>81.441997812500006</v>
          </cell>
          <cell r="AS175">
            <v>36.335660562500003</v>
          </cell>
          <cell r="AT175">
            <v>618.95918337500007</v>
          </cell>
          <cell r="AU175">
            <v>32.24</v>
          </cell>
          <cell r="AV175">
            <v>2157.79563375</v>
          </cell>
          <cell r="AW175">
            <v>0</v>
          </cell>
          <cell r="AX175">
            <v>35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D175">
            <v>0</v>
          </cell>
          <cell r="BE175">
            <v>0</v>
          </cell>
          <cell r="BF175">
            <v>3391.9414692083337</v>
          </cell>
          <cell r="BG175">
            <v>784.57123912499992</v>
          </cell>
          <cell r="BH175">
            <v>375.89</v>
          </cell>
          <cell r="BI175">
            <v>41.431022026041667</v>
          </cell>
          <cell r="BJ175">
            <v>297.47473814697918</v>
          </cell>
          <cell r="BK175">
            <v>52.693824130208341</v>
          </cell>
          <cell r="BL175">
            <v>0</v>
          </cell>
          <cell r="BM175">
            <v>767.48958430322921</v>
          </cell>
        </row>
        <row r="176">
          <cell r="A176">
            <v>165</v>
          </cell>
          <cell r="B176" t="str">
            <v>VILLAVICENCIO ESTRADA RAUL GODOFREDO</v>
          </cell>
          <cell r="C176">
            <v>38667</v>
          </cell>
          <cell r="D176">
            <v>39716</v>
          </cell>
          <cell r="E176" t="str">
            <v>PERFORISTA</v>
          </cell>
          <cell r="F176">
            <v>56.15</v>
          </cell>
          <cell r="G176">
            <v>10</v>
          </cell>
          <cell r="H176">
            <v>80</v>
          </cell>
          <cell r="I176">
            <v>561.5</v>
          </cell>
          <cell r="J176">
            <v>1.5384615384615385</v>
          </cell>
          <cell r="K176">
            <v>86.38</v>
          </cell>
          <cell r="L176">
            <v>0</v>
          </cell>
          <cell r="M176">
            <v>0</v>
          </cell>
          <cell r="N176">
            <v>31</v>
          </cell>
          <cell r="O176">
            <v>56.833333333333329</v>
          </cell>
          <cell r="P176">
            <v>14</v>
          </cell>
          <cell r="Q176">
            <v>122.828125</v>
          </cell>
          <cell r="R176">
            <v>14</v>
          </cell>
          <cell r="S176">
            <v>122.828125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8</v>
          </cell>
          <cell r="Y176">
            <v>112.3</v>
          </cell>
          <cell r="Z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796.32</v>
          </cell>
          <cell r="AH176">
            <v>0</v>
          </cell>
          <cell r="AI176">
            <v>1475.54</v>
          </cell>
          <cell r="AJ176">
            <v>0</v>
          </cell>
          <cell r="AK176">
            <v>0</v>
          </cell>
          <cell r="AL176">
            <v>3211.7014583333334</v>
          </cell>
          <cell r="AM176">
            <v>0</v>
          </cell>
          <cell r="AN176">
            <v>5</v>
          </cell>
          <cell r="AO176" t="str">
            <v>IN</v>
          </cell>
          <cell r="AP176">
            <v>471.47777408333337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  <cell r="AU176">
            <v>14.76</v>
          </cell>
          <cell r="AV176">
            <v>0</v>
          </cell>
          <cell r="AW176">
            <v>0</v>
          </cell>
          <cell r="AX176">
            <v>0</v>
          </cell>
          <cell r="AY176">
            <v>0</v>
          </cell>
          <cell r="AZ176">
            <v>0</v>
          </cell>
          <cell r="BA176">
            <v>0</v>
          </cell>
          <cell r="BB176">
            <v>0</v>
          </cell>
          <cell r="BD176">
            <v>0</v>
          </cell>
          <cell r="BE176">
            <v>0</v>
          </cell>
          <cell r="BF176">
            <v>19.759999999999998</v>
          </cell>
          <cell r="BG176">
            <v>3191.9414583333332</v>
          </cell>
          <cell r="BH176">
            <v>289.05</v>
          </cell>
          <cell r="BI176">
            <v>29.605330534791669</v>
          </cell>
          <cell r="BJ176">
            <v>212.56627323980416</v>
          </cell>
          <cell r="BK176">
            <v>37.653381553958333</v>
          </cell>
          <cell r="BL176">
            <v>48.31</v>
          </cell>
          <cell r="BM176">
            <v>617.18498532855415</v>
          </cell>
        </row>
        <row r="177">
          <cell r="A177">
            <v>166</v>
          </cell>
          <cell r="B177" t="str">
            <v>YARANGA CESAR BERNARDINO</v>
          </cell>
          <cell r="C177">
            <v>38786</v>
          </cell>
          <cell r="D177">
            <v>39716</v>
          </cell>
          <cell r="E177" t="str">
            <v>PERFORISTA</v>
          </cell>
          <cell r="F177">
            <v>56.15</v>
          </cell>
          <cell r="G177">
            <v>24</v>
          </cell>
          <cell r="H177">
            <v>192</v>
          </cell>
          <cell r="I177">
            <v>1347.6</v>
          </cell>
          <cell r="J177">
            <v>4.615384615384615</v>
          </cell>
          <cell r="K177">
            <v>259.14999999999998</v>
          </cell>
          <cell r="L177">
            <v>0</v>
          </cell>
          <cell r="M177">
            <v>0</v>
          </cell>
          <cell r="N177">
            <v>31</v>
          </cell>
          <cell r="O177">
            <v>56.833333333333329</v>
          </cell>
          <cell r="P177">
            <v>22</v>
          </cell>
          <cell r="Q177">
            <v>193.015625</v>
          </cell>
          <cell r="R177">
            <v>22</v>
          </cell>
          <cell r="S177">
            <v>193.015625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8</v>
          </cell>
          <cell r="Y177">
            <v>112.3</v>
          </cell>
          <cell r="Z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796.32</v>
          </cell>
          <cell r="AH177">
            <v>1686.33</v>
          </cell>
          <cell r="AI177">
            <v>918.12</v>
          </cell>
          <cell r="AJ177">
            <v>6</v>
          </cell>
          <cell r="AK177">
            <v>336.9</v>
          </cell>
          <cell r="AL177">
            <v>5706.5689583333324</v>
          </cell>
          <cell r="AM177">
            <v>0</v>
          </cell>
          <cell r="AN177">
            <v>5</v>
          </cell>
          <cell r="AO177" t="str">
            <v>PF</v>
          </cell>
          <cell r="AP177">
            <v>849.1374609999998</v>
          </cell>
          <cell r="AQ177">
            <v>684.78827499999989</v>
          </cell>
          <cell r="AR177">
            <v>111.27809468749999</v>
          </cell>
          <cell r="AS177">
            <v>49.647149937499989</v>
          </cell>
          <cell r="AT177">
            <v>845.71351962499989</v>
          </cell>
          <cell r="AU177">
            <v>44.75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>
            <v>0</v>
          </cell>
          <cell r="BA177">
            <v>0</v>
          </cell>
          <cell r="BB177">
            <v>0</v>
          </cell>
          <cell r="BD177">
            <v>0</v>
          </cell>
          <cell r="BE177">
            <v>0</v>
          </cell>
          <cell r="BF177">
            <v>895.46351962499989</v>
          </cell>
          <cell r="BG177">
            <v>4811.1054387083323</v>
          </cell>
          <cell r="BH177">
            <v>513.59</v>
          </cell>
          <cell r="BI177">
            <v>60.184921482291664</v>
          </cell>
          <cell r="BJ177">
            <v>432.1277362428541</v>
          </cell>
          <cell r="BK177">
            <v>76.545871011458331</v>
          </cell>
          <cell r="BL177">
            <v>98.2</v>
          </cell>
          <cell r="BM177">
            <v>1180.6485287366042</v>
          </cell>
        </row>
        <row r="178">
          <cell r="A178">
            <v>167</v>
          </cell>
          <cell r="B178" t="str">
            <v>ZELADA CARHUAZ TEOFILO APOLINARIO</v>
          </cell>
          <cell r="C178">
            <v>38335</v>
          </cell>
          <cell r="D178">
            <v>39716</v>
          </cell>
          <cell r="E178" t="str">
            <v>PERFORISTA</v>
          </cell>
          <cell r="F178">
            <v>56.15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31</v>
          </cell>
          <cell r="O178">
            <v>56.833333333333329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B178">
            <v>0</v>
          </cell>
          <cell r="AC178">
            <v>31</v>
          </cell>
          <cell r="AD178">
            <v>1740.65</v>
          </cell>
          <cell r="AE178">
            <v>0</v>
          </cell>
          <cell r="AF178">
            <v>0</v>
          </cell>
          <cell r="AG178">
            <v>796.32</v>
          </cell>
          <cell r="AH178">
            <v>1031.93</v>
          </cell>
          <cell r="AI178">
            <v>0</v>
          </cell>
          <cell r="AJ178">
            <v>0</v>
          </cell>
          <cell r="AK178">
            <v>0</v>
          </cell>
          <cell r="AL178">
            <v>3625.7333333333336</v>
          </cell>
          <cell r="AM178">
            <v>471.34533333333337</v>
          </cell>
          <cell r="AN178">
            <v>5</v>
          </cell>
          <cell r="AO178" t="str">
            <v>ONP</v>
          </cell>
          <cell r="AP178">
            <v>0</v>
          </cell>
          <cell r="AQ178">
            <v>435.08800000000002</v>
          </cell>
          <cell r="AR178">
            <v>0</v>
          </cell>
          <cell r="AS178">
            <v>0</v>
          </cell>
          <cell r="AT178">
            <v>435.08800000000002</v>
          </cell>
          <cell r="AU178">
            <v>62.84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>
            <v>0</v>
          </cell>
          <cell r="BA178">
            <v>0</v>
          </cell>
          <cell r="BB178">
            <v>1562.2</v>
          </cell>
          <cell r="BD178">
            <v>0</v>
          </cell>
          <cell r="BE178">
            <v>0</v>
          </cell>
          <cell r="BF178">
            <v>2536.4733333333334</v>
          </cell>
          <cell r="BG178">
            <v>1089.2600000000002</v>
          </cell>
          <cell r="BH178">
            <v>169.66</v>
          </cell>
          <cell r="BI178">
            <v>34.680119226666669</v>
          </cell>
          <cell r="BJ178">
            <v>249.00325604746669</v>
          </cell>
          <cell r="BK178">
            <v>44.107724453333333</v>
          </cell>
          <cell r="BL178">
            <v>0</v>
          </cell>
          <cell r="BM178">
            <v>497.45109972746667</v>
          </cell>
        </row>
        <row r="179">
          <cell r="A179">
            <v>177</v>
          </cell>
          <cell r="BA179">
            <v>0</v>
          </cell>
        </row>
        <row r="180">
          <cell r="A180">
            <v>178</v>
          </cell>
          <cell r="BA180">
            <v>0</v>
          </cell>
        </row>
        <row r="181">
          <cell r="A181">
            <v>179</v>
          </cell>
          <cell r="BA181">
            <v>0</v>
          </cell>
        </row>
        <row r="182">
          <cell r="A182">
            <v>180</v>
          </cell>
          <cell r="BA182">
            <v>0</v>
          </cell>
        </row>
        <row r="183">
          <cell r="A183">
            <v>181</v>
          </cell>
          <cell r="BA183">
            <v>0</v>
          </cell>
        </row>
        <row r="184">
          <cell r="A184">
            <v>182</v>
          </cell>
          <cell r="BA184">
            <v>0</v>
          </cell>
        </row>
        <row r="185">
          <cell r="A185">
            <v>183</v>
          </cell>
          <cell r="BA185">
            <v>0</v>
          </cell>
        </row>
        <row r="186">
          <cell r="A186">
            <v>184</v>
          </cell>
          <cell r="BA186">
            <v>0</v>
          </cell>
        </row>
        <row r="187">
          <cell r="A187">
            <v>185</v>
          </cell>
          <cell r="BA187">
            <v>0</v>
          </cell>
        </row>
        <row r="188">
          <cell r="A188">
            <v>186</v>
          </cell>
          <cell r="BA188">
            <v>0</v>
          </cell>
        </row>
        <row r="189">
          <cell r="A189">
            <v>187</v>
          </cell>
          <cell r="BA189">
            <v>0</v>
          </cell>
        </row>
        <row r="190">
          <cell r="A190">
            <v>188</v>
          </cell>
          <cell r="BA190">
            <v>0</v>
          </cell>
        </row>
        <row r="191">
          <cell r="A191">
            <v>189</v>
          </cell>
          <cell r="BA191">
            <v>0</v>
          </cell>
        </row>
        <row r="192">
          <cell r="A192">
            <v>190</v>
          </cell>
          <cell r="BA192">
            <v>0</v>
          </cell>
        </row>
        <row r="193">
          <cell r="A193">
            <v>191</v>
          </cell>
          <cell r="BA193">
            <v>0</v>
          </cell>
        </row>
        <row r="194">
          <cell r="A194">
            <v>192</v>
          </cell>
          <cell r="BA194">
            <v>0</v>
          </cell>
        </row>
        <row r="195">
          <cell r="A195">
            <v>193</v>
          </cell>
          <cell r="BA195">
            <v>0</v>
          </cell>
        </row>
        <row r="196">
          <cell r="A196">
            <v>194</v>
          </cell>
          <cell r="BA196">
            <v>0</v>
          </cell>
        </row>
        <row r="197">
          <cell r="A197">
            <v>195</v>
          </cell>
          <cell r="BA197">
            <v>0</v>
          </cell>
        </row>
        <row r="198">
          <cell r="A198">
            <v>196</v>
          </cell>
          <cell r="BA198">
            <v>0</v>
          </cell>
        </row>
        <row r="199">
          <cell r="A199">
            <v>197</v>
          </cell>
          <cell r="BA199">
            <v>0</v>
          </cell>
        </row>
        <row r="200">
          <cell r="A200">
            <v>198</v>
          </cell>
          <cell r="BA200">
            <v>0</v>
          </cell>
        </row>
        <row r="201">
          <cell r="A201">
            <v>199</v>
          </cell>
          <cell r="BA201">
            <v>0</v>
          </cell>
        </row>
        <row r="202">
          <cell r="A202">
            <v>200</v>
          </cell>
          <cell r="BA202">
            <v>0</v>
          </cell>
        </row>
        <row r="203">
          <cell r="A203">
            <v>201</v>
          </cell>
          <cell r="BA203">
            <v>0</v>
          </cell>
        </row>
        <row r="204">
          <cell r="A204">
            <v>202</v>
          </cell>
          <cell r="BA204">
            <v>0</v>
          </cell>
        </row>
        <row r="205">
          <cell r="A205">
            <v>203</v>
          </cell>
          <cell r="BA205">
            <v>0</v>
          </cell>
        </row>
        <row r="206">
          <cell r="A206">
            <v>204</v>
          </cell>
          <cell r="BA206">
            <v>0</v>
          </cell>
        </row>
        <row r="207">
          <cell r="A207">
            <v>205</v>
          </cell>
          <cell r="BA207">
            <v>0</v>
          </cell>
        </row>
        <row r="208">
          <cell r="A208">
            <v>206</v>
          </cell>
          <cell r="BA208">
            <v>0</v>
          </cell>
        </row>
        <row r="209">
          <cell r="A209">
            <v>207</v>
          </cell>
          <cell r="BA209">
            <v>0</v>
          </cell>
        </row>
        <row r="210">
          <cell r="A210">
            <v>208</v>
          </cell>
          <cell r="BA210">
            <v>0</v>
          </cell>
        </row>
        <row r="211">
          <cell r="A211">
            <v>209</v>
          </cell>
          <cell r="BA211">
            <v>0</v>
          </cell>
        </row>
        <row r="212">
          <cell r="A212">
            <v>210</v>
          </cell>
          <cell r="BA212">
            <v>0</v>
          </cell>
        </row>
        <row r="213">
          <cell r="A213">
            <v>211</v>
          </cell>
          <cell r="BA213">
            <v>0</v>
          </cell>
        </row>
        <row r="214">
          <cell r="A214">
            <v>212</v>
          </cell>
          <cell r="BA214">
            <v>0</v>
          </cell>
        </row>
        <row r="215">
          <cell r="A215">
            <v>213</v>
          </cell>
          <cell r="BA215">
            <v>0</v>
          </cell>
        </row>
        <row r="216">
          <cell r="A216">
            <v>214</v>
          </cell>
          <cell r="BA216">
            <v>0</v>
          </cell>
        </row>
        <row r="217">
          <cell r="A217">
            <v>215</v>
          </cell>
          <cell r="BA217">
            <v>0</v>
          </cell>
        </row>
        <row r="218">
          <cell r="A218">
            <v>216</v>
          </cell>
          <cell r="BA218">
            <v>0</v>
          </cell>
        </row>
        <row r="219">
          <cell r="A219">
            <v>217</v>
          </cell>
          <cell r="BA219">
            <v>0</v>
          </cell>
        </row>
        <row r="220">
          <cell r="A220">
            <v>218</v>
          </cell>
          <cell r="BA220">
            <v>0</v>
          </cell>
        </row>
        <row r="221">
          <cell r="A221">
            <v>219</v>
          </cell>
          <cell r="BA221">
            <v>0</v>
          </cell>
        </row>
        <row r="222">
          <cell r="A222">
            <v>220</v>
          </cell>
          <cell r="BA222">
            <v>0</v>
          </cell>
        </row>
        <row r="223">
          <cell r="A223">
            <v>221</v>
          </cell>
          <cell r="BA223">
            <v>0</v>
          </cell>
        </row>
        <row r="224">
          <cell r="A224">
            <v>222</v>
          </cell>
          <cell r="BA224">
            <v>0</v>
          </cell>
        </row>
        <row r="225">
          <cell r="A225">
            <v>223</v>
          </cell>
          <cell r="BA225">
            <v>0</v>
          </cell>
        </row>
        <row r="226">
          <cell r="A226">
            <v>224</v>
          </cell>
          <cell r="BA226">
            <v>0</v>
          </cell>
        </row>
        <row r="227">
          <cell r="A227">
            <v>225</v>
          </cell>
          <cell r="BA227">
            <v>0</v>
          </cell>
        </row>
        <row r="228">
          <cell r="A228">
            <v>226</v>
          </cell>
          <cell r="BA228">
            <v>0</v>
          </cell>
        </row>
        <row r="229">
          <cell r="A229">
            <v>227</v>
          </cell>
          <cell r="BA229">
            <v>0</v>
          </cell>
        </row>
        <row r="230">
          <cell r="A230">
            <v>228</v>
          </cell>
          <cell r="BA230">
            <v>0</v>
          </cell>
        </row>
        <row r="231">
          <cell r="A231">
            <v>229</v>
          </cell>
          <cell r="BA231">
            <v>0</v>
          </cell>
        </row>
        <row r="232">
          <cell r="A232">
            <v>230</v>
          </cell>
          <cell r="BA232">
            <v>0</v>
          </cell>
        </row>
        <row r="233">
          <cell r="A233">
            <v>231</v>
          </cell>
          <cell r="BA233">
            <v>0</v>
          </cell>
        </row>
        <row r="234">
          <cell r="A234">
            <v>232</v>
          </cell>
          <cell r="BA234">
            <v>0</v>
          </cell>
        </row>
        <row r="235">
          <cell r="A235">
            <v>233</v>
          </cell>
          <cell r="BA235">
            <v>0</v>
          </cell>
        </row>
        <row r="236">
          <cell r="A236">
            <v>234</v>
          </cell>
          <cell r="BA236">
            <v>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INTEGRO"/>
      <sheetName val="REMESA"/>
      <sheetName val="OBRE 1"/>
      <sheetName val="OBRE 2"/>
      <sheetName val="OBRE 3"/>
      <sheetName val="PENSION 1"/>
      <sheetName val="LIQUIDADOS"/>
      <sheetName val="PENSION SAUCESITO"/>
      <sheetName val="EMPLEADOS SUELDO"/>
      <sheetName val="BONOS EMPLEADOS"/>
      <sheetName val="PLANILLA OK."/>
      <sheetName val="BOLETAS PAGO OBREROS"/>
      <sheetName val="BOLETA DE PAGO EMPLEADOS"/>
      <sheetName val="Hoja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B1" t="str">
            <v>AUROMINAS CONTRACTOR'S SAC</v>
          </cell>
        </row>
        <row r="2">
          <cell r="B2" t="str">
            <v>UNIDAD CERRO DE PASCO</v>
          </cell>
          <cell r="F2" t="str">
            <v xml:space="preserve">  </v>
          </cell>
          <cell r="R2">
            <v>28.024999999999999</v>
          </cell>
          <cell r="T2">
            <v>4.75</v>
          </cell>
          <cell r="U2">
            <v>5.9375</v>
          </cell>
          <cell r="V2">
            <v>308.75</v>
          </cell>
        </row>
        <row r="3">
          <cell r="K3" t="str">
            <v>PLANILLA DE SUELDOS Y SALARIOS DEL MES  JUNIO - 06 AUROMINAS</v>
          </cell>
        </row>
        <row r="4">
          <cell r="B4" t="str">
            <v>1.-  PLANILLA OBREROS:</v>
          </cell>
        </row>
        <row r="5">
          <cell r="B5" t="str">
            <v>Nº</v>
          </cell>
          <cell r="C5" t="str">
            <v>NOMBRE  Y  APELLIDOS</v>
          </cell>
          <cell r="D5" t="str">
            <v>CARGO
OCUPACION</v>
          </cell>
          <cell r="E5" t="str">
            <v xml:space="preserve">FECHA   INGRESO  PDT </v>
          </cell>
          <cell r="F5" t="str">
            <v>FECHA   CESE</v>
          </cell>
          <cell r="G5" t="str">
            <v>FECHA DE NACIM.</v>
          </cell>
          <cell r="H5" t="str">
            <v>LIBRETA  ELECTORAL</v>
          </cell>
          <cell r="I5" t="str">
            <v>JOR.</v>
          </cell>
          <cell r="J5" t="str">
            <v>IMPORTE  HORA</v>
          </cell>
          <cell r="K5" t="str">
            <v>AFP/ONP</v>
          </cell>
          <cell r="L5" t="str">
            <v>JORNADA</v>
          </cell>
          <cell r="Q5" t="str">
            <v>REMUNERACIONES</v>
          </cell>
          <cell r="AB5" t="str">
            <v>TOTAL 
REMUNERACION</v>
          </cell>
          <cell r="AC5" t="str">
            <v>RETENCIONES A CARGO DEL TRABAJADOR POR TRIBUTOS, APORTES PREVISIONALES, CUOTAS Y OTROS CONCEPTOS</v>
          </cell>
          <cell r="AH5" t="str">
            <v xml:space="preserve">TOTAL                   DCTO                   LEY </v>
          </cell>
          <cell r="AI5" t="str">
            <v xml:space="preserve">ADELANTO VACACIONES MARZO-05  </v>
          </cell>
          <cell r="AJ5" t="str">
            <v>TOTAL             DCTO LEY                       +               ADELANTO VACACIONES</v>
          </cell>
          <cell r="AK5" t="str">
            <v xml:space="preserve">CTS   </v>
          </cell>
          <cell r="AL5" t="str">
            <v>TOTAL A GANAR</v>
          </cell>
          <cell r="AM5" t="str">
            <v>DCTO  PENSION   Y MERCANTIL  SAUCESITO</v>
          </cell>
          <cell r="AN5" t="str">
            <v>DCTO  PENSION   Y MERCANTIL  AUROMINAS</v>
          </cell>
          <cell r="AO5" t="str">
            <v>TOTAL DESCUENTOS</v>
          </cell>
          <cell r="AP5" t="str">
            <v>DESCUENTOS JUDICIALES</v>
          </cell>
          <cell r="AQ5" t="str">
            <v>ADELANTO</v>
          </cell>
          <cell r="AR5" t="str">
            <v>TOTAL   NETO     GANADO</v>
          </cell>
          <cell r="AS5" t="str">
            <v>TRIBUTOS Y APORTES A CARGO DEL EMPLEADOR</v>
          </cell>
          <cell r="AZ5" t="str">
            <v>COSTO   PLANILLA                          S / BS</v>
          </cell>
          <cell r="BA5" t="str">
            <v xml:space="preserve">CTS                                                                              </v>
          </cell>
          <cell r="BB5" t="str">
            <v xml:space="preserve">VACACIONES  TRUNCAS    </v>
          </cell>
          <cell r="BC5" t="str">
            <v xml:space="preserve">GRATIFICAC    TRUNCA      </v>
          </cell>
          <cell r="BD5" t="str">
            <v>TOTAL   BENEFICIOS SOCIALES</v>
          </cell>
          <cell r="BE5" t="str">
            <v>GRAN   TOTAL COSTO PLANILLA</v>
          </cell>
          <cell r="BF5" t="str">
            <v xml:space="preserve">COSTO  TOTAL  TAREAS </v>
          </cell>
          <cell r="BG5" t="str">
            <v>VARIACION PORCENTUAL CON EL JORNAL</v>
          </cell>
        </row>
        <row r="6">
          <cell r="L6" t="str">
            <v>T.O</v>
          </cell>
          <cell r="M6" t="str">
            <v>D Y F     LEY</v>
          </cell>
          <cell r="N6" t="str">
            <v>SUBSID</v>
          </cell>
          <cell r="O6" t="str">
            <v>DIAS LIBRES</v>
          </cell>
          <cell r="P6" t="str">
            <v>H.E 
25%</v>
          </cell>
          <cell r="Q6" t="str">
            <v>IMPORTES</v>
          </cell>
          <cell r="V6" t="str">
            <v>ASIGNACION  FAMILIAR</v>
          </cell>
          <cell r="W6" t="str">
            <v>BONOS</v>
          </cell>
          <cell r="X6" t="str">
            <v>REINTEGROS</v>
          </cell>
          <cell r="Y6" t="str">
            <v xml:space="preserve">VACACIONES   MARZO-05 </v>
          </cell>
          <cell r="Z6" t="str">
            <v>VACACIONES  TRUNCAS</v>
          </cell>
          <cell r="AA6" t="str">
            <v xml:space="preserve">GRATIFICACIO      TRUNCAS </v>
          </cell>
          <cell r="AC6" t="str">
            <v>S.  N.  P.</v>
          </cell>
          <cell r="AD6" t="str">
            <v>SISTEMA PRIVADO DE PENSIONES</v>
          </cell>
          <cell r="AG6" t="str">
            <v>IPSS               VIDA</v>
          </cell>
          <cell r="AS6" t="str">
            <v xml:space="preserve">ESSALUD           
 </v>
          </cell>
          <cell r="AT6" t="str">
            <v>I.E.S  
1.70</v>
          </cell>
          <cell r="AU6" t="str">
            <v xml:space="preserve">SCTR               </v>
          </cell>
          <cell r="AV6" t="str">
            <v xml:space="preserve">LEY  27252 ALTO RIESGO      2%    </v>
          </cell>
          <cell r="AW6" t="str">
            <v xml:space="preserve">SCTR-P        RIMAC    2.65%            </v>
          </cell>
          <cell r="AX6" t="str">
            <v xml:space="preserve">VIDA LEY  RIMAC   1.31%     </v>
          </cell>
          <cell r="AY6" t="str">
            <v xml:space="preserve">TOTAL APORTES      </v>
          </cell>
        </row>
        <row r="7">
          <cell r="Q7" t="str">
            <v>ORDINARIO</v>
          </cell>
          <cell r="R7" t="str">
            <v>DOM Y FER</v>
          </cell>
          <cell r="S7" t="str">
            <v>SUBSIDIOS</v>
          </cell>
          <cell r="T7" t="str">
            <v>DIAS LIBRES</v>
          </cell>
          <cell r="U7" t="str">
            <v>EXT                                  25%</v>
          </cell>
          <cell r="AD7" t="str">
            <v xml:space="preserve">Obligat.10% + 2%  ley 27252  </v>
          </cell>
          <cell r="AE7" t="str">
            <v>SEG.</v>
          </cell>
          <cell r="AF7" t="str">
            <v>COMISI</v>
          </cell>
        </row>
        <row r="8">
          <cell r="AS8">
            <v>9.0000000000000011E-2</v>
          </cell>
          <cell r="AT8">
            <v>0</v>
          </cell>
          <cell r="AU8">
            <v>1.8399999999999993E-2</v>
          </cell>
          <cell r="AV8">
            <v>1.3663281203844621E-2</v>
          </cell>
          <cell r="AW8">
            <v>2.4929504993601873E-2</v>
          </cell>
          <cell r="AX8">
            <v>1.6129753970675509E-2</v>
          </cell>
          <cell r="AY8">
            <v>0.16700000000000001</v>
          </cell>
        </row>
        <row r="9">
          <cell r="A9">
            <v>1</v>
          </cell>
          <cell r="B9">
            <v>1</v>
          </cell>
          <cell r="C9" t="str">
            <v>ACEVEDO EGUZQUIZA, Ruben</v>
          </cell>
          <cell r="D9" t="str">
            <v>OPER SCOOPTRAMS 1</v>
          </cell>
          <cell r="E9">
            <v>38817</v>
          </cell>
          <cell r="G9">
            <v>27200</v>
          </cell>
          <cell r="H9" t="str">
            <v>15447188</v>
          </cell>
          <cell r="I9">
            <v>38.35</v>
          </cell>
          <cell r="J9">
            <v>4.7937500000000002</v>
          </cell>
          <cell r="K9" t="str">
            <v>ONP</v>
          </cell>
          <cell r="L9">
            <v>19</v>
          </cell>
          <cell r="M9">
            <v>5.2</v>
          </cell>
          <cell r="O9">
            <v>7</v>
          </cell>
          <cell r="P9">
            <v>52</v>
          </cell>
          <cell r="Q9">
            <v>728.65</v>
          </cell>
          <cell r="R9">
            <v>199.42000000000002</v>
          </cell>
          <cell r="S9">
            <v>0</v>
          </cell>
          <cell r="T9">
            <v>268.45</v>
          </cell>
          <cell r="U9">
            <v>311.59375</v>
          </cell>
          <cell r="V9">
            <v>52</v>
          </cell>
          <cell r="AB9">
            <v>1560.11375</v>
          </cell>
          <cell r="AC9">
            <v>202.81478749999999</v>
          </cell>
          <cell r="AD9">
            <v>0</v>
          </cell>
          <cell r="AE9">
            <v>0</v>
          </cell>
          <cell r="AF9">
            <v>0</v>
          </cell>
          <cell r="AH9">
            <v>202.81478749999999</v>
          </cell>
          <cell r="AJ9">
            <v>202.81478749999999</v>
          </cell>
          <cell r="AL9">
            <v>1357.2989625</v>
          </cell>
          <cell r="AM9">
            <v>188.3</v>
          </cell>
          <cell r="AN9">
            <v>70</v>
          </cell>
          <cell r="AO9">
            <v>258.3</v>
          </cell>
          <cell r="AR9">
            <v>1098.9989625000001</v>
          </cell>
          <cell r="AS9">
            <v>140.41023749999999</v>
          </cell>
          <cell r="AU9">
            <v>28.706092999999999</v>
          </cell>
          <cell r="AV9">
            <v>0</v>
          </cell>
          <cell r="AW9">
            <v>42.583304806249998</v>
          </cell>
          <cell r="AX9">
            <v>12.838917</v>
          </cell>
          <cell r="AY9">
            <v>224.53855230625001</v>
          </cell>
          <cell r="AZ9">
            <v>1784.65230230625</v>
          </cell>
          <cell r="BA9">
            <v>129.957475375</v>
          </cell>
          <cell r="BB9">
            <v>100.38404602552083</v>
          </cell>
          <cell r="BC9">
            <v>236.84309205104168</v>
          </cell>
          <cell r="BD9">
            <v>467.18461345156254</v>
          </cell>
          <cell r="BE9">
            <v>2251.8369157578127</v>
          </cell>
          <cell r="BF9">
            <v>118.51773240830593</v>
          </cell>
          <cell r="BG9">
            <v>309.04232700992418</v>
          </cell>
        </row>
        <row r="10">
          <cell r="A10">
            <v>2</v>
          </cell>
          <cell r="B10">
            <v>2</v>
          </cell>
          <cell r="C10" t="str">
            <v>AGUILAR ESPINOZA ROBEN JULIAN</v>
          </cell>
          <cell r="D10" t="str">
            <v xml:space="preserve">OPER. SCOOPTRAMS 2 </v>
          </cell>
          <cell r="E10">
            <v>38766</v>
          </cell>
          <cell r="H10" t="str">
            <v>40249905</v>
          </cell>
          <cell r="I10">
            <v>35.700000000000003</v>
          </cell>
          <cell r="J10">
            <v>4.4625000000000004</v>
          </cell>
          <cell r="K10" t="str">
            <v>UNION</v>
          </cell>
          <cell r="L10">
            <v>20</v>
          </cell>
          <cell r="M10">
            <v>5</v>
          </cell>
          <cell r="O10">
            <v>5</v>
          </cell>
          <cell r="P10">
            <v>50</v>
          </cell>
          <cell r="Q10">
            <v>714</v>
          </cell>
          <cell r="R10">
            <v>178.5</v>
          </cell>
          <cell r="S10">
            <v>0</v>
          </cell>
          <cell r="T10">
            <v>178.5</v>
          </cell>
          <cell r="U10">
            <v>278.90625000000006</v>
          </cell>
          <cell r="V10">
            <v>50</v>
          </cell>
          <cell r="AB10">
            <v>1399.90625</v>
          </cell>
          <cell r="AC10">
            <v>0</v>
          </cell>
          <cell r="AD10">
            <v>167.98874999999998</v>
          </cell>
          <cell r="AE10">
            <v>12.599156250000002</v>
          </cell>
          <cell r="AF10">
            <v>27.158181250000002</v>
          </cell>
          <cell r="AH10">
            <v>207.74608749999999</v>
          </cell>
          <cell r="AJ10">
            <v>207.74608749999999</v>
          </cell>
          <cell r="AL10">
            <v>1192.1601625000001</v>
          </cell>
          <cell r="AN10">
            <v>34</v>
          </cell>
          <cell r="AO10">
            <v>34</v>
          </cell>
          <cell r="AR10">
            <v>1158.1601625000001</v>
          </cell>
          <cell r="AS10">
            <v>125.9915625</v>
          </cell>
          <cell r="AU10">
            <v>25.758275000000001</v>
          </cell>
          <cell r="AV10">
            <v>27.998125000000002</v>
          </cell>
          <cell r="AW10">
            <v>29.238300000000002</v>
          </cell>
          <cell r="AX10">
            <v>14.030100000000001</v>
          </cell>
          <cell r="AY10">
            <v>223.01636250000004</v>
          </cell>
          <cell r="AZ10">
            <v>1622.9226125</v>
          </cell>
          <cell r="BA10">
            <v>116.612190625</v>
          </cell>
          <cell r="BB10">
            <v>97.126363541666663</v>
          </cell>
          <cell r="BC10">
            <v>215.66939375000001</v>
          </cell>
          <cell r="BD10">
            <v>429.40794791666667</v>
          </cell>
          <cell r="BE10">
            <v>2052.3305604166667</v>
          </cell>
          <cell r="BF10">
            <v>102.61652802083333</v>
          </cell>
          <cell r="BG10">
            <v>287.44125496031739</v>
          </cell>
        </row>
        <row r="11">
          <cell r="A11">
            <v>3</v>
          </cell>
          <cell r="B11">
            <v>3</v>
          </cell>
          <cell r="C11" t="str">
            <v>ALEGRE HUAMAN CIRO</v>
          </cell>
          <cell r="D11" t="str">
            <v>ELECTRICISTA 2</v>
          </cell>
          <cell r="E11">
            <v>38768</v>
          </cell>
          <cell r="F11">
            <v>38876</v>
          </cell>
          <cell r="H11" t="str">
            <v>80048597</v>
          </cell>
          <cell r="I11">
            <v>30.41</v>
          </cell>
          <cell r="J11">
            <v>3.80125</v>
          </cell>
          <cell r="K11" t="str">
            <v>ONP</v>
          </cell>
          <cell r="L11">
            <v>0</v>
          </cell>
          <cell r="M11">
            <v>0.8</v>
          </cell>
          <cell r="O11">
            <v>4</v>
          </cell>
          <cell r="P11">
            <v>8</v>
          </cell>
          <cell r="Q11">
            <v>0</v>
          </cell>
          <cell r="R11">
            <v>24.328000000000003</v>
          </cell>
          <cell r="S11">
            <v>0</v>
          </cell>
          <cell r="T11">
            <v>121.64</v>
          </cell>
          <cell r="U11">
            <v>38.012500000000003</v>
          </cell>
          <cell r="V11">
            <v>8</v>
          </cell>
          <cell r="AB11">
            <v>191.98050000000001</v>
          </cell>
          <cell r="AC11">
            <v>24.957465000000003</v>
          </cell>
          <cell r="AD11">
            <v>0</v>
          </cell>
          <cell r="AE11">
            <v>0</v>
          </cell>
          <cell r="AF11">
            <v>0</v>
          </cell>
          <cell r="AH11">
            <v>24.957465000000003</v>
          </cell>
          <cell r="AJ11">
            <v>24.957465000000003</v>
          </cell>
          <cell r="AL11">
            <v>167.02303499999999</v>
          </cell>
          <cell r="AO11">
            <v>0</v>
          </cell>
          <cell r="AR11">
            <v>167.02303499999999</v>
          </cell>
          <cell r="AS11">
            <v>17.278244999999998</v>
          </cell>
          <cell r="AU11">
            <v>3.5324412000000001</v>
          </cell>
          <cell r="AV11">
            <v>0</v>
          </cell>
          <cell r="AW11">
            <v>5.2401077474999997</v>
          </cell>
          <cell r="AX11">
            <v>0.42349680000000006</v>
          </cell>
          <cell r="AY11">
            <v>26.474290747499996</v>
          </cell>
          <cell r="AZ11">
            <v>218.4547907475</v>
          </cell>
          <cell r="BA11">
            <v>15.991975650000001</v>
          </cell>
          <cell r="BB11">
            <v>4.9001908956249993</v>
          </cell>
          <cell r="BC11">
            <v>28.740381791250002</v>
          </cell>
          <cell r="BD11">
            <v>49.632548336875004</v>
          </cell>
          <cell r="BE11">
            <v>268.087339084375</v>
          </cell>
          <cell r="BF11" t="e">
            <v>#DIV/0!</v>
          </cell>
          <cell r="BG11" t="e">
            <v>#DIV/0!</v>
          </cell>
        </row>
        <row r="12">
          <cell r="A12">
            <v>4</v>
          </cell>
          <cell r="B12">
            <v>4</v>
          </cell>
          <cell r="C12" t="str">
            <v>ALVARADO SILVESTRE Edwin Joel</v>
          </cell>
          <cell r="D12" t="str">
            <v>AYUDANTE DE PERFORISTA</v>
          </cell>
          <cell r="E12">
            <v>38770</v>
          </cell>
          <cell r="F12">
            <v>38875</v>
          </cell>
          <cell r="H12" t="str">
            <v>41482866</v>
          </cell>
          <cell r="I12">
            <v>25.12</v>
          </cell>
          <cell r="J12">
            <v>3.14</v>
          </cell>
          <cell r="K12" t="str">
            <v>UNION</v>
          </cell>
          <cell r="L12">
            <v>3</v>
          </cell>
          <cell r="M12">
            <v>1.2000000000000002</v>
          </cell>
          <cell r="O12">
            <v>3</v>
          </cell>
          <cell r="P12">
            <v>12</v>
          </cell>
          <cell r="Q12">
            <v>75.36</v>
          </cell>
          <cell r="R12">
            <v>30.144000000000005</v>
          </cell>
          <cell r="S12">
            <v>0</v>
          </cell>
          <cell r="T12">
            <v>75.36</v>
          </cell>
          <cell r="U12">
            <v>47.1</v>
          </cell>
          <cell r="AB12">
            <v>227.964</v>
          </cell>
          <cell r="AC12">
            <v>0</v>
          </cell>
          <cell r="AD12">
            <v>27.35568</v>
          </cell>
          <cell r="AE12">
            <v>2.0516760000000001</v>
          </cell>
          <cell r="AF12">
            <v>4.4225016000000004</v>
          </cell>
          <cell r="AH12">
            <v>33.829857599999997</v>
          </cell>
          <cell r="AJ12">
            <v>33.829857599999997</v>
          </cell>
          <cell r="AL12">
            <v>194.1341424</v>
          </cell>
          <cell r="AO12">
            <v>0</v>
          </cell>
          <cell r="AR12">
            <v>194.1341424</v>
          </cell>
          <cell r="AS12">
            <v>20.516759999999998</v>
          </cell>
          <cell r="AU12">
            <v>4.1945376000000003</v>
          </cell>
          <cell r="AV12">
            <v>4.5592800000000002</v>
          </cell>
          <cell r="AW12">
            <v>6.2222773799999995</v>
          </cell>
          <cell r="AX12">
            <v>1.3821024000000002</v>
          </cell>
          <cell r="AY12">
            <v>36.874957379999998</v>
          </cell>
          <cell r="AZ12">
            <v>264.83895738000001</v>
          </cell>
          <cell r="BA12">
            <v>18.9894012</v>
          </cell>
          <cell r="BB12">
            <v>11.864913115</v>
          </cell>
          <cell r="BC12">
            <v>36.289826229999996</v>
          </cell>
          <cell r="BD12">
            <v>67.144140544999999</v>
          </cell>
          <cell r="BE12">
            <v>331.98309792500004</v>
          </cell>
          <cell r="BF12">
            <v>110.66103264166668</v>
          </cell>
          <cell r="BG12">
            <v>440.52958854166667</v>
          </cell>
        </row>
        <row r="13">
          <cell r="A13">
            <v>5</v>
          </cell>
          <cell r="B13">
            <v>5</v>
          </cell>
          <cell r="C13" t="str">
            <v>ALVARES CRUZ, Jose</v>
          </cell>
          <cell r="D13" t="str">
            <v>AYUDANTE PERFORISTA</v>
          </cell>
          <cell r="E13">
            <v>38777</v>
          </cell>
          <cell r="H13" t="str">
            <v>43972684</v>
          </cell>
          <cell r="I13">
            <v>25.12</v>
          </cell>
          <cell r="J13">
            <v>3.14</v>
          </cell>
          <cell r="K13" t="str">
            <v>ONP</v>
          </cell>
          <cell r="L13">
            <v>19</v>
          </cell>
          <cell r="M13">
            <v>4.6000000000000005</v>
          </cell>
          <cell r="N13">
            <v>2</v>
          </cell>
          <cell r="O13">
            <v>2</v>
          </cell>
          <cell r="P13">
            <v>42</v>
          </cell>
          <cell r="Q13">
            <v>477.28000000000003</v>
          </cell>
          <cell r="R13">
            <v>115.55200000000002</v>
          </cell>
          <cell r="S13">
            <v>50.24</v>
          </cell>
          <cell r="T13">
            <v>50.24</v>
          </cell>
          <cell r="U13">
            <v>164.85</v>
          </cell>
          <cell r="AB13">
            <v>858.16200000000015</v>
          </cell>
          <cell r="AC13">
            <v>111.56106000000003</v>
          </cell>
          <cell r="AD13">
            <v>0</v>
          </cell>
          <cell r="AE13">
            <v>0</v>
          </cell>
          <cell r="AF13">
            <v>0</v>
          </cell>
          <cell r="AH13">
            <v>111.56106000000003</v>
          </cell>
          <cell r="AJ13">
            <v>111.56106000000003</v>
          </cell>
          <cell r="AL13">
            <v>746.60094000000015</v>
          </cell>
          <cell r="AN13">
            <v>68</v>
          </cell>
          <cell r="AO13">
            <v>68</v>
          </cell>
          <cell r="AR13">
            <v>678.60094000000015</v>
          </cell>
          <cell r="AS13">
            <v>77.234580000000008</v>
          </cell>
          <cell r="AU13">
            <v>15.790180800000002</v>
          </cell>
          <cell r="AV13">
            <v>0</v>
          </cell>
          <cell r="AW13">
            <v>20.57328</v>
          </cell>
          <cell r="AX13">
            <v>9.8721600000000009</v>
          </cell>
          <cell r="AY13">
            <v>123.47020080000001</v>
          </cell>
          <cell r="AZ13">
            <v>981.63220080000019</v>
          </cell>
          <cell r="BA13">
            <v>71.484894600000018</v>
          </cell>
          <cell r="BB13">
            <v>63.878516733333349</v>
          </cell>
          <cell r="BC13">
            <v>136.13036680000002</v>
          </cell>
          <cell r="BD13">
            <v>271.49377813333342</v>
          </cell>
          <cell r="BE13">
            <v>1253.1259789333335</v>
          </cell>
          <cell r="BF13">
            <v>65.953998891228082</v>
          </cell>
          <cell r="BG13">
            <v>262.55572807017546</v>
          </cell>
        </row>
        <row r="14">
          <cell r="A14">
            <v>6</v>
          </cell>
          <cell r="B14">
            <v>6</v>
          </cell>
          <cell r="C14" t="str">
            <v>ARIAS ARZAPALO Eberth</v>
          </cell>
          <cell r="D14" t="str">
            <v>SHOTCRETERO</v>
          </cell>
          <cell r="E14">
            <v>38792</v>
          </cell>
          <cell r="H14" t="str">
            <v>20902230</v>
          </cell>
          <cell r="I14">
            <v>38.35</v>
          </cell>
          <cell r="J14">
            <v>4.7937500000000002</v>
          </cell>
          <cell r="K14" t="str">
            <v>ONP</v>
          </cell>
          <cell r="L14">
            <v>8</v>
          </cell>
          <cell r="M14">
            <v>2</v>
          </cell>
          <cell r="N14">
            <v>20</v>
          </cell>
          <cell r="P14">
            <v>16</v>
          </cell>
          <cell r="Q14">
            <v>306.8</v>
          </cell>
          <cell r="R14">
            <v>76.7</v>
          </cell>
          <cell r="S14">
            <v>767</v>
          </cell>
          <cell r="T14">
            <v>0</v>
          </cell>
          <cell r="U14">
            <v>95.875</v>
          </cell>
          <cell r="AB14">
            <v>1246.375</v>
          </cell>
          <cell r="AC14">
            <v>162.02875</v>
          </cell>
          <cell r="AD14">
            <v>0</v>
          </cell>
          <cell r="AE14">
            <v>0</v>
          </cell>
          <cell r="AF14">
            <v>0</v>
          </cell>
          <cell r="AH14">
            <v>162.02875</v>
          </cell>
          <cell r="AJ14">
            <v>162.02875</v>
          </cell>
          <cell r="AL14">
            <v>1084.3462500000001</v>
          </cell>
          <cell r="AO14">
            <v>0</v>
          </cell>
          <cell r="AR14">
            <v>1084.3462500000001</v>
          </cell>
          <cell r="AS14">
            <v>112.17375</v>
          </cell>
          <cell r="AU14">
            <v>22.933299999999999</v>
          </cell>
          <cell r="AV14">
            <v>0</v>
          </cell>
          <cell r="AW14">
            <v>31.408650000000002</v>
          </cell>
          <cell r="AX14">
            <v>15.07155</v>
          </cell>
          <cell r="AY14">
            <v>181.58724999999998</v>
          </cell>
          <cell r="AZ14">
            <v>1427.96225</v>
          </cell>
          <cell r="BA14">
            <v>103.8230375</v>
          </cell>
          <cell r="BB14">
            <v>111.00727083333334</v>
          </cell>
          <cell r="BC14">
            <v>222.01454166666667</v>
          </cell>
          <cell r="BD14">
            <v>436.84485000000001</v>
          </cell>
          <cell r="BE14">
            <v>1864.8071</v>
          </cell>
          <cell r="BF14">
            <v>233.1008875</v>
          </cell>
          <cell r="BG14">
            <v>607.82499999999993</v>
          </cell>
        </row>
        <row r="15">
          <cell r="A15">
            <v>7</v>
          </cell>
          <cell r="B15">
            <v>7</v>
          </cell>
          <cell r="C15" t="str">
            <v>ARRIETA GONZALES, Hugo</v>
          </cell>
          <cell r="D15" t="str">
            <v>AYUDANTE PERFORISTA</v>
          </cell>
          <cell r="E15">
            <v>38801</v>
          </cell>
          <cell r="H15" t="str">
            <v>04079136</v>
          </cell>
          <cell r="I15">
            <v>25.12</v>
          </cell>
          <cell r="J15">
            <v>3.14</v>
          </cell>
          <cell r="K15" t="str">
            <v>PROFUTURO</v>
          </cell>
          <cell r="L15">
            <v>21</v>
          </cell>
          <cell r="M15">
            <v>4.6000000000000005</v>
          </cell>
          <cell r="O15">
            <v>2</v>
          </cell>
          <cell r="P15">
            <v>46</v>
          </cell>
          <cell r="Q15">
            <v>527.52</v>
          </cell>
          <cell r="R15">
            <v>115.55200000000002</v>
          </cell>
          <cell r="S15">
            <v>0</v>
          </cell>
          <cell r="T15">
            <v>50.24</v>
          </cell>
          <cell r="U15">
            <v>180.55</v>
          </cell>
          <cell r="V15">
            <v>46.000000000000007</v>
          </cell>
          <cell r="AB15">
            <v>919.86200000000008</v>
          </cell>
          <cell r="AC15">
            <v>0</v>
          </cell>
          <cell r="AD15">
            <v>110.38344000000001</v>
          </cell>
          <cell r="AE15">
            <v>9.2906062000000009</v>
          </cell>
          <cell r="AF15">
            <v>18.213267599999998</v>
          </cell>
          <cell r="AH15">
            <v>137.88731380000002</v>
          </cell>
          <cell r="AJ15">
            <v>137.88731380000002</v>
          </cell>
          <cell r="AL15">
            <v>781.97468620000006</v>
          </cell>
          <cell r="AN15">
            <v>6.5</v>
          </cell>
          <cell r="AO15">
            <v>6.5</v>
          </cell>
          <cell r="AR15">
            <v>775.47468620000006</v>
          </cell>
          <cell r="AS15">
            <v>82.787580000000005</v>
          </cell>
          <cell r="AU15">
            <v>16.9254608</v>
          </cell>
          <cell r="AV15">
            <v>18.397240000000004</v>
          </cell>
          <cell r="AW15">
            <v>20.57328</v>
          </cell>
          <cell r="AX15">
            <v>9.8721600000000009</v>
          </cell>
          <cell r="AY15">
            <v>148.55572080000002</v>
          </cell>
          <cell r="AZ15">
            <v>1068.4177208000001</v>
          </cell>
          <cell r="BA15">
            <v>76.624504600000009</v>
          </cell>
          <cell r="BB15">
            <v>69.802310066666664</v>
          </cell>
          <cell r="BC15">
            <v>140.3112868</v>
          </cell>
          <cell r="BD15">
            <v>286.73810146666665</v>
          </cell>
          <cell r="BE15">
            <v>1355.1558222666667</v>
          </cell>
          <cell r="BF15">
            <v>64.531229631746029</v>
          </cell>
          <cell r="BG15">
            <v>256.89183770599533</v>
          </cell>
        </row>
        <row r="16">
          <cell r="A16">
            <v>8</v>
          </cell>
          <cell r="B16">
            <v>8</v>
          </cell>
          <cell r="C16" t="str">
            <v>AVALOS TUCTO, Romualdo</v>
          </cell>
          <cell r="D16" t="str">
            <v>PERFORISTA 1</v>
          </cell>
          <cell r="E16">
            <v>38833</v>
          </cell>
          <cell r="G16">
            <v>24875</v>
          </cell>
          <cell r="H16" t="str">
            <v>22485749</v>
          </cell>
          <cell r="I16">
            <v>35.700000000000003</v>
          </cell>
          <cell r="J16">
            <v>4.4625000000000004</v>
          </cell>
          <cell r="K16" t="str">
            <v>HORIZONTE</v>
          </cell>
          <cell r="L16">
            <v>18</v>
          </cell>
          <cell r="M16">
            <v>5</v>
          </cell>
          <cell r="N16">
            <v>4</v>
          </cell>
          <cell r="O16">
            <v>3</v>
          </cell>
          <cell r="P16">
            <v>42</v>
          </cell>
          <cell r="Q16">
            <v>642.6</v>
          </cell>
          <cell r="R16">
            <v>178.5</v>
          </cell>
          <cell r="S16">
            <v>142.80000000000001</v>
          </cell>
          <cell r="T16">
            <v>107.10000000000001</v>
          </cell>
          <cell r="U16">
            <v>234.28125</v>
          </cell>
          <cell r="AB16">
            <v>1305.28125</v>
          </cell>
          <cell r="AC16">
            <v>0</v>
          </cell>
          <cell r="AD16">
            <v>156.63374999999999</v>
          </cell>
          <cell r="AE16">
            <v>11.486475</v>
          </cell>
          <cell r="AF16">
            <v>25.452984375</v>
          </cell>
          <cell r="AH16">
            <v>193.573209375</v>
          </cell>
          <cell r="AJ16">
            <v>193.573209375</v>
          </cell>
          <cell r="AL16">
            <v>1111.708040625</v>
          </cell>
          <cell r="AO16">
            <v>0</v>
          </cell>
          <cell r="AR16">
            <v>1111.708040625</v>
          </cell>
          <cell r="AS16">
            <v>117.4753125</v>
          </cell>
          <cell r="AU16">
            <v>24.017174999999998</v>
          </cell>
          <cell r="AV16">
            <v>26.105625</v>
          </cell>
          <cell r="AW16">
            <v>29.238300000000002</v>
          </cell>
          <cell r="AX16">
            <v>14.030100000000001</v>
          </cell>
          <cell r="AY16">
            <v>210.86651250000003</v>
          </cell>
          <cell r="AZ16">
            <v>1516.1477625</v>
          </cell>
          <cell r="BA16">
            <v>108.729928125</v>
          </cell>
          <cell r="BB16">
            <v>97.897209375000003</v>
          </cell>
          <cell r="BC16">
            <v>213.64441875</v>
          </cell>
          <cell r="BD16">
            <v>420.27155625</v>
          </cell>
          <cell r="BE16">
            <v>1936.41931875</v>
          </cell>
          <cell r="BF16">
            <v>107.57885104166667</v>
          </cell>
          <cell r="BG16">
            <v>301.34131944444442</v>
          </cell>
        </row>
        <row r="17">
          <cell r="A17">
            <v>9</v>
          </cell>
          <cell r="B17">
            <v>9</v>
          </cell>
          <cell r="C17" t="str">
            <v>BARDALES MATIAS, WILDER JHONY</v>
          </cell>
          <cell r="D17" t="str">
            <v>CARGADOR/DISPARADOR 2</v>
          </cell>
          <cell r="E17">
            <v>38757</v>
          </cell>
          <cell r="H17" t="str">
            <v>04084082</v>
          </cell>
          <cell r="I17">
            <v>35.700000000000003</v>
          </cell>
          <cell r="J17">
            <v>4.4625000000000004</v>
          </cell>
          <cell r="K17" t="str">
            <v>ONP</v>
          </cell>
          <cell r="L17">
            <v>23</v>
          </cell>
          <cell r="M17">
            <v>5</v>
          </cell>
          <cell r="O17">
            <v>2</v>
          </cell>
          <cell r="P17">
            <v>50</v>
          </cell>
          <cell r="Q17">
            <v>821.1</v>
          </cell>
          <cell r="R17">
            <v>178.5</v>
          </cell>
          <cell r="S17">
            <v>0</v>
          </cell>
          <cell r="T17">
            <v>71.400000000000006</v>
          </cell>
          <cell r="U17">
            <v>278.90625000000006</v>
          </cell>
          <cell r="V17">
            <v>50</v>
          </cell>
          <cell r="AB17">
            <v>1399.90625</v>
          </cell>
          <cell r="AC17">
            <v>181.98781250000002</v>
          </cell>
          <cell r="AD17">
            <v>0</v>
          </cell>
          <cell r="AE17">
            <v>0</v>
          </cell>
          <cell r="AF17">
            <v>0</v>
          </cell>
          <cell r="AH17">
            <v>181.98781250000002</v>
          </cell>
          <cell r="AJ17">
            <v>181.98781250000002</v>
          </cell>
          <cell r="AL17">
            <v>1217.9184375</v>
          </cell>
          <cell r="AO17">
            <v>0</v>
          </cell>
          <cell r="AR17">
            <v>1217.9184375</v>
          </cell>
          <cell r="AS17">
            <v>125.9915625</v>
          </cell>
          <cell r="AU17">
            <v>25.758275000000001</v>
          </cell>
          <cell r="AV17">
            <v>0</v>
          </cell>
          <cell r="AW17">
            <v>29.238300000000002</v>
          </cell>
          <cell r="AX17">
            <v>14.030100000000001</v>
          </cell>
          <cell r="AY17">
            <v>195.01823750000003</v>
          </cell>
          <cell r="AZ17">
            <v>1594.9244874999999</v>
          </cell>
          <cell r="BA17">
            <v>116.612190625</v>
          </cell>
          <cell r="BB17">
            <v>103.71818645833332</v>
          </cell>
          <cell r="BC17">
            <v>211.00303958333333</v>
          </cell>
          <cell r="BD17">
            <v>431.33341666666661</v>
          </cell>
          <cell r="BE17">
            <v>2026.2579041666665</v>
          </cell>
          <cell r="BF17">
            <v>88.098169746376811</v>
          </cell>
          <cell r="BG17">
            <v>246.77358472374453</v>
          </cell>
        </row>
        <row r="18">
          <cell r="A18">
            <v>10</v>
          </cell>
          <cell r="B18">
            <v>10</v>
          </cell>
          <cell r="C18" t="str">
            <v xml:space="preserve">BARZOLA PIZARRO, Gerson </v>
          </cell>
          <cell r="D18" t="str">
            <v>CHOFER DE CAMION</v>
          </cell>
          <cell r="E18">
            <v>38869</v>
          </cell>
          <cell r="F18">
            <v>38880</v>
          </cell>
          <cell r="H18" t="str">
            <v>41708801</v>
          </cell>
          <cell r="I18">
            <v>25.12</v>
          </cell>
          <cell r="J18">
            <v>3.14</v>
          </cell>
          <cell r="K18" t="str">
            <v>ONP</v>
          </cell>
          <cell r="L18">
            <v>10</v>
          </cell>
          <cell r="M18">
            <v>2</v>
          </cell>
          <cell r="P18">
            <v>20</v>
          </cell>
          <cell r="Q18">
            <v>251.20000000000002</v>
          </cell>
          <cell r="R18">
            <v>50.24</v>
          </cell>
          <cell r="S18">
            <v>0</v>
          </cell>
          <cell r="T18">
            <v>0</v>
          </cell>
          <cell r="U18">
            <v>78.5</v>
          </cell>
          <cell r="AB18">
            <v>379.94</v>
          </cell>
          <cell r="AC18">
            <v>49.392200000000003</v>
          </cell>
          <cell r="AD18">
            <v>0</v>
          </cell>
          <cell r="AE18">
            <v>0</v>
          </cell>
          <cell r="AF18">
            <v>0</v>
          </cell>
          <cell r="AH18">
            <v>49.392200000000003</v>
          </cell>
          <cell r="AJ18">
            <v>49.392200000000003</v>
          </cell>
          <cell r="AL18">
            <v>330.5478</v>
          </cell>
          <cell r="AO18">
            <v>0</v>
          </cell>
          <cell r="AR18">
            <v>330.5478</v>
          </cell>
          <cell r="AS18">
            <v>34.194600000000001</v>
          </cell>
          <cell r="AU18">
            <v>6.9908960000000002</v>
          </cell>
          <cell r="AV18">
            <v>0</v>
          </cell>
          <cell r="AW18">
            <v>20.57328</v>
          </cell>
          <cell r="AX18">
            <v>9.8721600000000009</v>
          </cell>
          <cell r="AY18">
            <v>71.630935999999991</v>
          </cell>
          <cell r="AZ18">
            <v>451.57093599999996</v>
          </cell>
          <cell r="BA18">
            <v>31.649001999999999</v>
          </cell>
          <cell r="BB18">
            <v>31.089244666666662</v>
          </cell>
          <cell r="BC18">
            <v>62.178489333333324</v>
          </cell>
          <cell r="BD18">
            <v>124.91673599999999</v>
          </cell>
          <cell r="BE18">
            <v>576.48767199999998</v>
          </cell>
          <cell r="BF18">
            <v>57.648767199999995</v>
          </cell>
          <cell r="BG18">
            <v>229.49349999999998</v>
          </cell>
        </row>
        <row r="19">
          <cell r="A19">
            <v>11</v>
          </cell>
          <cell r="B19">
            <v>11</v>
          </cell>
          <cell r="C19" t="str">
            <v>BULLON ARIAS, Luis</v>
          </cell>
          <cell r="D19" t="str">
            <v>AYUDANTE PERFORISTA</v>
          </cell>
          <cell r="E19">
            <v>38876</v>
          </cell>
          <cell r="F19" t="str">
            <v>Nuevo</v>
          </cell>
          <cell r="H19" t="str">
            <v>80046152</v>
          </cell>
          <cell r="I19">
            <v>25.12</v>
          </cell>
          <cell r="J19">
            <v>3.14</v>
          </cell>
          <cell r="K19" t="str">
            <v>ONP</v>
          </cell>
          <cell r="L19">
            <v>19</v>
          </cell>
          <cell r="M19">
            <v>3.8000000000000003</v>
          </cell>
          <cell r="P19">
            <v>38</v>
          </cell>
          <cell r="Q19">
            <v>477.28000000000003</v>
          </cell>
          <cell r="R19">
            <v>95.456000000000017</v>
          </cell>
          <cell r="S19">
            <v>0</v>
          </cell>
          <cell r="T19">
            <v>0</v>
          </cell>
          <cell r="U19">
            <v>149.15</v>
          </cell>
          <cell r="AB19">
            <v>721.88600000000008</v>
          </cell>
          <cell r="AC19">
            <v>93.845180000000013</v>
          </cell>
          <cell r="AD19">
            <v>0</v>
          </cell>
          <cell r="AE19">
            <v>0</v>
          </cell>
          <cell r="AF19">
            <v>0</v>
          </cell>
          <cell r="AH19">
            <v>93.845180000000013</v>
          </cell>
          <cell r="AJ19">
            <v>93.845180000000013</v>
          </cell>
          <cell r="AL19">
            <v>628.04082000000005</v>
          </cell>
          <cell r="AO19">
            <v>0</v>
          </cell>
          <cell r="AR19">
            <v>628.04082000000005</v>
          </cell>
          <cell r="AS19">
            <v>64.969740000000002</v>
          </cell>
          <cell r="AU19">
            <v>13.282702400000002</v>
          </cell>
          <cell r="AV19">
            <v>0</v>
          </cell>
          <cell r="AW19">
            <v>20.57328</v>
          </cell>
          <cell r="AX19">
            <v>9.8721600000000009</v>
          </cell>
          <cell r="AY19">
            <v>108.6978824</v>
          </cell>
          <cell r="AZ19">
            <v>830.58388240000011</v>
          </cell>
          <cell r="BA19">
            <v>60.133103800000008</v>
          </cell>
          <cell r="BB19">
            <v>56.78615686666668</v>
          </cell>
          <cell r="BC19">
            <v>113.57231373333336</v>
          </cell>
          <cell r="BD19">
            <v>230.49157440000005</v>
          </cell>
          <cell r="BE19">
            <v>1061.0754568000002</v>
          </cell>
          <cell r="BF19">
            <v>55.846076673684223</v>
          </cell>
          <cell r="BG19">
            <v>222.31718421052636</v>
          </cell>
        </row>
        <row r="20">
          <cell r="A20">
            <v>12</v>
          </cell>
          <cell r="B20">
            <v>12</v>
          </cell>
          <cell r="C20" t="str">
            <v>CABELLO VENTOCILLA, Elias</v>
          </cell>
          <cell r="D20" t="str">
            <v xml:space="preserve">OPER. SCOOPTRAMS 1 </v>
          </cell>
          <cell r="E20">
            <v>38765</v>
          </cell>
          <cell r="H20" t="str">
            <v>04079838</v>
          </cell>
          <cell r="I20">
            <v>38.35</v>
          </cell>
          <cell r="J20">
            <v>4.7937500000000002</v>
          </cell>
          <cell r="K20" t="str">
            <v>PROFUTURO</v>
          </cell>
          <cell r="L20">
            <v>20</v>
          </cell>
          <cell r="M20">
            <v>4.6000000000000005</v>
          </cell>
          <cell r="O20">
            <v>3</v>
          </cell>
          <cell r="P20">
            <v>46</v>
          </cell>
          <cell r="Q20">
            <v>767</v>
          </cell>
          <cell r="R20">
            <v>176.41000000000003</v>
          </cell>
          <cell r="S20">
            <v>0</v>
          </cell>
          <cell r="T20">
            <v>115.05000000000001</v>
          </cell>
          <cell r="U20">
            <v>275.640625</v>
          </cell>
          <cell r="V20">
            <v>46.000000000000007</v>
          </cell>
          <cell r="AB20">
            <v>1380.100625</v>
          </cell>
          <cell r="AC20">
            <v>0</v>
          </cell>
          <cell r="AD20">
            <v>165.612075</v>
          </cell>
          <cell r="AE20">
            <v>13.9390163125</v>
          </cell>
          <cell r="AF20">
            <v>27.325992374999998</v>
          </cell>
          <cell r="AH20">
            <v>206.8770836875</v>
          </cell>
          <cell r="AJ20">
            <v>206.8770836875</v>
          </cell>
          <cell r="AL20">
            <v>1173.2235413124999</v>
          </cell>
          <cell r="AN20">
            <v>4.8</v>
          </cell>
          <cell r="AO20">
            <v>4.8</v>
          </cell>
          <cell r="AR20">
            <v>1168.4235413125</v>
          </cell>
          <cell r="AS20">
            <v>124.20905625</v>
          </cell>
          <cell r="AU20">
            <v>25.3938515</v>
          </cell>
          <cell r="AV20">
            <v>27.602012500000001</v>
          </cell>
          <cell r="AW20">
            <v>31.408650000000002</v>
          </cell>
          <cell r="AX20">
            <v>15.07155</v>
          </cell>
          <cell r="AY20">
            <v>223.68512025000001</v>
          </cell>
          <cell r="AZ20">
            <v>1603.78574525</v>
          </cell>
          <cell r="BA20">
            <v>114.9623820625</v>
          </cell>
          <cell r="BB20">
            <v>101.09126002083333</v>
          </cell>
          <cell r="BC20">
            <v>213.69085337499999</v>
          </cell>
          <cell r="BD20">
            <v>429.74449545833329</v>
          </cell>
          <cell r="BE20">
            <v>2033.5302407083332</v>
          </cell>
          <cell r="BF20">
            <v>101.67651203541666</v>
          </cell>
          <cell r="BG20">
            <v>265.12780191764449</v>
          </cell>
        </row>
        <row r="21">
          <cell r="A21">
            <v>13</v>
          </cell>
          <cell r="B21">
            <v>13</v>
          </cell>
          <cell r="C21" t="str">
            <v>CALDERON CHAMORRO, Alex</v>
          </cell>
          <cell r="D21" t="str">
            <v>BOMBERO/ELECTRICISTA</v>
          </cell>
          <cell r="E21">
            <v>38790</v>
          </cell>
          <cell r="F21">
            <v>38881</v>
          </cell>
          <cell r="H21" t="str">
            <v>42014236</v>
          </cell>
          <cell r="I21">
            <v>30.41</v>
          </cell>
          <cell r="J21">
            <v>3.80125</v>
          </cell>
          <cell r="K21" t="str">
            <v>ONP</v>
          </cell>
          <cell r="L21">
            <v>3</v>
          </cell>
          <cell r="M21">
            <v>2.4000000000000004</v>
          </cell>
          <cell r="O21">
            <v>9</v>
          </cell>
          <cell r="P21">
            <v>24</v>
          </cell>
          <cell r="Q21">
            <v>91.23</v>
          </cell>
          <cell r="R21">
            <v>72.984000000000009</v>
          </cell>
          <cell r="S21">
            <v>0</v>
          </cell>
          <cell r="T21">
            <v>273.69</v>
          </cell>
          <cell r="U21">
            <v>114.03750000000001</v>
          </cell>
          <cell r="AB21">
            <v>551.94150000000002</v>
          </cell>
          <cell r="AC21">
            <v>71.752395000000007</v>
          </cell>
          <cell r="AD21">
            <v>0</v>
          </cell>
          <cell r="AE21">
            <v>0</v>
          </cell>
          <cell r="AF21">
            <v>0</v>
          </cell>
          <cell r="AH21">
            <v>71.752395000000007</v>
          </cell>
          <cell r="AJ21">
            <v>71.752395000000007</v>
          </cell>
          <cell r="AL21">
            <v>480.18910500000004</v>
          </cell>
          <cell r="AN21">
            <v>14</v>
          </cell>
          <cell r="AO21">
            <v>14</v>
          </cell>
          <cell r="AR21">
            <v>466.18910500000004</v>
          </cell>
          <cell r="AS21">
            <v>49.674734999999998</v>
          </cell>
          <cell r="AU21">
            <v>10.1557236</v>
          </cell>
          <cell r="AV21">
            <v>0</v>
          </cell>
          <cell r="AW21">
            <v>24.90579</v>
          </cell>
          <cell r="AX21">
            <v>11.951129999999999</v>
          </cell>
          <cell r="AY21">
            <v>96.687378599999988</v>
          </cell>
          <cell r="AZ21">
            <v>648.62887860000001</v>
          </cell>
          <cell r="BA21">
            <v>45.97672695</v>
          </cell>
          <cell r="BB21">
            <v>21.741781549999999</v>
          </cell>
          <cell r="BC21">
            <v>89.098563099999993</v>
          </cell>
          <cell r="BD21">
            <v>156.81707159999999</v>
          </cell>
          <cell r="BE21">
            <v>805.44595019999997</v>
          </cell>
          <cell r="BF21">
            <v>268.48198339999999</v>
          </cell>
          <cell r="BG21">
            <v>882.87400000000002</v>
          </cell>
        </row>
        <row r="22">
          <cell r="A22">
            <v>14</v>
          </cell>
          <cell r="B22">
            <v>14</v>
          </cell>
          <cell r="C22" t="str">
            <v>CALZADA CASAS, Rolando</v>
          </cell>
          <cell r="D22" t="str">
            <v>PERFORISTA 1</v>
          </cell>
          <cell r="E22">
            <v>38790</v>
          </cell>
          <cell r="H22" t="str">
            <v>04041428</v>
          </cell>
          <cell r="I22">
            <v>35.700000000000003</v>
          </cell>
          <cell r="J22">
            <v>4.4625000000000004</v>
          </cell>
          <cell r="K22" t="str">
            <v>ONP</v>
          </cell>
          <cell r="L22">
            <v>24</v>
          </cell>
          <cell r="M22">
            <v>5</v>
          </cell>
          <cell r="O22">
            <v>1</v>
          </cell>
          <cell r="P22">
            <v>50</v>
          </cell>
          <cell r="Q22">
            <v>856.80000000000007</v>
          </cell>
          <cell r="R22">
            <v>178.5</v>
          </cell>
          <cell r="S22">
            <v>0</v>
          </cell>
          <cell r="T22">
            <v>35.700000000000003</v>
          </cell>
          <cell r="U22">
            <v>278.90625000000006</v>
          </cell>
          <cell r="AB22">
            <v>1349.9062500000002</v>
          </cell>
          <cell r="AC22">
            <v>175.48781250000005</v>
          </cell>
          <cell r="AD22">
            <v>0</v>
          </cell>
          <cell r="AE22">
            <v>0</v>
          </cell>
          <cell r="AF22">
            <v>0</v>
          </cell>
          <cell r="AH22">
            <v>175.48781250000005</v>
          </cell>
          <cell r="AJ22">
            <v>175.48781250000005</v>
          </cell>
          <cell r="AL22">
            <v>1174.4184375000002</v>
          </cell>
          <cell r="AN22">
            <v>5</v>
          </cell>
          <cell r="AO22">
            <v>5</v>
          </cell>
          <cell r="AR22">
            <v>1169.4184375000002</v>
          </cell>
          <cell r="AS22">
            <v>121.49156250000001</v>
          </cell>
          <cell r="AU22">
            <v>24.838275000000003</v>
          </cell>
          <cell r="AV22">
            <v>0</v>
          </cell>
          <cell r="AW22">
            <v>29.238300000000002</v>
          </cell>
          <cell r="AX22">
            <v>14.030100000000001</v>
          </cell>
          <cell r="AY22">
            <v>189.59823750000004</v>
          </cell>
          <cell r="AZ22">
            <v>1539.5044875000003</v>
          </cell>
          <cell r="BA22">
            <v>112.44719062500002</v>
          </cell>
          <cell r="BB22">
            <v>102.07485312500002</v>
          </cell>
          <cell r="BC22">
            <v>210.09970625000005</v>
          </cell>
          <cell r="BD22">
            <v>424.62175000000008</v>
          </cell>
          <cell r="BE22">
            <v>1964.1262375000003</v>
          </cell>
          <cell r="BF22">
            <v>81.838593229166676</v>
          </cell>
          <cell r="BG22">
            <v>229.23975694444448</v>
          </cell>
        </row>
        <row r="23">
          <cell r="A23">
            <v>15</v>
          </cell>
          <cell r="B23">
            <v>15</v>
          </cell>
          <cell r="C23" t="str">
            <v>CAMPOS BAUTISTA, Raul</v>
          </cell>
          <cell r="D23" t="str">
            <v>AYUDANTE SHOTCRETERO</v>
          </cell>
          <cell r="E23">
            <v>38894</v>
          </cell>
          <cell r="F23" t="str">
            <v>Nuevo</v>
          </cell>
          <cell r="H23">
            <v>80074643</v>
          </cell>
          <cell r="I23">
            <v>25.12</v>
          </cell>
          <cell r="J23">
            <v>3.14</v>
          </cell>
          <cell r="K23" t="str">
            <v>ONP</v>
          </cell>
          <cell r="L23">
            <v>4</v>
          </cell>
          <cell r="M23">
            <v>0.8</v>
          </cell>
          <cell r="P23">
            <v>8</v>
          </cell>
          <cell r="Q23">
            <v>100.48</v>
          </cell>
          <cell r="R23">
            <v>20.096000000000004</v>
          </cell>
          <cell r="S23">
            <v>0</v>
          </cell>
          <cell r="T23">
            <v>0</v>
          </cell>
          <cell r="U23">
            <v>31.400000000000002</v>
          </cell>
          <cell r="AB23">
            <v>151.976</v>
          </cell>
          <cell r="AC23">
            <v>19.756879999999999</v>
          </cell>
          <cell r="AD23">
            <v>0</v>
          </cell>
          <cell r="AE23">
            <v>0</v>
          </cell>
          <cell r="AF23">
            <v>0</v>
          </cell>
          <cell r="AH23">
            <v>19.756879999999999</v>
          </cell>
          <cell r="AJ23">
            <v>19.756879999999999</v>
          </cell>
          <cell r="AL23">
            <v>132.21912</v>
          </cell>
          <cell r="AO23">
            <v>0</v>
          </cell>
          <cell r="AR23">
            <v>132.21912</v>
          </cell>
          <cell r="AS23">
            <v>13.67784</v>
          </cell>
          <cell r="AU23">
            <v>2.7963583999999999</v>
          </cell>
          <cell r="AV23">
            <v>0</v>
          </cell>
          <cell r="AW23">
            <v>20.57328</v>
          </cell>
          <cell r="AX23">
            <v>9.8721600000000009</v>
          </cell>
          <cell r="AY23">
            <v>46.919638400000004</v>
          </cell>
          <cell r="AZ23">
            <v>198.8956384</v>
          </cell>
          <cell r="BA23">
            <v>12.6596008</v>
          </cell>
          <cell r="BB23">
            <v>13.957969866666668</v>
          </cell>
          <cell r="BC23">
            <v>27.915939733333335</v>
          </cell>
          <cell r="BD23">
            <v>54.533510399999997</v>
          </cell>
          <cell r="BE23">
            <v>253.42914880000001</v>
          </cell>
          <cell r="BF23">
            <v>63.357287200000002</v>
          </cell>
          <cell r="BG23">
            <v>252.21849999999998</v>
          </cell>
        </row>
        <row r="24">
          <cell r="A24">
            <v>16</v>
          </cell>
          <cell r="B24">
            <v>16</v>
          </cell>
          <cell r="C24" t="str">
            <v>CANTA CASALLO, Roberto</v>
          </cell>
          <cell r="D24" t="str">
            <v>PERFORISTA 2</v>
          </cell>
          <cell r="E24">
            <v>38796</v>
          </cell>
          <cell r="H24" t="str">
            <v>04220190</v>
          </cell>
          <cell r="I24">
            <v>30.41</v>
          </cell>
          <cell r="J24">
            <v>3.80125</v>
          </cell>
          <cell r="K24" t="str">
            <v>PROFUTURO</v>
          </cell>
          <cell r="L24">
            <v>21</v>
          </cell>
          <cell r="M24">
            <v>5</v>
          </cell>
          <cell r="N24">
            <v>2</v>
          </cell>
          <cell r="O24">
            <v>2</v>
          </cell>
          <cell r="P24">
            <v>46</v>
          </cell>
          <cell r="Q24">
            <v>638.61</v>
          </cell>
          <cell r="R24">
            <v>152.05000000000001</v>
          </cell>
          <cell r="S24">
            <v>60.82</v>
          </cell>
          <cell r="T24">
            <v>60.82</v>
          </cell>
          <cell r="U24">
            <v>218.57187499999998</v>
          </cell>
          <cell r="V24">
            <v>50</v>
          </cell>
          <cell r="AB24">
            <v>1180.8718750000003</v>
          </cell>
          <cell r="AC24">
            <v>0</v>
          </cell>
          <cell r="AD24">
            <v>141.70462500000002</v>
          </cell>
          <cell r="AE24">
            <v>11.926805937500003</v>
          </cell>
          <cell r="AF24">
            <v>23.381263125000004</v>
          </cell>
          <cell r="AH24">
            <v>177.01269406250003</v>
          </cell>
          <cell r="AJ24">
            <v>177.01269406250003</v>
          </cell>
          <cell r="AL24">
            <v>1003.8591809375002</v>
          </cell>
          <cell r="AO24">
            <v>0</v>
          </cell>
          <cell r="AR24">
            <v>1003.8591809375002</v>
          </cell>
          <cell r="AS24">
            <v>106.27846875000002</v>
          </cell>
          <cell r="AU24">
            <v>21.728042500000004</v>
          </cell>
          <cell r="AV24">
            <v>23.617437500000005</v>
          </cell>
          <cell r="AW24">
            <v>24.90579</v>
          </cell>
          <cell r="AX24">
            <v>11.951129999999999</v>
          </cell>
          <cell r="AY24">
            <v>188.48086875000001</v>
          </cell>
          <cell r="AZ24">
            <v>1369.3527437500002</v>
          </cell>
          <cell r="BA24">
            <v>98.366627187500015</v>
          </cell>
          <cell r="BB24">
            <v>90.830072395833341</v>
          </cell>
          <cell r="BC24">
            <v>183.46347812500002</v>
          </cell>
          <cell r="BD24">
            <v>372.66017770833338</v>
          </cell>
          <cell r="BE24">
            <v>1742.0129214583335</v>
          </cell>
          <cell r="BF24">
            <v>82.952996259920639</v>
          </cell>
          <cell r="BG24">
            <v>272.78196731312278</v>
          </cell>
        </row>
        <row r="25">
          <cell r="A25">
            <v>17</v>
          </cell>
          <cell r="B25">
            <v>17</v>
          </cell>
          <cell r="C25" t="str">
            <v>CARLOS SANTOS JUVEL</v>
          </cell>
          <cell r="D25" t="str">
            <v>AYUDANTE PERFORISTA</v>
          </cell>
          <cell r="E25">
            <v>38808</v>
          </cell>
          <cell r="G25">
            <v>28745</v>
          </cell>
          <cell r="H25" t="str">
            <v>80660606</v>
          </cell>
          <cell r="I25">
            <v>25.12</v>
          </cell>
          <cell r="J25">
            <v>3.14</v>
          </cell>
          <cell r="K25" t="str">
            <v>ONP</v>
          </cell>
          <cell r="L25">
            <v>22</v>
          </cell>
          <cell r="M25">
            <v>4.8000000000000007</v>
          </cell>
          <cell r="O25">
            <v>2</v>
          </cell>
          <cell r="P25">
            <v>48</v>
          </cell>
          <cell r="Q25">
            <v>552.64</v>
          </cell>
          <cell r="R25">
            <v>120.57600000000002</v>
          </cell>
          <cell r="S25">
            <v>0</v>
          </cell>
          <cell r="T25">
            <v>50.24</v>
          </cell>
          <cell r="U25">
            <v>188.4</v>
          </cell>
          <cell r="AB25">
            <v>911.85599999999999</v>
          </cell>
          <cell r="AC25">
            <v>118.54128</v>
          </cell>
          <cell r="AD25">
            <v>0</v>
          </cell>
          <cell r="AE25">
            <v>0</v>
          </cell>
          <cell r="AF25">
            <v>0</v>
          </cell>
          <cell r="AH25">
            <v>118.54128</v>
          </cell>
          <cell r="AJ25">
            <v>118.54128</v>
          </cell>
          <cell r="AL25">
            <v>793.31471999999997</v>
          </cell>
          <cell r="AO25">
            <v>0</v>
          </cell>
          <cell r="AR25">
            <v>793.31471999999997</v>
          </cell>
          <cell r="AS25">
            <v>82.067039999999992</v>
          </cell>
          <cell r="AU25">
            <v>16.778150400000001</v>
          </cell>
          <cell r="AV25">
            <v>0</v>
          </cell>
          <cell r="AW25">
            <v>20.57328</v>
          </cell>
          <cell r="AX25">
            <v>9.8721600000000009</v>
          </cell>
          <cell r="AY25">
            <v>129.2906304</v>
          </cell>
          <cell r="AZ25">
            <v>1041.1466304</v>
          </cell>
          <cell r="BA25">
            <v>75.957604799999999</v>
          </cell>
          <cell r="BB25">
            <v>66.875552533333334</v>
          </cell>
          <cell r="BC25">
            <v>142.1244384</v>
          </cell>
          <cell r="BD25">
            <v>284.95759573333333</v>
          </cell>
          <cell r="BE25">
            <v>1326.1042261333334</v>
          </cell>
          <cell r="BF25">
            <v>60.277464824242429</v>
          </cell>
          <cell r="BG25">
            <v>239.9580606060606</v>
          </cell>
        </row>
        <row r="26">
          <cell r="A26">
            <v>18</v>
          </cell>
          <cell r="B26">
            <v>18</v>
          </cell>
          <cell r="C26" t="str">
            <v>CASALLO CASTRO, Edwin</v>
          </cell>
          <cell r="D26" t="str">
            <v>CHOFER</v>
          </cell>
          <cell r="E26">
            <v>38827</v>
          </cell>
          <cell r="G26">
            <v>24390</v>
          </cell>
          <cell r="H26" t="str">
            <v>04073375</v>
          </cell>
          <cell r="I26">
            <v>30.41</v>
          </cell>
          <cell r="J26">
            <v>3.80125</v>
          </cell>
          <cell r="K26" t="str">
            <v>ONP</v>
          </cell>
          <cell r="L26">
            <v>22</v>
          </cell>
          <cell r="M26">
            <v>5</v>
          </cell>
          <cell r="O26">
            <v>3</v>
          </cell>
          <cell r="P26">
            <v>50</v>
          </cell>
          <cell r="Q26">
            <v>669.02</v>
          </cell>
          <cell r="R26">
            <v>152.05000000000001</v>
          </cell>
          <cell r="S26">
            <v>0</v>
          </cell>
          <cell r="T26">
            <v>91.23</v>
          </cell>
          <cell r="U26">
            <v>237.578125</v>
          </cell>
          <cell r="V26">
            <v>50</v>
          </cell>
          <cell r="AB26">
            <v>1199.878125</v>
          </cell>
          <cell r="AC26">
            <v>155.98415625000001</v>
          </cell>
          <cell r="AD26">
            <v>0</v>
          </cell>
          <cell r="AE26">
            <v>0</v>
          </cell>
          <cell r="AF26">
            <v>0</v>
          </cell>
          <cell r="AH26">
            <v>155.98415625000001</v>
          </cell>
          <cell r="AJ26">
            <v>155.98415625000001</v>
          </cell>
          <cell r="AL26">
            <v>1043.8939687499999</v>
          </cell>
          <cell r="AN26">
            <v>15</v>
          </cell>
          <cell r="AO26">
            <v>15</v>
          </cell>
          <cell r="AR26">
            <v>1028.8939687499999</v>
          </cell>
          <cell r="AS26">
            <v>107.98903125</v>
          </cell>
          <cell r="AU26">
            <v>22.077757499999997</v>
          </cell>
          <cell r="AV26">
            <v>0</v>
          </cell>
          <cell r="AW26">
            <v>24.90579</v>
          </cell>
          <cell r="AX26">
            <v>11.951129999999999</v>
          </cell>
          <cell r="AY26">
            <v>166.92370875</v>
          </cell>
          <cell r="AZ26">
            <v>1366.80183375</v>
          </cell>
          <cell r="BA26">
            <v>99.949847812499996</v>
          </cell>
          <cell r="BB26">
            <v>86.499475729166662</v>
          </cell>
          <cell r="BC26">
            <v>179.87061812499999</v>
          </cell>
          <cell r="BD26">
            <v>366.31994166666664</v>
          </cell>
          <cell r="BE26">
            <v>1733.1217754166667</v>
          </cell>
          <cell r="BF26">
            <v>78.7782625189394</v>
          </cell>
          <cell r="BG26">
            <v>259.05380637599274</v>
          </cell>
        </row>
        <row r="27">
          <cell r="A27">
            <v>19</v>
          </cell>
          <cell r="B27">
            <v>19</v>
          </cell>
          <cell r="C27" t="str">
            <v>CHAMBI ESTOFANERO, Aurelio</v>
          </cell>
          <cell r="D27" t="str">
            <v>OPER. JUMBO 2</v>
          </cell>
          <cell r="E27">
            <v>38757</v>
          </cell>
          <cell r="H27" t="str">
            <v>02436314</v>
          </cell>
          <cell r="I27">
            <v>40.99</v>
          </cell>
          <cell r="J27">
            <v>5.1237500000000002</v>
          </cell>
          <cell r="K27" t="str">
            <v>UNION</v>
          </cell>
          <cell r="L27">
            <v>19</v>
          </cell>
          <cell r="M27">
            <v>3.8000000000000003</v>
          </cell>
          <cell r="P27">
            <v>38</v>
          </cell>
          <cell r="Q27">
            <v>778.81000000000006</v>
          </cell>
          <cell r="R27">
            <v>155.76200000000003</v>
          </cell>
          <cell r="S27">
            <v>0</v>
          </cell>
          <cell r="T27">
            <v>0</v>
          </cell>
          <cell r="U27">
            <v>243.37812500000001</v>
          </cell>
          <cell r="V27">
            <v>38</v>
          </cell>
          <cell r="AB27">
            <v>1215.9501250000001</v>
          </cell>
          <cell r="AC27">
            <v>0</v>
          </cell>
          <cell r="AD27">
            <v>145.91401500000001</v>
          </cell>
          <cell r="AE27">
            <v>10.943551125000003</v>
          </cell>
          <cell r="AF27">
            <v>23.589432425000002</v>
          </cell>
          <cell r="AH27">
            <v>180.44699855000002</v>
          </cell>
          <cell r="AJ27">
            <v>180.44699855000002</v>
          </cell>
          <cell r="AL27">
            <v>1035.5031264500001</v>
          </cell>
          <cell r="AO27">
            <v>0</v>
          </cell>
          <cell r="AR27">
            <v>1035.5031264500001</v>
          </cell>
          <cell r="AS27">
            <v>109.43551125</v>
          </cell>
          <cell r="AU27">
            <v>22.373482299999999</v>
          </cell>
          <cell r="AV27">
            <v>24.319002500000003</v>
          </cell>
          <cell r="AW27">
            <v>33.570810000000002</v>
          </cell>
          <cell r="AX27">
            <v>16.109070000000003</v>
          </cell>
          <cell r="AY27">
            <v>205.80787605</v>
          </cell>
          <cell r="AZ27">
            <v>1421.7580010500001</v>
          </cell>
          <cell r="BA27">
            <v>101.2886454125</v>
          </cell>
          <cell r="BB27">
            <v>98.198323004166681</v>
          </cell>
          <cell r="BC27">
            <v>190.06331267500002</v>
          </cell>
          <cell r="BD27">
            <v>389.5502810916667</v>
          </cell>
          <cell r="BE27">
            <v>1811.3082821416667</v>
          </cell>
          <cell r="BF27">
            <v>95.332014849561403</v>
          </cell>
          <cell r="BG27">
            <v>232.57383471471434</v>
          </cell>
        </row>
        <row r="28">
          <cell r="A28">
            <v>20</v>
          </cell>
          <cell r="B28">
            <v>20</v>
          </cell>
          <cell r="C28" t="str">
            <v>CHICO SANCHEZ, Alvino</v>
          </cell>
          <cell r="D28" t="str">
            <v>Ayte. Shotcretero</v>
          </cell>
          <cell r="E28">
            <v>38775</v>
          </cell>
          <cell r="H28" t="str">
            <v>04069214</v>
          </cell>
          <cell r="I28">
            <v>25.12</v>
          </cell>
          <cell r="J28">
            <v>3.14</v>
          </cell>
          <cell r="K28" t="str">
            <v>INTEGRA</v>
          </cell>
          <cell r="L28">
            <v>13</v>
          </cell>
          <cell r="M28">
            <v>3.2</v>
          </cell>
          <cell r="O28">
            <v>3</v>
          </cell>
          <cell r="P28">
            <v>32</v>
          </cell>
          <cell r="Q28">
            <v>326.56</v>
          </cell>
          <cell r="R28">
            <v>80.384000000000015</v>
          </cell>
          <cell r="S28">
            <v>0</v>
          </cell>
          <cell r="T28">
            <v>75.36</v>
          </cell>
          <cell r="U28">
            <v>125.60000000000001</v>
          </cell>
          <cell r="V28">
            <v>32</v>
          </cell>
          <cell r="AB28">
            <v>639.904</v>
          </cell>
          <cell r="AC28">
            <v>0</v>
          </cell>
          <cell r="AD28">
            <v>76.788479999999993</v>
          </cell>
          <cell r="AE28">
            <v>5.6311552000000002</v>
          </cell>
          <cell r="AF28">
            <v>11.518272000000001</v>
          </cell>
          <cell r="AH28">
            <v>93.937907199999984</v>
          </cell>
          <cell r="AJ28">
            <v>93.937907199999984</v>
          </cell>
          <cell r="AL28">
            <v>545.96609280000007</v>
          </cell>
          <cell r="AN28">
            <v>16</v>
          </cell>
          <cell r="AO28">
            <v>16</v>
          </cell>
          <cell r="AP28">
            <v>250</v>
          </cell>
          <cell r="AR28">
            <v>279.96609280000007</v>
          </cell>
          <cell r="AS28">
            <v>57.591359999999995</v>
          </cell>
          <cell r="AU28">
            <v>11.774233600000001</v>
          </cell>
          <cell r="AV28">
            <v>12.798080000000001</v>
          </cell>
          <cell r="AW28">
            <v>20.57328</v>
          </cell>
          <cell r="AX28">
            <v>9.8721600000000009</v>
          </cell>
          <cell r="AY28">
            <v>112.6091136</v>
          </cell>
          <cell r="AZ28">
            <v>752.5131136</v>
          </cell>
          <cell r="BA28">
            <v>53.304003199999997</v>
          </cell>
          <cell r="BB28">
            <v>45.962759466666661</v>
          </cell>
          <cell r="BC28">
            <v>99.15218560000001</v>
          </cell>
          <cell r="BD28">
            <v>198.41894826666669</v>
          </cell>
          <cell r="BE28">
            <v>950.93206186666669</v>
          </cell>
          <cell r="BF28">
            <v>73.148620143589739</v>
          </cell>
          <cell r="BG28">
            <v>291.19673624040502</v>
          </cell>
        </row>
        <row r="29">
          <cell r="A29">
            <v>21</v>
          </cell>
          <cell r="B29">
            <v>21</v>
          </cell>
          <cell r="C29" t="str">
            <v>CRUZ ZEVALLOS, Rolando Abel</v>
          </cell>
          <cell r="D29" t="str">
            <v>AYUDANTE PERFORISTA</v>
          </cell>
          <cell r="E29">
            <v>38883</v>
          </cell>
          <cell r="F29" t="str">
            <v>Nuevo</v>
          </cell>
          <cell r="H29" t="str">
            <v>20899463</v>
          </cell>
          <cell r="I29">
            <v>25.12</v>
          </cell>
          <cell r="J29">
            <v>3.14</v>
          </cell>
          <cell r="K29" t="str">
            <v>HORIZONTE</v>
          </cell>
          <cell r="L29">
            <v>13</v>
          </cell>
          <cell r="M29">
            <v>2.6</v>
          </cell>
          <cell r="P29">
            <v>26</v>
          </cell>
          <cell r="Q29">
            <v>326.56</v>
          </cell>
          <cell r="R29">
            <v>65.312000000000012</v>
          </cell>
          <cell r="S29">
            <v>0</v>
          </cell>
          <cell r="T29">
            <v>0</v>
          </cell>
          <cell r="U29">
            <v>102.05</v>
          </cell>
          <cell r="AB29">
            <v>493.92200000000003</v>
          </cell>
          <cell r="AC29">
            <v>0</v>
          </cell>
          <cell r="AD29">
            <v>59.27064</v>
          </cell>
          <cell r="AE29">
            <v>4.3465136000000006</v>
          </cell>
          <cell r="AF29">
            <v>9.6314790000000006</v>
          </cell>
          <cell r="AH29">
            <v>73.248632600000008</v>
          </cell>
          <cell r="AJ29">
            <v>73.248632600000008</v>
          </cell>
          <cell r="AL29">
            <v>420.67336740000002</v>
          </cell>
          <cell r="AN29">
            <v>67</v>
          </cell>
          <cell r="AO29">
            <v>67</v>
          </cell>
          <cell r="AR29">
            <v>353.67336740000002</v>
          </cell>
          <cell r="AS29">
            <v>44.452980000000004</v>
          </cell>
          <cell r="AU29">
            <v>9.0881647999999995</v>
          </cell>
          <cell r="AV29">
            <v>9.8784400000000012</v>
          </cell>
          <cell r="AW29">
            <v>20.57328</v>
          </cell>
          <cell r="AX29">
            <v>9.8721600000000009</v>
          </cell>
          <cell r="AY29">
            <v>93.865024800000015</v>
          </cell>
          <cell r="AZ29">
            <v>587.78702480000004</v>
          </cell>
          <cell r="BA29">
            <v>41.143702600000005</v>
          </cell>
          <cell r="BB29">
            <v>40.478085400000005</v>
          </cell>
          <cell r="BC29">
            <v>80.95617080000001</v>
          </cell>
          <cell r="BD29">
            <v>162.57795880000003</v>
          </cell>
          <cell r="BE29">
            <v>750.36498360000007</v>
          </cell>
          <cell r="BF29">
            <v>57.720383353846159</v>
          </cell>
          <cell r="BG29">
            <v>229.77859615384614</v>
          </cell>
        </row>
        <row r="30">
          <cell r="A30">
            <v>22</v>
          </cell>
          <cell r="B30">
            <v>22</v>
          </cell>
          <cell r="C30" t="str">
            <v>CUEVA RIVERA, Miguel Angel</v>
          </cell>
          <cell r="D30" t="str">
            <v>ALMACENERO</v>
          </cell>
          <cell r="E30">
            <v>38863</v>
          </cell>
          <cell r="H30" t="str">
            <v>41319765</v>
          </cell>
          <cell r="I30">
            <v>27.77</v>
          </cell>
          <cell r="J30">
            <v>3.4712499999999999</v>
          </cell>
          <cell r="K30" t="str">
            <v>PROFUTURO</v>
          </cell>
          <cell r="L30">
            <v>23</v>
          </cell>
          <cell r="M30">
            <v>5</v>
          </cell>
          <cell r="N30">
            <v>2</v>
          </cell>
          <cell r="P30">
            <v>46</v>
          </cell>
          <cell r="Q30">
            <v>638.71</v>
          </cell>
          <cell r="R30">
            <v>138.85</v>
          </cell>
          <cell r="S30">
            <v>55.54</v>
          </cell>
          <cell r="T30">
            <v>0</v>
          </cell>
          <cell r="U30">
            <v>199.59687500000001</v>
          </cell>
          <cell r="AB30">
            <v>1032.6968750000001</v>
          </cell>
          <cell r="AC30">
            <v>0</v>
          </cell>
          <cell r="AD30">
            <v>123.923625</v>
          </cell>
          <cell r="AE30">
            <v>10.4302384375</v>
          </cell>
          <cell r="AF30">
            <v>20.447398124999999</v>
          </cell>
          <cell r="AH30">
            <v>154.8012615625</v>
          </cell>
          <cell r="AJ30">
            <v>154.8012615625</v>
          </cell>
          <cell r="AL30">
            <v>877.89561343750006</v>
          </cell>
          <cell r="AN30">
            <v>250</v>
          </cell>
          <cell r="AO30">
            <v>250</v>
          </cell>
          <cell r="AR30">
            <v>627.89561343750006</v>
          </cell>
          <cell r="AS30">
            <v>92.942718750000012</v>
          </cell>
          <cell r="AU30">
            <v>19.0016225</v>
          </cell>
          <cell r="AV30">
            <v>20.653937500000001</v>
          </cell>
          <cell r="AW30">
            <v>22.743630000000003</v>
          </cell>
          <cell r="AX30">
            <v>10.91361</v>
          </cell>
          <cell r="AY30">
            <v>166.25551875000002</v>
          </cell>
          <cell r="AZ30">
            <v>1198.9523937500001</v>
          </cell>
          <cell r="BA30">
            <v>86.023649687500011</v>
          </cell>
          <cell r="BB30">
            <v>83.279626562500013</v>
          </cell>
          <cell r="BC30">
            <v>166.55925312500003</v>
          </cell>
          <cell r="BD30">
            <v>335.86252937500001</v>
          </cell>
          <cell r="BE30">
            <v>1534.814923125</v>
          </cell>
          <cell r="BF30">
            <v>66.731083614130426</v>
          </cell>
          <cell r="BG30">
            <v>240.29918478260868</v>
          </cell>
        </row>
        <row r="31">
          <cell r="A31">
            <v>23</v>
          </cell>
          <cell r="B31">
            <v>23</v>
          </cell>
          <cell r="C31" t="str">
            <v>DEUDOR LOPEZ, Gilmar Saturnino</v>
          </cell>
          <cell r="D31" t="str">
            <v xml:space="preserve">OPER. SCOOPTRAMS 2 </v>
          </cell>
          <cell r="E31">
            <v>38757</v>
          </cell>
          <cell r="H31" t="str">
            <v>04045160</v>
          </cell>
          <cell r="I31">
            <v>35.700000000000003</v>
          </cell>
          <cell r="J31">
            <v>4.4625000000000004</v>
          </cell>
          <cell r="K31" t="str">
            <v>INTEGRA</v>
          </cell>
          <cell r="L31">
            <v>22</v>
          </cell>
          <cell r="M31">
            <v>5</v>
          </cell>
          <cell r="O31">
            <v>3</v>
          </cell>
          <cell r="P31">
            <v>50</v>
          </cell>
          <cell r="Q31">
            <v>785.40000000000009</v>
          </cell>
          <cell r="R31">
            <v>178.5</v>
          </cell>
          <cell r="S31">
            <v>0</v>
          </cell>
          <cell r="T31">
            <v>107.10000000000001</v>
          </cell>
          <cell r="U31">
            <v>278.90625000000006</v>
          </cell>
          <cell r="V31">
            <v>50</v>
          </cell>
          <cell r="AB31">
            <v>1399.90625</v>
          </cell>
          <cell r="AC31">
            <v>0</v>
          </cell>
          <cell r="AD31">
            <v>167.98874999999998</v>
          </cell>
          <cell r="AE31">
            <v>12.319175000000001</v>
          </cell>
          <cell r="AF31">
            <v>25.198312500000004</v>
          </cell>
          <cell r="AH31">
            <v>205.5062375</v>
          </cell>
          <cell r="AJ31">
            <v>205.5062375</v>
          </cell>
          <cell r="AL31">
            <v>1194.4000125</v>
          </cell>
          <cell r="AN31">
            <v>6.5</v>
          </cell>
          <cell r="AO31">
            <v>6.5</v>
          </cell>
          <cell r="AR31">
            <v>1187.9000125</v>
          </cell>
          <cell r="AS31">
            <v>125.9915625</v>
          </cell>
          <cell r="AU31">
            <v>25.758275000000001</v>
          </cell>
          <cell r="AV31">
            <v>27.998125000000002</v>
          </cell>
          <cell r="AW31">
            <v>29.238300000000002</v>
          </cell>
          <cell r="AX31">
            <v>14.030100000000001</v>
          </cell>
          <cell r="AY31">
            <v>223.01636250000004</v>
          </cell>
          <cell r="AZ31">
            <v>1622.9226125</v>
          </cell>
          <cell r="BA31">
            <v>116.612190625</v>
          </cell>
          <cell r="BB31">
            <v>103.07636354166668</v>
          </cell>
          <cell r="BC31">
            <v>215.66939375000001</v>
          </cell>
          <cell r="BD31">
            <v>435.35794791666672</v>
          </cell>
          <cell r="BE31">
            <v>2058.280560416667</v>
          </cell>
          <cell r="BF31">
            <v>93.558207291666676</v>
          </cell>
          <cell r="BG31">
            <v>262.06780753968258</v>
          </cell>
        </row>
        <row r="32">
          <cell r="A32">
            <v>24</v>
          </cell>
          <cell r="B32">
            <v>24</v>
          </cell>
          <cell r="C32" t="str">
            <v>ESPINOZA ROBLES, Walter</v>
          </cell>
          <cell r="D32" t="str">
            <v>AYUDANTE PERFORISTA</v>
          </cell>
          <cell r="E32">
            <v>38789</v>
          </cell>
          <cell r="H32" t="str">
            <v>04044646</v>
          </cell>
          <cell r="I32">
            <v>25.12</v>
          </cell>
          <cell r="J32">
            <v>3.14</v>
          </cell>
          <cell r="K32" t="str">
            <v>INTEGRA</v>
          </cell>
          <cell r="L32">
            <v>22</v>
          </cell>
          <cell r="M32">
            <v>5</v>
          </cell>
          <cell r="O32">
            <v>3</v>
          </cell>
          <cell r="P32">
            <v>50</v>
          </cell>
          <cell r="Q32">
            <v>552.64</v>
          </cell>
          <cell r="R32">
            <v>125.60000000000001</v>
          </cell>
          <cell r="S32">
            <v>0</v>
          </cell>
          <cell r="T32">
            <v>75.36</v>
          </cell>
          <cell r="U32">
            <v>196.25</v>
          </cell>
          <cell r="V32">
            <v>50</v>
          </cell>
          <cell r="AB32">
            <v>999.85</v>
          </cell>
          <cell r="AC32">
            <v>0</v>
          </cell>
          <cell r="AD32">
            <v>119.982</v>
          </cell>
          <cell r="AE32">
            <v>8.7986800000000009</v>
          </cell>
          <cell r="AF32">
            <v>17.997300000000003</v>
          </cell>
          <cell r="AH32">
            <v>146.77797999999999</v>
          </cell>
          <cell r="AJ32">
            <v>146.77797999999999</v>
          </cell>
          <cell r="AL32">
            <v>853.07202000000007</v>
          </cell>
          <cell r="AN32">
            <v>2.5</v>
          </cell>
          <cell r="AO32">
            <v>2.5</v>
          </cell>
          <cell r="AR32">
            <v>850.57202000000007</v>
          </cell>
          <cell r="AS32">
            <v>89.986499999999992</v>
          </cell>
          <cell r="AU32">
            <v>18.39724</v>
          </cell>
          <cell r="AV32">
            <v>19.997</v>
          </cell>
          <cell r="AW32">
            <v>20.57328</v>
          </cell>
          <cell r="AX32">
            <v>9.8721600000000009</v>
          </cell>
          <cell r="AY32">
            <v>158.82618000000002</v>
          </cell>
          <cell r="AZ32">
            <v>1158.6761799999999</v>
          </cell>
          <cell r="BA32">
            <v>83.287504999999996</v>
          </cell>
          <cell r="BB32">
            <v>73.922181666666674</v>
          </cell>
          <cell r="BC32">
            <v>152.07103000000001</v>
          </cell>
          <cell r="BD32">
            <v>309.28071666666665</v>
          </cell>
          <cell r="BE32">
            <v>1467.9568966666666</v>
          </cell>
          <cell r="BF32">
            <v>66.725313484848485</v>
          </cell>
          <cell r="BG32">
            <v>265.62624794923761</v>
          </cell>
        </row>
        <row r="33">
          <cell r="A33">
            <v>25</v>
          </cell>
          <cell r="B33">
            <v>25</v>
          </cell>
          <cell r="C33" t="str">
            <v>ESPINOZA VARILLAS, Roberth</v>
          </cell>
          <cell r="D33" t="str">
            <v>CHOFER DE VOLQUETE</v>
          </cell>
          <cell r="E33">
            <v>38881</v>
          </cell>
          <cell r="F33" t="str">
            <v>Nuevo</v>
          </cell>
          <cell r="H33" t="str">
            <v>16297398</v>
          </cell>
          <cell r="I33">
            <v>33.06</v>
          </cell>
          <cell r="J33">
            <v>4.1325000000000003</v>
          </cell>
          <cell r="K33" t="str">
            <v>INTEGRA</v>
          </cell>
          <cell r="L33">
            <v>15</v>
          </cell>
          <cell r="M33">
            <v>3</v>
          </cell>
          <cell r="P33">
            <v>30</v>
          </cell>
          <cell r="Q33">
            <v>495.90000000000003</v>
          </cell>
          <cell r="R33">
            <v>99.18</v>
          </cell>
          <cell r="S33">
            <v>0</v>
          </cell>
          <cell r="T33">
            <v>0</v>
          </cell>
          <cell r="U33">
            <v>154.96875</v>
          </cell>
          <cell r="AB33">
            <v>750.04875000000004</v>
          </cell>
          <cell r="AC33">
            <v>0</v>
          </cell>
          <cell r="AD33">
            <v>90.005849999999995</v>
          </cell>
          <cell r="AE33">
            <v>6.600429000000001</v>
          </cell>
          <cell r="AF33">
            <v>13.500877500000003</v>
          </cell>
          <cell r="AH33">
            <v>110.1071565</v>
          </cell>
          <cell r="AJ33">
            <v>110.1071565</v>
          </cell>
          <cell r="AL33">
            <v>639.94159350000007</v>
          </cell>
          <cell r="AO33">
            <v>0</v>
          </cell>
          <cell r="AR33">
            <v>639.94159350000007</v>
          </cell>
          <cell r="AS33">
            <v>67.504387500000007</v>
          </cell>
          <cell r="AU33">
            <v>13.800897000000001</v>
          </cell>
          <cell r="AV33">
            <v>15.000975</v>
          </cell>
          <cell r="AW33">
            <v>27.076140000000002</v>
          </cell>
          <cell r="AX33">
            <v>12.992580000000002</v>
          </cell>
          <cell r="AY33">
            <v>136.37497950000002</v>
          </cell>
          <cell r="AZ33">
            <v>886.42372950000004</v>
          </cell>
          <cell r="BA33">
            <v>62.479060875000002</v>
          </cell>
          <cell r="BB33">
            <v>60.954581625000003</v>
          </cell>
          <cell r="BC33">
            <v>121.90916325000001</v>
          </cell>
          <cell r="BD33">
            <v>245.34280575000003</v>
          </cell>
          <cell r="BE33">
            <v>1131.7665352500001</v>
          </cell>
          <cell r="BF33">
            <v>75.451102349999999</v>
          </cell>
          <cell r="BG33">
            <v>228.22475</v>
          </cell>
        </row>
        <row r="34">
          <cell r="A34">
            <v>26</v>
          </cell>
          <cell r="B34">
            <v>26</v>
          </cell>
          <cell r="C34" t="str">
            <v>ESTRADA MINAYA Francisco</v>
          </cell>
          <cell r="D34" t="str">
            <v>AYUDANTE SHOTCRETERO</v>
          </cell>
          <cell r="E34">
            <v>38813</v>
          </cell>
          <cell r="G34">
            <v>25634</v>
          </cell>
          <cell r="H34" t="str">
            <v>04213997</v>
          </cell>
          <cell r="I34">
            <v>25.12</v>
          </cell>
          <cell r="J34">
            <v>3.14</v>
          </cell>
          <cell r="K34" t="str">
            <v>PROFUTURO</v>
          </cell>
          <cell r="L34">
            <v>20</v>
          </cell>
          <cell r="M34">
            <v>5</v>
          </cell>
          <cell r="O34">
            <v>5</v>
          </cell>
          <cell r="P34">
            <v>50</v>
          </cell>
          <cell r="Q34">
            <v>502.40000000000003</v>
          </cell>
          <cell r="R34">
            <v>125.60000000000001</v>
          </cell>
          <cell r="S34">
            <v>0</v>
          </cell>
          <cell r="T34">
            <v>125.60000000000001</v>
          </cell>
          <cell r="U34">
            <v>196.25</v>
          </cell>
          <cell r="V34">
            <v>50</v>
          </cell>
          <cell r="AB34">
            <v>999.85</v>
          </cell>
          <cell r="AC34">
            <v>0</v>
          </cell>
          <cell r="AD34">
            <v>119.982</v>
          </cell>
          <cell r="AE34">
            <v>10.098485</v>
          </cell>
          <cell r="AF34">
            <v>19.797029999999999</v>
          </cell>
          <cell r="AH34">
            <v>149.87751500000002</v>
          </cell>
          <cell r="AJ34">
            <v>149.87751500000002</v>
          </cell>
          <cell r="AL34">
            <v>849.97248500000001</v>
          </cell>
          <cell r="AN34">
            <v>3</v>
          </cell>
          <cell r="AO34">
            <v>3</v>
          </cell>
          <cell r="AR34">
            <v>846.97248500000001</v>
          </cell>
          <cell r="AS34">
            <v>89.986499999999992</v>
          </cell>
          <cell r="AU34">
            <v>18.39724</v>
          </cell>
          <cell r="AV34">
            <v>19.997</v>
          </cell>
          <cell r="AW34">
            <v>20.57328</v>
          </cell>
          <cell r="AX34">
            <v>9.8721600000000009</v>
          </cell>
          <cell r="AY34">
            <v>158.82618000000002</v>
          </cell>
          <cell r="AZ34">
            <v>1158.6761799999999</v>
          </cell>
          <cell r="BA34">
            <v>83.287504999999996</v>
          </cell>
          <cell r="BB34">
            <v>69.735515000000007</v>
          </cell>
          <cell r="BC34">
            <v>152.07103000000001</v>
          </cell>
          <cell r="BD34">
            <v>305.09405000000004</v>
          </cell>
          <cell r="BE34">
            <v>1463.7702300000001</v>
          </cell>
          <cell r="BF34">
            <v>73.188511500000004</v>
          </cell>
          <cell r="BG34">
            <v>291.35553941082804</v>
          </cell>
        </row>
        <row r="35">
          <cell r="A35">
            <v>27</v>
          </cell>
          <cell r="B35">
            <v>27</v>
          </cell>
          <cell r="C35" t="str">
            <v>FLORES HUAMAN, Juan</v>
          </cell>
          <cell r="D35" t="str">
            <v>AYUDANTE PERFORISTA</v>
          </cell>
          <cell r="E35">
            <v>38808</v>
          </cell>
          <cell r="G35">
            <v>29698</v>
          </cell>
          <cell r="H35" t="str">
            <v>40881154</v>
          </cell>
          <cell r="I35">
            <v>25.12</v>
          </cell>
          <cell r="J35">
            <v>3.14</v>
          </cell>
          <cell r="K35" t="str">
            <v>UNION</v>
          </cell>
          <cell r="L35">
            <v>21</v>
          </cell>
          <cell r="M35">
            <v>5</v>
          </cell>
          <cell r="O35">
            <v>4</v>
          </cell>
          <cell r="P35">
            <v>50</v>
          </cell>
          <cell r="Q35">
            <v>527.52</v>
          </cell>
          <cell r="R35">
            <v>125.60000000000001</v>
          </cell>
          <cell r="S35">
            <v>0</v>
          </cell>
          <cell r="T35">
            <v>100.48</v>
          </cell>
          <cell r="U35">
            <v>196.25</v>
          </cell>
          <cell r="V35">
            <v>50</v>
          </cell>
          <cell r="AB35">
            <v>999.85</v>
          </cell>
          <cell r="AC35">
            <v>0</v>
          </cell>
          <cell r="AD35">
            <v>119.982</v>
          </cell>
          <cell r="AE35">
            <v>8.9986500000000014</v>
          </cell>
          <cell r="AF35">
            <v>19.397090000000002</v>
          </cell>
          <cell r="AH35">
            <v>148.37773999999999</v>
          </cell>
          <cell r="AJ35">
            <v>148.37773999999999</v>
          </cell>
          <cell r="AL35">
            <v>851.47226000000001</v>
          </cell>
          <cell r="AN35">
            <v>41</v>
          </cell>
          <cell r="AO35">
            <v>41</v>
          </cell>
          <cell r="AR35">
            <v>810.47226000000001</v>
          </cell>
          <cell r="AS35">
            <v>89.986499999999992</v>
          </cell>
          <cell r="AU35">
            <v>18.39724</v>
          </cell>
          <cell r="AV35">
            <v>19.997</v>
          </cell>
          <cell r="AW35">
            <v>20.57328</v>
          </cell>
          <cell r="AX35">
            <v>9.8721600000000009</v>
          </cell>
          <cell r="AY35">
            <v>158.82618000000002</v>
          </cell>
          <cell r="AZ35">
            <v>1158.6761799999999</v>
          </cell>
          <cell r="BA35">
            <v>83.287504999999996</v>
          </cell>
          <cell r="BB35">
            <v>71.82884833333334</v>
          </cell>
          <cell r="BC35">
            <v>152.07103000000001</v>
          </cell>
          <cell r="BD35">
            <v>307.18738333333334</v>
          </cell>
          <cell r="BE35">
            <v>1465.8635633333333</v>
          </cell>
          <cell r="BF35">
            <v>69.803026825396827</v>
          </cell>
          <cell r="BG35">
            <v>277.87829150237593</v>
          </cell>
        </row>
        <row r="36">
          <cell r="A36">
            <v>28</v>
          </cell>
          <cell r="B36">
            <v>28</v>
          </cell>
          <cell r="C36" t="str">
            <v>FRANCHI INGA, Richard  Alex</v>
          </cell>
          <cell r="D36" t="str">
            <v>CARGADOR/DISPARADOR 1</v>
          </cell>
          <cell r="E36">
            <v>38757</v>
          </cell>
          <cell r="H36" t="str">
            <v>04070275</v>
          </cell>
          <cell r="I36">
            <v>40.99</v>
          </cell>
          <cell r="J36">
            <v>5.1237500000000002</v>
          </cell>
          <cell r="K36" t="str">
            <v>ONP</v>
          </cell>
          <cell r="L36">
            <v>17</v>
          </cell>
          <cell r="M36">
            <v>4.2</v>
          </cell>
          <cell r="N36">
            <v>4</v>
          </cell>
          <cell r="P36">
            <v>34</v>
          </cell>
          <cell r="Q36">
            <v>696.83</v>
          </cell>
          <cell r="R36">
            <v>172.15800000000002</v>
          </cell>
          <cell r="S36">
            <v>163.96</v>
          </cell>
          <cell r="T36">
            <v>0</v>
          </cell>
          <cell r="U36">
            <v>217.75937500000001</v>
          </cell>
          <cell r="V36">
            <v>42</v>
          </cell>
          <cell r="AB36">
            <v>1292.7073750000002</v>
          </cell>
          <cell r="AC36">
            <v>168.05195875000004</v>
          </cell>
          <cell r="AD36">
            <v>0</v>
          </cell>
          <cell r="AE36">
            <v>0</v>
          </cell>
          <cell r="AF36">
            <v>0</v>
          </cell>
          <cell r="AH36">
            <v>168.05195875000004</v>
          </cell>
          <cell r="AJ36">
            <v>168.05195875000004</v>
          </cell>
          <cell r="AL36">
            <v>1124.6554162500001</v>
          </cell>
          <cell r="AN36">
            <v>90</v>
          </cell>
          <cell r="AO36">
            <v>90</v>
          </cell>
          <cell r="AR36">
            <v>1034.6554162500001</v>
          </cell>
          <cell r="AS36">
            <v>116.34366375000002</v>
          </cell>
          <cell r="AU36">
            <v>23.785815700000004</v>
          </cell>
          <cell r="AV36">
            <v>0</v>
          </cell>
          <cell r="AW36">
            <v>33.570810000000002</v>
          </cell>
          <cell r="AX36">
            <v>16.109070000000003</v>
          </cell>
          <cell r="AY36">
            <v>189.80935945000002</v>
          </cell>
          <cell r="AZ36">
            <v>1482.5167344500003</v>
          </cell>
          <cell r="BA36">
            <v>107.68252433750001</v>
          </cell>
          <cell r="BB36">
            <v>105.39644662083334</v>
          </cell>
          <cell r="BC36">
            <v>203.79289324166669</v>
          </cell>
          <cell r="BD36">
            <v>416.8718642</v>
          </cell>
          <cell r="BE36">
            <v>1899.3885986500004</v>
          </cell>
          <cell r="BF36">
            <v>111.72874109705884</v>
          </cell>
          <cell r="BG36">
            <v>272.57560648221232</v>
          </cell>
        </row>
        <row r="37">
          <cell r="A37">
            <v>29</v>
          </cell>
          <cell r="B37">
            <v>29</v>
          </cell>
          <cell r="C37" t="str">
            <v>GALVAN CONDOR, Cesar</v>
          </cell>
          <cell r="D37" t="str">
            <v>PERFORISTA 2</v>
          </cell>
          <cell r="E37">
            <v>38874</v>
          </cell>
          <cell r="F37" t="str">
            <v>Nuevo</v>
          </cell>
          <cell r="H37" t="str">
            <v>41538281</v>
          </cell>
          <cell r="I37">
            <v>30.41</v>
          </cell>
          <cell r="J37">
            <v>3.80125</v>
          </cell>
          <cell r="K37" t="str">
            <v>UNION</v>
          </cell>
          <cell r="L37">
            <v>21</v>
          </cell>
          <cell r="M37">
            <v>4.2</v>
          </cell>
          <cell r="P37">
            <v>42</v>
          </cell>
          <cell r="Q37">
            <v>638.61</v>
          </cell>
          <cell r="R37">
            <v>127.72200000000001</v>
          </cell>
          <cell r="S37">
            <v>0</v>
          </cell>
          <cell r="T37">
            <v>0</v>
          </cell>
          <cell r="U37">
            <v>199.56562500000001</v>
          </cell>
          <cell r="AB37">
            <v>965.89762500000006</v>
          </cell>
          <cell r="AC37">
            <v>0</v>
          </cell>
          <cell r="AD37">
            <v>115.907715</v>
          </cell>
          <cell r="AE37">
            <v>8.6930786250000018</v>
          </cell>
          <cell r="AF37">
            <v>18.738413925000003</v>
          </cell>
          <cell r="AH37">
            <v>143.33920755</v>
          </cell>
          <cell r="AJ37">
            <v>143.33920755</v>
          </cell>
          <cell r="AL37">
            <v>822.55841745000009</v>
          </cell>
          <cell r="AN37">
            <v>4</v>
          </cell>
          <cell r="AO37">
            <v>4</v>
          </cell>
          <cell r="AR37">
            <v>818.55841745000009</v>
          </cell>
          <cell r="AS37">
            <v>86.930786249999997</v>
          </cell>
          <cell r="AU37">
            <v>17.772516299999999</v>
          </cell>
          <cell r="AV37">
            <v>19.317952500000001</v>
          </cell>
          <cell r="AW37">
            <v>24.90579</v>
          </cell>
          <cell r="AX37">
            <v>11.951129999999999</v>
          </cell>
          <cell r="AY37">
            <v>160.87817505000001</v>
          </cell>
          <cell r="AZ37">
            <v>1126.77580005</v>
          </cell>
          <cell r="BA37">
            <v>80.4592721625</v>
          </cell>
          <cell r="BB37">
            <v>77.267514587500003</v>
          </cell>
          <cell r="BC37">
            <v>154.53502917500001</v>
          </cell>
          <cell r="BD37">
            <v>312.26181592500001</v>
          </cell>
          <cell r="BE37">
            <v>1439.0376159750001</v>
          </cell>
          <cell r="BF37">
            <v>68.525600760714298</v>
          </cell>
          <cell r="BG37">
            <v>225.33903571428576</v>
          </cell>
        </row>
        <row r="38">
          <cell r="A38">
            <v>30</v>
          </cell>
          <cell r="B38">
            <v>30</v>
          </cell>
          <cell r="C38" t="str">
            <v>GALVEZ HUAMAN, Sabino</v>
          </cell>
          <cell r="D38" t="str">
            <v>CAPATAZ</v>
          </cell>
          <cell r="E38">
            <v>38756</v>
          </cell>
          <cell r="H38" t="str">
            <v>04013263</v>
          </cell>
          <cell r="I38">
            <v>46.28</v>
          </cell>
          <cell r="J38">
            <v>5.7850000000000001</v>
          </cell>
          <cell r="K38" t="str">
            <v>UNION</v>
          </cell>
          <cell r="L38">
            <v>17</v>
          </cell>
          <cell r="M38">
            <v>5</v>
          </cell>
          <cell r="O38">
            <v>8</v>
          </cell>
          <cell r="P38">
            <v>50</v>
          </cell>
          <cell r="Q38">
            <v>786.76</v>
          </cell>
          <cell r="R38">
            <v>231.4</v>
          </cell>
          <cell r="S38">
            <v>0</v>
          </cell>
          <cell r="T38">
            <v>370.24</v>
          </cell>
          <cell r="U38">
            <v>361.5625</v>
          </cell>
          <cell r="AB38">
            <v>1749.9625000000001</v>
          </cell>
          <cell r="AC38">
            <v>0</v>
          </cell>
          <cell r="AD38">
            <v>209.99549999999999</v>
          </cell>
          <cell r="AE38">
            <v>15.749662500000003</v>
          </cell>
          <cell r="AF38">
            <v>33.949272499999999</v>
          </cell>
          <cell r="AH38">
            <v>259.694435</v>
          </cell>
          <cell r="AJ38">
            <v>259.694435</v>
          </cell>
          <cell r="AL38">
            <v>1490.2680650000002</v>
          </cell>
          <cell r="AN38">
            <v>14</v>
          </cell>
          <cell r="AO38">
            <v>14</v>
          </cell>
          <cell r="AR38">
            <v>1476.2680650000002</v>
          </cell>
          <cell r="AS38">
            <v>157.49662499999999</v>
          </cell>
          <cell r="AU38">
            <v>32.199310000000004</v>
          </cell>
          <cell r="AV38">
            <v>34.999250000000004</v>
          </cell>
          <cell r="AW38">
            <v>37.903320000000008</v>
          </cell>
          <cell r="AX38">
            <v>18.188040000000001</v>
          </cell>
          <cell r="AY38">
            <v>280.78654499999999</v>
          </cell>
          <cell r="AZ38">
            <v>2030.749045</v>
          </cell>
          <cell r="BA38">
            <v>145.77187625000002</v>
          </cell>
          <cell r="BB38">
            <v>108.24554541666667</v>
          </cell>
          <cell r="BC38">
            <v>278.19775750000002</v>
          </cell>
          <cell r="BD38">
            <v>532.21517916666676</v>
          </cell>
          <cell r="BE38">
            <v>2562.964224166667</v>
          </cell>
          <cell r="BF38">
            <v>150.76260142156866</v>
          </cell>
          <cell r="BG38">
            <v>325.76188725490198</v>
          </cell>
        </row>
        <row r="39">
          <cell r="A39">
            <v>31</v>
          </cell>
          <cell r="B39">
            <v>31</v>
          </cell>
          <cell r="C39" t="str">
            <v>GARAY SUAREZ, Cesar Augusto</v>
          </cell>
          <cell r="D39" t="str">
            <v>ELECTRICISTA 1</v>
          </cell>
          <cell r="E39">
            <v>38757</v>
          </cell>
          <cell r="H39" t="str">
            <v>04074524</v>
          </cell>
          <cell r="I39">
            <v>35.700000000000003</v>
          </cell>
          <cell r="J39">
            <v>4.4625000000000004</v>
          </cell>
          <cell r="K39" t="str">
            <v>PROFUTURO</v>
          </cell>
          <cell r="L39">
            <v>22</v>
          </cell>
          <cell r="M39">
            <v>5</v>
          </cell>
          <cell r="O39">
            <v>3</v>
          </cell>
          <cell r="P39">
            <v>50</v>
          </cell>
          <cell r="Q39">
            <v>785.40000000000009</v>
          </cell>
          <cell r="R39">
            <v>178.5</v>
          </cell>
          <cell r="S39">
            <v>0</v>
          </cell>
          <cell r="T39">
            <v>107.10000000000001</v>
          </cell>
          <cell r="U39">
            <v>278.90625000000006</v>
          </cell>
          <cell r="V39">
            <v>50</v>
          </cell>
          <cell r="AB39">
            <v>1399.90625</v>
          </cell>
          <cell r="AC39">
            <v>0</v>
          </cell>
          <cell r="AD39">
            <v>167.98874999999998</v>
          </cell>
          <cell r="AE39">
            <v>14.139053125</v>
          </cell>
          <cell r="AF39">
            <v>27.718143749999996</v>
          </cell>
          <cell r="AH39">
            <v>209.84594687499998</v>
          </cell>
          <cell r="AJ39">
            <v>209.84594687499998</v>
          </cell>
          <cell r="AL39">
            <v>1190.060303125</v>
          </cell>
          <cell r="AN39">
            <v>22</v>
          </cell>
          <cell r="AO39">
            <v>22</v>
          </cell>
          <cell r="AR39">
            <v>1168.060303125</v>
          </cell>
          <cell r="AS39">
            <v>125.9915625</v>
          </cell>
          <cell r="AU39">
            <v>25.758275000000001</v>
          </cell>
          <cell r="AV39">
            <v>27.998125000000002</v>
          </cell>
          <cell r="AW39">
            <v>29.238300000000002</v>
          </cell>
          <cell r="AX39">
            <v>14.030100000000001</v>
          </cell>
          <cell r="AY39">
            <v>223.01636250000004</v>
          </cell>
          <cell r="AZ39">
            <v>1622.9226125</v>
          </cell>
          <cell r="BA39">
            <v>116.612190625</v>
          </cell>
          <cell r="BB39">
            <v>103.07636354166668</v>
          </cell>
          <cell r="BC39">
            <v>215.66939375000001</v>
          </cell>
          <cell r="BD39">
            <v>435.35794791666672</v>
          </cell>
          <cell r="BE39">
            <v>2058.280560416667</v>
          </cell>
          <cell r="BF39">
            <v>93.558207291666676</v>
          </cell>
          <cell r="BG39">
            <v>262.06780753968258</v>
          </cell>
        </row>
        <row r="40">
          <cell r="A40">
            <v>32</v>
          </cell>
          <cell r="B40">
            <v>32</v>
          </cell>
          <cell r="C40" t="str">
            <v>GARCIA GOMEZ, Wilson Smit</v>
          </cell>
          <cell r="D40" t="str">
            <v>TEC. MECANICO PERFORAD.</v>
          </cell>
          <cell r="E40">
            <v>38765</v>
          </cell>
          <cell r="H40" t="str">
            <v>41772995</v>
          </cell>
          <cell r="I40">
            <v>30.41</v>
          </cell>
          <cell r="J40">
            <v>3.80125</v>
          </cell>
          <cell r="K40" t="str">
            <v>ONP</v>
          </cell>
          <cell r="L40">
            <v>16</v>
          </cell>
          <cell r="M40">
            <v>4</v>
          </cell>
          <cell r="O40">
            <v>4</v>
          </cell>
          <cell r="P40">
            <v>40</v>
          </cell>
          <cell r="Q40">
            <v>486.56</v>
          </cell>
          <cell r="R40">
            <v>121.64</v>
          </cell>
          <cell r="S40">
            <v>0</v>
          </cell>
          <cell r="T40">
            <v>121.64</v>
          </cell>
          <cell r="U40">
            <v>190.0625</v>
          </cell>
          <cell r="AB40">
            <v>919.90250000000003</v>
          </cell>
          <cell r="AC40">
            <v>119.58732500000001</v>
          </cell>
          <cell r="AD40">
            <v>0</v>
          </cell>
          <cell r="AE40">
            <v>0</v>
          </cell>
          <cell r="AF40">
            <v>0</v>
          </cell>
          <cell r="AH40">
            <v>119.58732500000001</v>
          </cell>
          <cell r="AJ40">
            <v>119.58732500000001</v>
          </cell>
          <cell r="AL40">
            <v>800.31517500000007</v>
          </cell>
          <cell r="AN40">
            <v>3</v>
          </cell>
          <cell r="AO40">
            <v>3</v>
          </cell>
          <cell r="AR40">
            <v>797.31517500000007</v>
          </cell>
          <cell r="AS40">
            <v>82.791224999999997</v>
          </cell>
          <cell r="AU40">
            <v>16.926206000000001</v>
          </cell>
          <cell r="AV40">
            <v>0</v>
          </cell>
          <cell r="AW40">
            <v>24.90579</v>
          </cell>
          <cell r="AX40">
            <v>11.951129999999999</v>
          </cell>
          <cell r="AY40">
            <v>136.57435100000001</v>
          </cell>
          <cell r="AZ40">
            <v>1056.4768510000001</v>
          </cell>
          <cell r="BA40">
            <v>76.627878249999995</v>
          </cell>
          <cell r="BB40">
            <v>62.06452925</v>
          </cell>
          <cell r="BC40">
            <v>144.40239183333333</v>
          </cell>
          <cell r="BD40">
            <v>283.0947993333333</v>
          </cell>
          <cell r="BE40">
            <v>1339.5716503333333</v>
          </cell>
          <cell r="BF40">
            <v>83.723228145833332</v>
          </cell>
          <cell r="BG40">
            <v>275.31479166666668</v>
          </cell>
        </row>
        <row r="41">
          <cell r="A41">
            <v>33</v>
          </cell>
          <cell r="B41">
            <v>33</v>
          </cell>
          <cell r="C41" t="str">
            <v>GONZALES UNTIVEROS, Eduardo</v>
          </cell>
          <cell r="D41" t="str">
            <v>ALMACENERO</v>
          </cell>
          <cell r="E41">
            <v>38808</v>
          </cell>
          <cell r="G41">
            <v>29267</v>
          </cell>
          <cell r="H41" t="str">
            <v>41084425</v>
          </cell>
          <cell r="I41">
            <v>27.77</v>
          </cell>
          <cell r="J41">
            <v>3.4712499999999999</v>
          </cell>
          <cell r="K41" t="str">
            <v>INTEGRA</v>
          </cell>
          <cell r="L41">
            <v>16</v>
          </cell>
          <cell r="M41">
            <v>3.2</v>
          </cell>
          <cell r="P41">
            <v>32</v>
          </cell>
          <cell r="Q41">
            <v>444.32</v>
          </cell>
          <cell r="R41">
            <v>88.864000000000004</v>
          </cell>
          <cell r="S41">
            <v>0</v>
          </cell>
          <cell r="T41">
            <v>0</v>
          </cell>
          <cell r="U41">
            <v>138.85</v>
          </cell>
          <cell r="V41">
            <v>32</v>
          </cell>
          <cell r="AB41">
            <v>704.03399999999999</v>
          </cell>
          <cell r="AC41">
            <v>0</v>
          </cell>
          <cell r="AD41">
            <v>84.484079999999992</v>
          </cell>
          <cell r="AE41">
            <v>6.1954992000000004</v>
          </cell>
          <cell r="AF41">
            <v>12.672612000000001</v>
          </cell>
          <cell r="AH41">
            <v>103.35219119999999</v>
          </cell>
          <cell r="AJ41">
            <v>103.35219119999999</v>
          </cell>
          <cell r="AL41">
            <v>600.6818088</v>
          </cell>
          <cell r="AO41">
            <v>0</v>
          </cell>
          <cell r="AR41">
            <v>600.6818088</v>
          </cell>
          <cell r="AS41">
            <v>63.363059999999997</v>
          </cell>
          <cell r="AU41">
            <v>12.954225599999999</v>
          </cell>
          <cell r="AV41">
            <v>14.080680000000001</v>
          </cell>
          <cell r="AW41">
            <v>22.743630000000003</v>
          </cell>
          <cell r="AX41">
            <v>10.91361</v>
          </cell>
          <cell r="AY41">
            <v>124.05520559999999</v>
          </cell>
          <cell r="AZ41">
            <v>828.08920560000001</v>
          </cell>
          <cell r="BA41">
            <v>58.646032200000001</v>
          </cell>
          <cell r="BB41">
            <v>57.436600466666668</v>
          </cell>
          <cell r="BC41">
            <v>109.53986759999999</v>
          </cell>
          <cell r="BD41">
            <v>225.62250026666666</v>
          </cell>
          <cell r="BE41">
            <v>1053.7117058666668</v>
          </cell>
          <cell r="BF41">
            <v>65.856981616666673</v>
          </cell>
          <cell r="BG41">
            <v>237.15153625015009</v>
          </cell>
        </row>
        <row r="42">
          <cell r="A42">
            <v>34</v>
          </cell>
          <cell r="B42">
            <v>34</v>
          </cell>
          <cell r="C42" t="str">
            <v>GONZALES VELASQUEZ, Dionicio</v>
          </cell>
          <cell r="D42" t="str">
            <v>AYUDANTE PERFORISTA</v>
          </cell>
          <cell r="E42">
            <v>38765</v>
          </cell>
          <cell r="H42" t="str">
            <v>04210015</v>
          </cell>
          <cell r="I42">
            <v>25.12</v>
          </cell>
          <cell r="J42">
            <v>3.14</v>
          </cell>
          <cell r="K42" t="str">
            <v>INTEGRA</v>
          </cell>
          <cell r="L42">
            <v>20</v>
          </cell>
          <cell r="M42">
            <v>4.6000000000000005</v>
          </cell>
          <cell r="O42">
            <v>3</v>
          </cell>
          <cell r="P42">
            <v>46</v>
          </cell>
          <cell r="Q42">
            <v>502.40000000000003</v>
          </cell>
          <cell r="R42">
            <v>115.55200000000002</v>
          </cell>
          <cell r="S42">
            <v>0</v>
          </cell>
          <cell r="T42">
            <v>75.36</v>
          </cell>
          <cell r="U42">
            <v>180.55</v>
          </cell>
          <cell r="V42">
            <v>46.000000000000007</v>
          </cell>
          <cell r="AB42">
            <v>919.86200000000008</v>
          </cell>
          <cell r="AC42">
            <v>0</v>
          </cell>
          <cell r="AD42">
            <v>110.38344000000001</v>
          </cell>
          <cell r="AE42">
            <v>8.0947856000000016</v>
          </cell>
          <cell r="AF42">
            <v>16.557516000000003</v>
          </cell>
          <cell r="AH42">
            <v>135.03574159999999</v>
          </cell>
          <cell r="AJ42">
            <v>135.03574159999999</v>
          </cell>
          <cell r="AL42">
            <v>784.82625840000014</v>
          </cell>
          <cell r="AO42">
            <v>0</v>
          </cell>
          <cell r="AR42">
            <v>784.82625840000014</v>
          </cell>
          <cell r="AS42">
            <v>82.787580000000005</v>
          </cell>
          <cell r="AU42">
            <v>16.9254608</v>
          </cell>
          <cell r="AV42">
            <v>18.397240000000004</v>
          </cell>
          <cell r="AW42">
            <v>20.57328</v>
          </cell>
          <cell r="AX42">
            <v>9.8721600000000009</v>
          </cell>
          <cell r="AY42">
            <v>148.55572080000002</v>
          </cell>
          <cell r="AZ42">
            <v>1068.4177208000001</v>
          </cell>
          <cell r="BA42">
            <v>76.624504600000009</v>
          </cell>
          <cell r="BB42">
            <v>67.70897673333333</v>
          </cell>
          <cell r="BC42">
            <v>140.3112868</v>
          </cell>
          <cell r="BD42">
            <v>284.64476813333334</v>
          </cell>
          <cell r="BE42">
            <v>1353.0624889333335</v>
          </cell>
          <cell r="BF42">
            <v>67.653124446666681</v>
          </cell>
          <cell r="BG42">
            <v>269.31976292462849</v>
          </cell>
        </row>
        <row r="43">
          <cell r="A43">
            <v>35</v>
          </cell>
          <cell r="B43">
            <v>35</v>
          </cell>
          <cell r="C43" t="str">
            <v>GOÑE HUALLPA, Hugo</v>
          </cell>
          <cell r="D43" t="str">
            <v>AYUDANTE PERFORISTA</v>
          </cell>
          <cell r="E43">
            <v>38783</v>
          </cell>
          <cell r="H43" t="str">
            <v>22672947</v>
          </cell>
          <cell r="I43">
            <v>25.12</v>
          </cell>
          <cell r="J43">
            <v>3.14</v>
          </cell>
          <cell r="K43" t="str">
            <v>UNION</v>
          </cell>
          <cell r="L43">
            <v>22</v>
          </cell>
          <cell r="M43">
            <v>5</v>
          </cell>
          <cell r="O43">
            <v>3</v>
          </cell>
          <cell r="P43">
            <v>50</v>
          </cell>
          <cell r="Q43">
            <v>552.64</v>
          </cell>
          <cell r="R43">
            <v>125.60000000000001</v>
          </cell>
          <cell r="S43">
            <v>0</v>
          </cell>
          <cell r="T43">
            <v>75.36</v>
          </cell>
          <cell r="U43">
            <v>196.25</v>
          </cell>
          <cell r="V43">
            <v>50</v>
          </cell>
          <cell r="AB43">
            <v>999.85</v>
          </cell>
          <cell r="AC43">
            <v>0</v>
          </cell>
          <cell r="AD43">
            <v>119.982</v>
          </cell>
          <cell r="AE43">
            <v>8.9986500000000014</v>
          </cell>
          <cell r="AF43">
            <v>19.397090000000002</v>
          </cell>
          <cell r="AH43">
            <v>148.37773999999999</v>
          </cell>
          <cell r="AJ43">
            <v>148.37773999999999</v>
          </cell>
          <cell r="AL43">
            <v>851.47226000000001</v>
          </cell>
          <cell r="AO43">
            <v>0</v>
          </cell>
          <cell r="AR43">
            <v>851.47226000000001</v>
          </cell>
          <cell r="AS43">
            <v>89.986499999999992</v>
          </cell>
          <cell r="AU43">
            <v>18.39724</v>
          </cell>
          <cell r="AV43">
            <v>19.997</v>
          </cell>
          <cell r="AW43">
            <v>20.57328</v>
          </cell>
          <cell r="AX43">
            <v>9.8721600000000009</v>
          </cell>
          <cell r="AY43">
            <v>158.82618000000002</v>
          </cell>
          <cell r="AZ43">
            <v>1158.6761799999999</v>
          </cell>
          <cell r="BA43">
            <v>83.287504999999996</v>
          </cell>
          <cell r="BB43">
            <v>73.922181666666674</v>
          </cell>
          <cell r="BC43">
            <v>152.07103000000001</v>
          </cell>
          <cell r="BD43">
            <v>309.28071666666665</v>
          </cell>
          <cell r="BE43">
            <v>1467.9568966666666</v>
          </cell>
          <cell r="BF43">
            <v>66.725313484848485</v>
          </cell>
          <cell r="BG43">
            <v>265.62624794923761</v>
          </cell>
        </row>
        <row r="44">
          <cell r="A44">
            <v>36</v>
          </cell>
          <cell r="B44">
            <v>36</v>
          </cell>
          <cell r="C44" t="str">
            <v>HUACARPUMA CHUCTAYA MARCELINO</v>
          </cell>
          <cell r="D44" t="str">
            <v>PERFORISTA 1</v>
          </cell>
          <cell r="E44">
            <v>38766</v>
          </cell>
          <cell r="H44" t="str">
            <v>29483250</v>
          </cell>
          <cell r="I44">
            <v>38.35</v>
          </cell>
          <cell r="J44">
            <v>4.7937500000000002</v>
          </cell>
          <cell r="K44" t="str">
            <v>PROFUTURO</v>
          </cell>
          <cell r="L44">
            <v>25</v>
          </cell>
          <cell r="M44">
            <v>5</v>
          </cell>
          <cell r="P44">
            <v>50</v>
          </cell>
          <cell r="Q44">
            <v>958.75</v>
          </cell>
          <cell r="R44">
            <v>191.75</v>
          </cell>
          <cell r="S44">
            <v>0</v>
          </cell>
          <cell r="T44">
            <v>0</v>
          </cell>
          <cell r="U44">
            <v>299.609375</v>
          </cell>
          <cell r="V44">
            <v>50</v>
          </cell>
          <cell r="AB44">
            <v>1500.109375</v>
          </cell>
          <cell r="AC44">
            <v>0</v>
          </cell>
          <cell r="AD44">
            <v>180.013125</v>
          </cell>
          <cell r="AE44">
            <v>15.1511046875</v>
          </cell>
          <cell r="AF44">
            <v>29.702165624999996</v>
          </cell>
          <cell r="AH44">
            <v>224.8663953125</v>
          </cell>
          <cell r="AJ44">
            <v>224.8663953125</v>
          </cell>
          <cell r="AL44">
            <v>1275.2429796874999</v>
          </cell>
          <cell r="AN44">
            <v>233.5</v>
          </cell>
          <cell r="AO44">
            <v>233.5</v>
          </cell>
          <cell r="AR44">
            <v>1041.7429796874999</v>
          </cell>
          <cell r="AS44">
            <v>135.00984374999999</v>
          </cell>
          <cell r="AU44">
            <v>27.602012500000001</v>
          </cell>
          <cell r="AV44">
            <v>30.002187500000002</v>
          </cell>
          <cell r="AW44">
            <v>31.408650000000002</v>
          </cell>
          <cell r="AX44">
            <v>15.07155</v>
          </cell>
          <cell r="AY44">
            <v>239.09424374999998</v>
          </cell>
          <cell r="AZ44">
            <v>1739.20361875</v>
          </cell>
          <cell r="BA44">
            <v>124.9591109375</v>
          </cell>
          <cell r="BB44">
            <v>119.96618697916666</v>
          </cell>
          <cell r="BC44">
            <v>231.59904062500001</v>
          </cell>
          <cell r="BD44">
            <v>476.52433854166668</v>
          </cell>
          <cell r="BE44">
            <v>2215.7279572916668</v>
          </cell>
          <cell r="BF44">
            <v>88.629118291666671</v>
          </cell>
          <cell r="BG44">
            <v>231.10591471099525</v>
          </cell>
        </row>
        <row r="45">
          <cell r="A45">
            <v>37</v>
          </cell>
          <cell r="B45">
            <v>37</v>
          </cell>
          <cell r="C45" t="str">
            <v>HUANUQUEÑO ARREDONDO, Jonas</v>
          </cell>
          <cell r="D45" t="str">
            <v>AYUDANTE PERFORISTA</v>
          </cell>
          <cell r="E45">
            <v>38792</v>
          </cell>
          <cell r="H45" t="str">
            <v>16173615</v>
          </cell>
          <cell r="I45">
            <v>25.12</v>
          </cell>
          <cell r="J45">
            <v>3.14</v>
          </cell>
          <cell r="K45" t="str">
            <v>PROFUTURO</v>
          </cell>
          <cell r="L45">
            <v>22</v>
          </cell>
          <cell r="M45">
            <v>5</v>
          </cell>
          <cell r="O45">
            <v>3</v>
          </cell>
          <cell r="P45">
            <v>50</v>
          </cell>
          <cell r="Q45">
            <v>552.64</v>
          </cell>
          <cell r="R45">
            <v>125.60000000000001</v>
          </cell>
          <cell r="S45">
            <v>0</v>
          </cell>
          <cell r="T45">
            <v>75.36</v>
          </cell>
          <cell r="U45">
            <v>196.25</v>
          </cell>
          <cell r="V45">
            <v>50</v>
          </cell>
          <cell r="AB45">
            <v>999.85</v>
          </cell>
          <cell r="AC45">
            <v>0</v>
          </cell>
          <cell r="AD45">
            <v>119.982</v>
          </cell>
          <cell r="AE45">
            <v>10.098485</v>
          </cell>
          <cell r="AF45">
            <v>19.797029999999999</v>
          </cell>
          <cell r="AH45">
            <v>149.87751500000002</v>
          </cell>
          <cell r="AJ45">
            <v>149.87751500000002</v>
          </cell>
          <cell r="AL45">
            <v>849.97248500000001</v>
          </cell>
          <cell r="AO45">
            <v>0</v>
          </cell>
          <cell r="AR45">
            <v>849.97248500000001</v>
          </cell>
          <cell r="AS45">
            <v>89.986499999999992</v>
          </cell>
          <cell r="AU45">
            <v>18.39724</v>
          </cell>
          <cell r="AV45">
            <v>19.997</v>
          </cell>
          <cell r="AW45">
            <v>20.57328</v>
          </cell>
          <cell r="AX45">
            <v>9.8721600000000009</v>
          </cell>
          <cell r="AY45">
            <v>158.82618000000002</v>
          </cell>
          <cell r="AZ45">
            <v>1158.6761799999999</v>
          </cell>
          <cell r="BA45">
            <v>83.287504999999996</v>
          </cell>
          <cell r="BB45">
            <v>73.922181666666674</v>
          </cell>
          <cell r="BC45">
            <v>152.07103000000001</v>
          </cell>
          <cell r="BD45">
            <v>309.28071666666665</v>
          </cell>
          <cell r="BE45">
            <v>1467.9568966666666</v>
          </cell>
          <cell r="BF45">
            <v>66.725313484848485</v>
          </cell>
          <cell r="BG45">
            <v>265.62624794923761</v>
          </cell>
        </row>
        <row r="46">
          <cell r="A46">
            <v>38</v>
          </cell>
          <cell r="B46">
            <v>38</v>
          </cell>
          <cell r="C46" t="str">
            <v>HUASCO OLIVARES, Antonio</v>
          </cell>
          <cell r="D46" t="str">
            <v xml:space="preserve">CAPATAZ </v>
          </cell>
          <cell r="E46">
            <v>38861</v>
          </cell>
          <cell r="H46" t="str">
            <v>31174358</v>
          </cell>
          <cell r="I46">
            <v>46.28</v>
          </cell>
          <cell r="J46">
            <v>5.7850000000000001</v>
          </cell>
          <cell r="K46" t="str">
            <v>UNION</v>
          </cell>
          <cell r="L46">
            <v>25</v>
          </cell>
          <cell r="M46">
            <v>5</v>
          </cell>
          <cell r="P46">
            <v>50</v>
          </cell>
          <cell r="Q46">
            <v>1157</v>
          </cell>
          <cell r="R46">
            <v>231.4</v>
          </cell>
          <cell r="S46">
            <v>0</v>
          </cell>
          <cell r="T46">
            <v>0</v>
          </cell>
          <cell r="U46">
            <v>361.5625</v>
          </cell>
          <cell r="AB46">
            <v>1749.9625000000001</v>
          </cell>
          <cell r="AC46">
            <v>0</v>
          </cell>
          <cell r="AD46">
            <v>209.99549999999999</v>
          </cell>
          <cell r="AE46">
            <v>15.749662500000003</v>
          </cell>
          <cell r="AF46">
            <v>33.949272499999999</v>
          </cell>
          <cell r="AH46">
            <v>259.694435</v>
          </cell>
          <cell r="AJ46">
            <v>259.694435</v>
          </cell>
          <cell r="AL46">
            <v>1490.2680650000002</v>
          </cell>
          <cell r="AO46">
            <v>0</v>
          </cell>
          <cell r="AR46">
            <v>1490.2680650000002</v>
          </cell>
          <cell r="AS46">
            <v>157.49662499999999</v>
          </cell>
          <cell r="AU46">
            <v>32.199310000000004</v>
          </cell>
          <cell r="AV46">
            <v>34.999250000000004</v>
          </cell>
          <cell r="AW46">
            <v>37.903320000000008</v>
          </cell>
          <cell r="AX46">
            <v>18.188040000000001</v>
          </cell>
          <cell r="AY46">
            <v>280.78654499999999</v>
          </cell>
          <cell r="AZ46">
            <v>2030.749045</v>
          </cell>
          <cell r="BA46">
            <v>145.77187625000002</v>
          </cell>
          <cell r="BB46">
            <v>139.09887875000001</v>
          </cell>
          <cell r="BC46">
            <v>278.19775750000002</v>
          </cell>
          <cell r="BD46">
            <v>563.0685125</v>
          </cell>
          <cell r="BE46">
            <v>2593.8175575</v>
          </cell>
          <cell r="BF46">
            <v>103.7527023</v>
          </cell>
          <cell r="BG46">
            <v>224.18475000000001</v>
          </cell>
        </row>
        <row r="47">
          <cell r="A47">
            <v>39</v>
          </cell>
          <cell r="B47">
            <v>39</v>
          </cell>
          <cell r="C47" t="str">
            <v>JANAMPA VILLANUEVA, Brigido Marcelo</v>
          </cell>
          <cell r="D47" t="str">
            <v>CAPATAZ SHOTCRET</v>
          </cell>
          <cell r="E47">
            <v>38757</v>
          </cell>
          <cell r="H47" t="str">
            <v>04046709</v>
          </cell>
          <cell r="I47">
            <v>46.28</v>
          </cell>
          <cell r="J47">
            <v>5.7850000000000001</v>
          </cell>
          <cell r="K47" t="str">
            <v>PROFUTURO</v>
          </cell>
          <cell r="L47">
            <v>16</v>
          </cell>
          <cell r="M47">
            <v>4.4000000000000004</v>
          </cell>
          <cell r="N47">
            <v>6</v>
          </cell>
          <cell r="P47">
            <v>32</v>
          </cell>
          <cell r="Q47">
            <v>740.48</v>
          </cell>
          <cell r="R47">
            <v>203.63200000000003</v>
          </cell>
          <cell r="S47">
            <v>277.68</v>
          </cell>
          <cell r="T47">
            <v>0</v>
          </cell>
          <cell r="U47">
            <v>231.4</v>
          </cell>
          <cell r="V47">
            <v>44</v>
          </cell>
          <cell r="AB47">
            <v>1497.1920000000002</v>
          </cell>
          <cell r="AC47">
            <v>0</v>
          </cell>
          <cell r="AD47">
            <v>179.66304000000002</v>
          </cell>
          <cell r="AE47">
            <v>15.121639200000002</v>
          </cell>
          <cell r="AF47">
            <v>29.644401600000002</v>
          </cell>
          <cell r="AH47">
            <v>224.42908080000004</v>
          </cell>
          <cell r="AJ47">
            <v>224.42908080000004</v>
          </cell>
          <cell r="AL47">
            <v>1272.7629192000002</v>
          </cell>
          <cell r="AN47">
            <v>17</v>
          </cell>
          <cell r="AO47">
            <v>17</v>
          </cell>
          <cell r="AR47">
            <v>1255.7629192000002</v>
          </cell>
          <cell r="AS47">
            <v>134.74728000000002</v>
          </cell>
          <cell r="AU47">
            <v>27.548332800000004</v>
          </cell>
          <cell r="AV47">
            <v>29.943840000000005</v>
          </cell>
          <cell r="AW47">
            <v>37.903320000000008</v>
          </cell>
          <cell r="AX47">
            <v>18.188040000000001</v>
          </cell>
          <cell r="AY47">
            <v>248.33081280000002</v>
          </cell>
          <cell r="AZ47">
            <v>1745.5228128000003</v>
          </cell>
          <cell r="BA47">
            <v>124.71609360000002</v>
          </cell>
          <cell r="BB47">
            <v>126.17690106666669</v>
          </cell>
          <cell r="BC47">
            <v>245.02046880000003</v>
          </cell>
          <cell r="BD47">
            <v>495.91346346666671</v>
          </cell>
          <cell r="BE47">
            <v>2241.4362762666669</v>
          </cell>
          <cell r="BF47">
            <v>140.08976726666668</v>
          </cell>
          <cell r="BG47">
            <v>302.7004478536445</v>
          </cell>
        </row>
        <row r="48">
          <cell r="A48">
            <v>40</v>
          </cell>
          <cell r="B48">
            <v>40</v>
          </cell>
          <cell r="C48" t="str">
            <v>JANAMPA VILLANUEVA, Raul Hector</v>
          </cell>
          <cell r="D48" t="str">
            <v>PERFORISTA DTH</v>
          </cell>
          <cell r="E48">
            <v>38756</v>
          </cell>
          <cell r="H48" t="str">
            <v>04060489</v>
          </cell>
          <cell r="I48">
            <v>40.99</v>
          </cell>
          <cell r="J48">
            <v>5.1237500000000002</v>
          </cell>
          <cell r="K48" t="str">
            <v>ONP</v>
          </cell>
          <cell r="L48">
            <v>18</v>
          </cell>
          <cell r="M48">
            <v>4</v>
          </cell>
          <cell r="O48">
            <v>2</v>
          </cell>
          <cell r="P48">
            <v>40</v>
          </cell>
          <cell r="Q48">
            <v>737.82</v>
          </cell>
          <cell r="R48">
            <v>163.96</v>
          </cell>
          <cell r="S48">
            <v>0</v>
          </cell>
          <cell r="T48">
            <v>81.98</v>
          </cell>
          <cell r="U48">
            <v>256.1875</v>
          </cell>
          <cell r="V48">
            <v>40</v>
          </cell>
          <cell r="AB48">
            <v>1279.9475000000002</v>
          </cell>
          <cell r="AC48">
            <v>166.39317500000004</v>
          </cell>
          <cell r="AD48">
            <v>0</v>
          </cell>
          <cell r="AE48">
            <v>0</v>
          </cell>
          <cell r="AF48">
            <v>0</v>
          </cell>
          <cell r="AH48">
            <v>166.39317500000004</v>
          </cell>
          <cell r="AJ48">
            <v>166.39317500000004</v>
          </cell>
          <cell r="AL48">
            <v>1113.5543250000001</v>
          </cell>
          <cell r="AO48">
            <v>0</v>
          </cell>
          <cell r="AR48">
            <v>1113.5543250000001</v>
          </cell>
          <cell r="AS48">
            <v>115.19527500000001</v>
          </cell>
          <cell r="AU48">
            <v>23.551034000000005</v>
          </cell>
          <cell r="AV48">
            <v>0</v>
          </cell>
          <cell r="AW48">
            <v>33.570810000000002</v>
          </cell>
          <cell r="AX48">
            <v>16.109070000000003</v>
          </cell>
          <cell r="AY48">
            <v>188.42618900000002</v>
          </cell>
          <cell r="AZ48">
            <v>1468.3736890000002</v>
          </cell>
          <cell r="BA48">
            <v>106.61962675000002</v>
          </cell>
          <cell r="BB48">
            <v>94.183849083333328</v>
          </cell>
          <cell r="BC48">
            <v>195.36436483333333</v>
          </cell>
          <cell r="BD48">
            <v>396.16784066666668</v>
          </cell>
          <cell r="BE48">
            <v>1864.541529666667</v>
          </cell>
          <cell r="BF48">
            <v>103.58564053703705</v>
          </cell>
          <cell r="BG48">
            <v>252.70954022209574</v>
          </cell>
        </row>
        <row r="49">
          <cell r="A49">
            <v>41</v>
          </cell>
          <cell r="B49">
            <v>41</v>
          </cell>
          <cell r="C49" t="str">
            <v>JAVIER ARENAS WILLIAM JOHNY</v>
          </cell>
          <cell r="D49" t="str">
            <v>OPERADOR SCOOP 2</v>
          </cell>
          <cell r="E49">
            <v>38773</v>
          </cell>
          <cell r="H49" t="str">
            <v>41282226</v>
          </cell>
          <cell r="I49">
            <v>35.700000000000003</v>
          </cell>
          <cell r="J49">
            <v>4.4625000000000004</v>
          </cell>
          <cell r="K49" t="str">
            <v>PROFUTURO</v>
          </cell>
          <cell r="L49">
            <v>19</v>
          </cell>
          <cell r="M49">
            <v>4.4000000000000004</v>
          </cell>
          <cell r="O49">
            <v>3</v>
          </cell>
          <cell r="P49">
            <v>44</v>
          </cell>
          <cell r="Q49">
            <v>678.30000000000007</v>
          </cell>
          <cell r="R49">
            <v>157.08000000000001</v>
          </cell>
          <cell r="S49">
            <v>0</v>
          </cell>
          <cell r="T49">
            <v>107.10000000000001</v>
          </cell>
          <cell r="U49">
            <v>245.43750000000003</v>
          </cell>
          <cell r="AB49">
            <v>1187.9175000000002</v>
          </cell>
          <cell r="AC49">
            <v>0</v>
          </cell>
          <cell r="AD49">
            <v>142.55010000000001</v>
          </cell>
          <cell r="AE49">
            <v>11.997966750000002</v>
          </cell>
          <cell r="AF49">
            <v>23.520766500000004</v>
          </cell>
          <cell r="AH49">
            <v>178.06883325000001</v>
          </cell>
          <cell r="AJ49">
            <v>178.06883325000001</v>
          </cell>
          <cell r="AL49">
            <v>1009.8486667500002</v>
          </cell>
          <cell r="AO49">
            <v>0</v>
          </cell>
          <cell r="AR49">
            <v>1009.8486667500002</v>
          </cell>
          <cell r="AS49">
            <v>106.91257500000002</v>
          </cell>
          <cell r="AU49">
            <v>21.857682000000004</v>
          </cell>
          <cell r="AV49">
            <v>23.758350000000004</v>
          </cell>
          <cell r="AW49">
            <v>29.238300000000002</v>
          </cell>
          <cell r="AX49">
            <v>14.030100000000001</v>
          </cell>
          <cell r="AY49">
            <v>195.79700700000004</v>
          </cell>
          <cell r="AZ49">
            <v>1383.7145070000004</v>
          </cell>
          <cell r="BA49">
            <v>98.953527750000021</v>
          </cell>
          <cell r="BB49">
            <v>85.931417250000024</v>
          </cell>
          <cell r="BC49">
            <v>189.71283450000001</v>
          </cell>
          <cell r="BD49">
            <v>374.59777950000006</v>
          </cell>
          <cell r="BE49">
            <v>1758.3122865000005</v>
          </cell>
          <cell r="BF49">
            <v>92.542751921052655</v>
          </cell>
          <cell r="BG49">
            <v>259.22339473684218</v>
          </cell>
        </row>
        <row r="50">
          <cell r="A50">
            <v>42</v>
          </cell>
          <cell r="B50">
            <v>42</v>
          </cell>
          <cell r="C50" t="str">
            <v>LEON MEJORADA, Carlos</v>
          </cell>
          <cell r="D50" t="str">
            <v>ABASTECEDOR</v>
          </cell>
          <cell r="E50">
            <v>38758</v>
          </cell>
          <cell r="H50" t="str">
            <v>04086005</v>
          </cell>
          <cell r="I50">
            <v>25.12</v>
          </cell>
          <cell r="J50">
            <v>3.14</v>
          </cell>
          <cell r="K50" t="str">
            <v>ONP</v>
          </cell>
          <cell r="L50">
            <v>18</v>
          </cell>
          <cell r="M50">
            <v>3.8000000000000003</v>
          </cell>
          <cell r="O50">
            <v>1</v>
          </cell>
          <cell r="P50">
            <v>38</v>
          </cell>
          <cell r="Q50">
            <v>452.16</v>
          </cell>
          <cell r="R50">
            <v>95.456000000000017</v>
          </cell>
          <cell r="S50">
            <v>0</v>
          </cell>
          <cell r="T50">
            <v>25.12</v>
          </cell>
          <cell r="U50">
            <v>149.15</v>
          </cell>
          <cell r="AB50">
            <v>721.88599999999997</v>
          </cell>
          <cell r="AC50">
            <v>93.845179999999999</v>
          </cell>
          <cell r="AD50">
            <v>0</v>
          </cell>
          <cell r="AE50">
            <v>0</v>
          </cell>
          <cell r="AF50">
            <v>0</v>
          </cell>
          <cell r="AH50">
            <v>93.845179999999999</v>
          </cell>
          <cell r="AJ50">
            <v>93.845179999999999</v>
          </cell>
          <cell r="AL50">
            <v>628.04081999999994</v>
          </cell>
          <cell r="AO50">
            <v>0</v>
          </cell>
          <cell r="AR50">
            <v>628.04081999999994</v>
          </cell>
          <cell r="AS50">
            <v>64.969740000000002</v>
          </cell>
          <cell r="AU50">
            <v>13.2827024</v>
          </cell>
          <cell r="AV50">
            <v>0</v>
          </cell>
          <cell r="AW50">
            <v>20.57328</v>
          </cell>
          <cell r="AX50">
            <v>9.8721600000000009</v>
          </cell>
          <cell r="AY50">
            <v>108.6978824</v>
          </cell>
          <cell r="AZ50">
            <v>830.58388239999999</v>
          </cell>
          <cell r="BA50">
            <v>60.133103799999994</v>
          </cell>
          <cell r="BB50">
            <v>54.692823533333332</v>
          </cell>
          <cell r="BC50">
            <v>113.57231373333333</v>
          </cell>
          <cell r="BD50">
            <v>228.39824106666666</v>
          </cell>
          <cell r="BE50">
            <v>1058.9821234666667</v>
          </cell>
          <cell r="BF50">
            <v>58.832340192592596</v>
          </cell>
          <cell r="BG50">
            <v>234.20517592592591</v>
          </cell>
        </row>
        <row r="51">
          <cell r="A51">
            <v>43</v>
          </cell>
          <cell r="B51">
            <v>43</v>
          </cell>
          <cell r="C51" t="str">
            <v>LIMAYLLA ALANYA, Leandro Timoteo</v>
          </cell>
          <cell r="D51" t="str">
            <v>CARGADOR/DISPARADOR 1</v>
          </cell>
          <cell r="E51">
            <v>38756</v>
          </cell>
          <cell r="H51" t="str">
            <v>19845909</v>
          </cell>
          <cell r="I51">
            <v>35.700000000000003</v>
          </cell>
          <cell r="J51">
            <v>4.4625000000000004</v>
          </cell>
          <cell r="K51" t="str">
            <v>HORIZONTE</v>
          </cell>
          <cell r="L51">
            <v>20</v>
          </cell>
          <cell r="M51">
            <v>4.6000000000000005</v>
          </cell>
          <cell r="O51">
            <v>3</v>
          </cell>
          <cell r="P51">
            <v>46</v>
          </cell>
          <cell r="Q51">
            <v>714</v>
          </cell>
          <cell r="R51">
            <v>164.22000000000003</v>
          </cell>
          <cell r="S51">
            <v>0</v>
          </cell>
          <cell r="T51">
            <v>107.10000000000001</v>
          </cell>
          <cell r="U51">
            <v>256.59375</v>
          </cell>
          <cell r="V51">
            <v>46.000000000000007</v>
          </cell>
          <cell r="AB51">
            <v>1287.9137500000002</v>
          </cell>
          <cell r="AC51">
            <v>0</v>
          </cell>
          <cell r="AD51">
            <v>154.54965000000001</v>
          </cell>
          <cell r="AE51">
            <v>11.333641000000002</v>
          </cell>
          <cell r="AF51">
            <v>25.114318125000004</v>
          </cell>
          <cell r="AH51">
            <v>190.99760912500003</v>
          </cell>
          <cell r="AJ51">
            <v>190.99760912500003</v>
          </cell>
          <cell r="AL51">
            <v>1096.9161408750001</v>
          </cell>
          <cell r="AO51">
            <v>0</v>
          </cell>
          <cell r="AR51">
            <v>1096.9161408750001</v>
          </cell>
          <cell r="AS51">
            <v>115.9122375</v>
          </cell>
          <cell r="AU51">
            <v>23.697613000000004</v>
          </cell>
          <cell r="AV51">
            <v>25.758275000000005</v>
          </cell>
          <cell r="AW51">
            <v>29.238300000000002</v>
          </cell>
          <cell r="AX51">
            <v>14.030100000000001</v>
          </cell>
          <cell r="AY51">
            <v>208.6365255</v>
          </cell>
          <cell r="AZ51">
            <v>1496.5502755000002</v>
          </cell>
          <cell r="BA51">
            <v>107.28321537500001</v>
          </cell>
          <cell r="BB51">
            <v>94.404710458333341</v>
          </cell>
          <cell r="BC51">
            <v>198.99275424999999</v>
          </cell>
          <cell r="BD51">
            <v>400.6806800833333</v>
          </cell>
          <cell r="BE51">
            <v>1897.2309555833335</v>
          </cell>
          <cell r="BF51">
            <v>94.861547779166671</v>
          </cell>
          <cell r="BG51">
            <v>265.7186212301587</v>
          </cell>
        </row>
        <row r="52">
          <cell r="A52">
            <v>44</v>
          </cell>
          <cell r="B52">
            <v>44</v>
          </cell>
          <cell r="C52" t="str">
            <v>LIZARGA TOVALINO, Walter Antonio</v>
          </cell>
          <cell r="D52" t="str">
            <v>PERFORISTA 2</v>
          </cell>
          <cell r="E52">
            <v>38758</v>
          </cell>
          <cell r="H52" t="str">
            <v>20894138</v>
          </cell>
          <cell r="I52">
            <v>30.41</v>
          </cell>
          <cell r="J52">
            <v>3.80125</v>
          </cell>
          <cell r="K52" t="str">
            <v>ONP</v>
          </cell>
          <cell r="L52">
            <v>24</v>
          </cell>
          <cell r="M52">
            <v>5</v>
          </cell>
          <cell r="O52">
            <v>1</v>
          </cell>
          <cell r="P52">
            <v>50</v>
          </cell>
          <cell r="Q52">
            <v>729.84</v>
          </cell>
          <cell r="R52">
            <v>152.05000000000001</v>
          </cell>
          <cell r="S52">
            <v>0</v>
          </cell>
          <cell r="T52">
            <v>30.41</v>
          </cell>
          <cell r="U52">
            <v>237.578125</v>
          </cell>
          <cell r="V52">
            <v>50</v>
          </cell>
          <cell r="AB52">
            <v>1199.8781250000002</v>
          </cell>
          <cell r="AC52">
            <v>155.98415625000004</v>
          </cell>
          <cell r="AD52">
            <v>0</v>
          </cell>
          <cell r="AE52">
            <v>0</v>
          </cell>
          <cell r="AF52">
            <v>0</v>
          </cell>
          <cell r="AH52">
            <v>155.98415625000004</v>
          </cell>
          <cell r="AJ52">
            <v>155.98415625000004</v>
          </cell>
          <cell r="AL52">
            <v>1043.8939687500001</v>
          </cell>
          <cell r="AO52">
            <v>0</v>
          </cell>
          <cell r="AR52">
            <v>1043.8939687500001</v>
          </cell>
          <cell r="AS52">
            <v>107.98903125000001</v>
          </cell>
          <cell r="AU52">
            <v>22.077757500000004</v>
          </cell>
          <cell r="AV52">
            <v>0</v>
          </cell>
          <cell r="AW52">
            <v>24.90579</v>
          </cell>
          <cell r="AX52">
            <v>11.951129999999999</v>
          </cell>
          <cell r="AY52">
            <v>166.92370875</v>
          </cell>
          <cell r="AZ52">
            <v>1366.8018337500002</v>
          </cell>
          <cell r="BA52">
            <v>99.94984781250001</v>
          </cell>
          <cell r="BB52">
            <v>91.567809062500018</v>
          </cell>
          <cell r="BC52">
            <v>179.87061812499999</v>
          </cell>
          <cell r="BD52">
            <v>371.38827500000002</v>
          </cell>
          <cell r="BE52">
            <v>1738.1901087500003</v>
          </cell>
          <cell r="BF52">
            <v>72.424587864583344</v>
          </cell>
          <cell r="BG52">
            <v>238.16043362243784</v>
          </cell>
        </row>
        <row r="53">
          <cell r="A53">
            <v>45</v>
          </cell>
          <cell r="B53">
            <v>45</v>
          </cell>
          <cell r="C53" t="str">
            <v>LOPEZ PIO, Rafaeil</v>
          </cell>
          <cell r="D53" t="str">
            <v>Ayudante Mecanico</v>
          </cell>
          <cell r="E53">
            <v>38838</v>
          </cell>
          <cell r="H53" t="str">
            <v>40456071</v>
          </cell>
          <cell r="I53">
            <v>25.12</v>
          </cell>
          <cell r="J53">
            <v>3.14</v>
          </cell>
          <cell r="K53" t="str">
            <v>ONP</v>
          </cell>
          <cell r="L53">
            <v>22</v>
          </cell>
          <cell r="M53">
            <v>4.4000000000000004</v>
          </cell>
          <cell r="P53">
            <v>44</v>
          </cell>
          <cell r="Q53">
            <v>552.64</v>
          </cell>
          <cell r="R53">
            <v>110.52800000000002</v>
          </cell>
          <cell r="S53">
            <v>0</v>
          </cell>
          <cell r="T53">
            <v>0</v>
          </cell>
          <cell r="U53">
            <v>172.7</v>
          </cell>
          <cell r="AB53">
            <v>835.86799999999994</v>
          </cell>
          <cell r="AC53">
            <v>108.66284</v>
          </cell>
          <cell r="AD53">
            <v>0</v>
          </cell>
          <cell r="AE53">
            <v>0</v>
          </cell>
          <cell r="AF53">
            <v>0</v>
          </cell>
          <cell r="AH53">
            <v>108.66284</v>
          </cell>
          <cell r="AJ53">
            <v>108.66284</v>
          </cell>
          <cell r="AL53">
            <v>727.20515999999998</v>
          </cell>
          <cell r="AO53">
            <v>0</v>
          </cell>
          <cell r="AR53">
            <v>727.20515999999998</v>
          </cell>
          <cell r="AS53">
            <v>75.22811999999999</v>
          </cell>
          <cell r="AU53">
            <v>15.379971199999998</v>
          </cell>
          <cell r="AV53">
            <v>0</v>
          </cell>
          <cell r="AW53">
            <v>20.57328</v>
          </cell>
          <cell r="AX53">
            <v>9.8721600000000009</v>
          </cell>
          <cell r="AY53">
            <v>121.05353119999998</v>
          </cell>
          <cell r="AZ53">
            <v>956.92153119999989</v>
          </cell>
          <cell r="BA53">
            <v>69.627804399999988</v>
          </cell>
          <cell r="BB53">
            <v>65.351794266666658</v>
          </cell>
          <cell r="BC53">
            <v>130.70358853333332</v>
          </cell>
          <cell r="BD53">
            <v>265.68318719999996</v>
          </cell>
          <cell r="BE53">
            <v>1222.6047183999999</v>
          </cell>
          <cell r="BF53">
            <v>55.572941745454543</v>
          </cell>
          <cell r="BG53">
            <v>221.2298636363636</v>
          </cell>
        </row>
        <row r="54">
          <cell r="A54">
            <v>46</v>
          </cell>
          <cell r="B54">
            <v>46</v>
          </cell>
          <cell r="C54" t="str">
            <v>MARCELO HUERTA ROY</v>
          </cell>
          <cell r="D54" t="str">
            <v>CHOFER DE CAMION</v>
          </cell>
          <cell r="E54">
            <v>38869</v>
          </cell>
          <cell r="G54">
            <v>38869</v>
          </cell>
          <cell r="H54" t="str">
            <v>80218317</v>
          </cell>
          <cell r="I54">
            <v>25.12</v>
          </cell>
          <cell r="J54">
            <v>3.14</v>
          </cell>
          <cell r="K54" t="str">
            <v>PROFUTURO</v>
          </cell>
          <cell r="L54">
            <v>21</v>
          </cell>
          <cell r="M54">
            <v>4.2</v>
          </cell>
          <cell r="P54">
            <v>42</v>
          </cell>
          <cell r="Q54">
            <v>527.52</v>
          </cell>
          <cell r="R54">
            <v>105.504</v>
          </cell>
          <cell r="S54">
            <v>0</v>
          </cell>
          <cell r="T54">
            <v>0</v>
          </cell>
          <cell r="U54">
            <v>164.85</v>
          </cell>
          <cell r="V54">
            <v>42</v>
          </cell>
          <cell r="AB54">
            <v>839.87400000000002</v>
          </cell>
          <cell r="AC54">
            <v>0</v>
          </cell>
          <cell r="AD54">
            <v>100.78488</v>
          </cell>
          <cell r="AE54">
            <v>8.4827273999999999</v>
          </cell>
          <cell r="AF54">
            <v>16.629505200000001</v>
          </cell>
          <cell r="AH54">
            <v>125.8971126</v>
          </cell>
          <cell r="AJ54">
            <v>125.8971126</v>
          </cell>
          <cell r="AL54">
            <v>713.97688740000001</v>
          </cell>
          <cell r="AN54">
            <v>25</v>
          </cell>
          <cell r="AO54">
            <v>25</v>
          </cell>
          <cell r="AR54">
            <v>688.97688740000001</v>
          </cell>
          <cell r="AS54">
            <v>75.588660000000004</v>
          </cell>
          <cell r="AU54">
            <v>15.453681599999999</v>
          </cell>
          <cell r="AV54">
            <v>16.79748</v>
          </cell>
          <cell r="AW54">
            <v>20.57328</v>
          </cell>
          <cell r="AX54">
            <v>9.8721600000000009</v>
          </cell>
          <cell r="AY54">
            <v>138.28526160000001</v>
          </cell>
          <cell r="AZ54">
            <v>978.15926160000004</v>
          </cell>
          <cell r="BA54">
            <v>69.961504200000007</v>
          </cell>
          <cell r="BB54">
            <v>67.775771800000001</v>
          </cell>
          <cell r="BC54">
            <v>128.5515436</v>
          </cell>
          <cell r="BD54">
            <v>266.28881960000001</v>
          </cell>
          <cell r="BE54">
            <v>1244.4480812000002</v>
          </cell>
          <cell r="BF54">
            <v>59.259432438095246</v>
          </cell>
          <cell r="BG54">
            <v>235.90538390961484</v>
          </cell>
        </row>
        <row r="55">
          <cell r="A55">
            <v>47</v>
          </cell>
          <cell r="B55">
            <v>47</v>
          </cell>
          <cell r="C55" t="str">
            <v>MATEO SOLIS, Jose Alejandro</v>
          </cell>
          <cell r="D55" t="str">
            <v>CAPATAZ</v>
          </cell>
          <cell r="E55">
            <v>38768</v>
          </cell>
          <cell r="H55" t="str">
            <v>20685786</v>
          </cell>
          <cell r="I55">
            <v>46.28</v>
          </cell>
          <cell r="J55">
            <v>5.7850000000000001</v>
          </cell>
          <cell r="K55" t="str">
            <v>HORIZONTE</v>
          </cell>
          <cell r="L55">
            <v>20</v>
          </cell>
          <cell r="M55">
            <v>5</v>
          </cell>
          <cell r="O55">
            <v>5</v>
          </cell>
          <cell r="P55">
            <v>50</v>
          </cell>
          <cell r="Q55">
            <v>925.6</v>
          </cell>
          <cell r="R55">
            <v>231.4</v>
          </cell>
          <cell r="S55">
            <v>0</v>
          </cell>
          <cell r="T55">
            <v>231.4</v>
          </cell>
          <cell r="U55">
            <v>361.5625</v>
          </cell>
          <cell r="V55">
            <v>50</v>
          </cell>
          <cell r="AB55">
            <v>1799.9625000000001</v>
          </cell>
          <cell r="AC55">
            <v>0</v>
          </cell>
          <cell r="AD55">
            <v>215.99549999999999</v>
          </cell>
          <cell r="AE55">
            <v>15.839670000000002</v>
          </cell>
          <cell r="AF55">
            <v>35.09926875</v>
          </cell>
          <cell r="AH55">
            <v>266.93443875000003</v>
          </cell>
          <cell r="AJ55">
            <v>266.93443875000003</v>
          </cell>
          <cell r="AL55">
            <v>1533.0280612500001</v>
          </cell>
          <cell r="AN55">
            <v>106.5</v>
          </cell>
          <cell r="AO55">
            <v>106.5</v>
          </cell>
          <cell r="AR55">
            <v>1426.5280612500001</v>
          </cell>
          <cell r="AS55">
            <v>161.99662499999999</v>
          </cell>
          <cell r="AU55">
            <v>33.119309999999999</v>
          </cell>
          <cell r="AV55">
            <v>35.999250000000004</v>
          </cell>
          <cell r="AW55">
            <v>37.903320000000008</v>
          </cell>
          <cell r="AX55">
            <v>18.188040000000001</v>
          </cell>
          <cell r="AY55">
            <v>287.20654500000001</v>
          </cell>
          <cell r="AZ55">
            <v>2087.1690450000001</v>
          </cell>
          <cell r="BA55">
            <v>149.93687625000001</v>
          </cell>
          <cell r="BB55">
            <v>124.51721208333333</v>
          </cell>
          <cell r="BC55">
            <v>279.26775750000002</v>
          </cell>
          <cell r="BD55">
            <v>553.72184583333342</v>
          </cell>
          <cell r="BE55">
            <v>2640.8908908333333</v>
          </cell>
          <cell r="BF55">
            <v>132.04454454166665</v>
          </cell>
          <cell r="BG55">
            <v>285.31664766997983</v>
          </cell>
        </row>
        <row r="56">
          <cell r="A56">
            <v>48</v>
          </cell>
          <cell r="B56">
            <v>48</v>
          </cell>
          <cell r="C56" t="str">
            <v>MAYTA ANDRADE, Francisco</v>
          </cell>
          <cell r="D56" t="str">
            <v>AYUDANTE SHOTCRETERO</v>
          </cell>
          <cell r="E56">
            <v>38783</v>
          </cell>
          <cell r="H56" t="str">
            <v>04203566</v>
          </cell>
          <cell r="I56">
            <v>25.12</v>
          </cell>
          <cell r="J56">
            <v>3.14</v>
          </cell>
          <cell r="K56" t="str">
            <v>UNION</v>
          </cell>
          <cell r="L56">
            <v>22</v>
          </cell>
          <cell r="M56">
            <v>5</v>
          </cell>
          <cell r="O56">
            <v>3</v>
          </cell>
          <cell r="P56">
            <v>50</v>
          </cell>
          <cell r="Q56">
            <v>552.64</v>
          </cell>
          <cell r="R56">
            <v>125.60000000000001</v>
          </cell>
          <cell r="S56">
            <v>0</v>
          </cell>
          <cell r="T56">
            <v>75.36</v>
          </cell>
          <cell r="U56">
            <v>196.25</v>
          </cell>
          <cell r="V56">
            <v>50</v>
          </cell>
          <cell r="AB56">
            <v>999.85</v>
          </cell>
          <cell r="AC56">
            <v>0</v>
          </cell>
          <cell r="AD56">
            <v>119.982</v>
          </cell>
          <cell r="AE56">
            <v>8.9986500000000014</v>
          </cell>
          <cell r="AF56">
            <v>19.397090000000002</v>
          </cell>
          <cell r="AH56">
            <v>148.37773999999999</v>
          </cell>
          <cell r="AJ56">
            <v>148.37773999999999</v>
          </cell>
          <cell r="AL56">
            <v>851.47226000000001</v>
          </cell>
          <cell r="AN56">
            <v>3.5</v>
          </cell>
          <cell r="AO56">
            <v>3.5</v>
          </cell>
          <cell r="AR56">
            <v>847.97226000000001</v>
          </cell>
          <cell r="AS56">
            <v>89.986499999999992</v>
          </cell>
          <cell r="AU56">
            <v>18.39724</v>
          </cell>
          <cell r="AV56">
            <v>19.997</v>
          </cell>
          <cell r="AW56">
            <v>20.57328</v>
          </cell>
          <cell r="AX56">
            <v>9.8721600000000009</v>
          </cell>
          <cell r="AY56">
            <v>158.82618000000002</v>
          </cell>
          <cell r="AZ56">
            <v>1158.6761799999999</v>
          </cell>
          <cell r="BA56">
            <v>83.287504999999996</v>
          </cell>
          <cell r="BB56">
            <v>73.922181666666674</v>
          </cell>
          <cell r="BC56">
            <v>152.07103000000001</v>
          </cell>
          <cell r="BD56">
            <v>309.28071666666665</v>
          </cell>
          <cell r="BE56">
            <v>1467.9568966666666</v>
          </cell>
          <cell r="BF56">
            <v>66.725313484848485</v>
          </cell>
          <cell r="BG56">
            <v>265.62624794923761</v>
          </cell>
        </row>
        <row r="57">
          <cell r="A57">
            <v>49</v>
          </cell>
          <cell r="B57">
            <v>49</v>
          </cell>
          <cell r="C57" t="str">
            <v>MAYTA BARZOLA, Luis German</v>
          </cell>
          <cell r="D57" t="str">
            <v>AYUDANTE JUMBERO</v>
          </cell>
          <cell r="E57">
            <v>38757</v>
          </cell>
          <cell r="H57" t="str">
            <v>40374554</v>
          </cell>
          <cell r="I57">
            <v>30.41</v>
          </cell>
          <cell r="J57">
            <v>3.80125</v>
          </cell>
          <cell r="K57" t="str">
            <v>PROFUTURO</v>
          </cell>
          <cell r="L57">
            <v>18</v>
          </cell>
          <cell r="M57">
            <v>5</v>
          </cell>
          <cell r="O57">
            <v>7</v>
          </cell>
          <cell r="P57">
            <v>50</v>
          </cell>
          <cell r="Q57">
            <v>547.38</v>
          </cell>
          <cell r="R57">
            <v>152.05000000000001</v>
          </cell>
          <cell r="S57">
            <v>0</v>
          </cell>
          <cell r="T57">
            <v>212.87</v>
          </cell>
          <cell r="U57">
            <v>237.578125</v>
          </cell>
          <cell r="V57">
            <v>50</v>
          </cell>
          <cell r="AB57">
            <v>1199.8781250000002</v>
          </cell>
          <cell r="AC57">
            <v>0</v>
          </cell>
          <cell r="AD57">
            <v>143.985375</v>
          </cell>
          <cell r="AE57">
            <v>12.118769062500002</v>
          </cell>
          <cell r="AF57">
            <v>23.757586875000001</v>
          </cell>
          <cell r="AH57">
            <v>179.8617309375</v>
          </cell>
          <cell r="AJ57">
            <v>179.8617309375</v>
          </cell>
          <cell r="AL57">
            <v>1020.0163940625002</v>
          </cell>
          <cell r="AN57">
            <v>7</v>
          </cell>
          <cell r="AO57">
            <v>7</v>
          </cell>
          <cell r="AR57">
            <v>1013.0163940625002</v>
          </cell>
          <cell r="AS57">
            <v>107.98903125000001</v>
          </cell>
          <cell r="AU57">
            <v>22.077757500000004</v>
          </cell>
          <cell r="AV57">
            <v>23.997562500000004</v>
          </cell>
          <cell r="AW57">
            <v>24.90579</v>
          </cell>
          <cell r="AX57">
            <v>11.951129999999999</v>
          </cell>
          <cell r="AY57">
            <v>190.92127125000002</v>
          </cell>
          <cell r="AZ57">
            <v>1390.7993962500002</v>
          </cell>
          <cell r="BA57">
            <v>99.94984781250001</v>
          </cell>
          <cell r="BB57">
            <v>78.362605937500007</v>
          </cell>
          <cell r="BC57">
            <v>183.870211875</v>
          </cell>
          <cell r="BD57">
            <v>362.18266562500003</v>
          </cell>
          <cell r="BE57">
            <v>1752.9820618750002</v>
          </cell>
          <cell r="BF57">
            <v>97.387892326388908</v>
          </cell>
          <cell r="BG57">
            <v>320.24956371716178</v>
          </cell>
        </row>
        <row r="58">
          <cell r="A58">
            <v>50</v>
          </cell>
          <cell r="B58">
            <v>50</v>
          </cell>
          <cell r="C58" t="str">
            <v>MEDRANO SUAREZ, Ruben</v>
          </cell>
          <cell r="D58" t="str">
            <v>AYUDANTE PERFORISTA</v>
          </cell>
          <cell r="E58">
            <v>38783</v>
          </cell>
          <cell r="F58">
            <v>38870</v>
          </cell>
          <cell r="H58" t="str">
            <v>40652032</v>
          </cell>
          <cell r="I58">
            <v>25.12</v>
          </cell>
          <cell r="J58">
            <v>3.14</v>
          </cell>
          <cell r="K58" t="str">
            <v>ONP</v>
          </cell>
          <cell r="L58">
            <v>2</v>
          </cell>
          <cell r="M58">
            <v>0</v>
          </cell>
          <cell r="P58">
            <v>4</v>
          </cell>
          <cell r="Q58">
            <v>50.24</v>
          </cell>
          <cell r="R58">
            <v>0</v>
          </cell>
          <cell r="S58">
            <v>0</v>
          </cell>
          <cell r="T58">
            <v>0</v>
          </cell>
          <cell r="U58">
            <v>15.700000000000001</v>
          </cell>
          <cell r="V58">
            <v>3.3333333333333335</v>
          </cell>
          <cell r="AB58">
            <v>69.273333333333326</v>
          </cell>
          <cell r="AC58">
            <v>9.0055333333333323</v>
          </cell>
          <cell r="AD58">
            <v>0</v>
          </cell>
          <cell r="AE58">
            <v>0</v>
          </cell>
          <cell r="AF58">
            <v>0</v>
          </cell>
          <cell r="AH58">
            <v>9.0055333333333323</v>
          </cell>
          <cell r="AJ58">
            <v>9.0055333333333323</v>
          </cell>
          <cell r="AL58">
            <v>60.267799999999994</v>
          </cell>
          <cell r="AO58">
            <v>0</v>
          </cell>
          <cell r="AR58">
            <v>60.267799999999994</v>
          </cell>
          <cell r="AS58">
            <v>6.2345999999999995</v>
          </cell>
          <cell r="AU58">
            <v>1.2746293333333332</v>
          </cell>
          <cell r="AV58">
            <v>0</v>
          </cell>
          <cell r="AW58">
            <v>20.57328</v>
          </cell>
          <cell r="AX58">
            <v>9.8721600000000009</v>
          </cell>
          <cell r="AY58">
            <v>37.954669333333335</v>
          </cell>
          <cell r="AZ58">
            <v>107.22800266666667</v>
          </cell>
          <cell r="BA58">
            <v>5.770468666666666</v>
          </cell>
          <cell r="BB58">
            <v>7.6273335555555564</v>
          </cell>
          <cell r="BC58">
            <v>14.699111555555556</v>
          </cell>
          <cell r="BD58">
            <v>28.096913777777779</v>
          </cell>
          <cell r="BE58">
            <v>135.32491644444445</v>
          </cell>
          <cell r="BF58">
            <v>67.662458222222227</v>
          </cell>
          <cell r="BG58">
            <v>269.35691967445155</v>
          </cell>
        </row>
        <row r="59">
          <cell r="A59">
            <v>51</v>
          </cell>
          <cell r="B59">
            <v>51</v>
          </cell>
          <cell r="C59" t="str">
            <v>MEZA HUAYANAY, Carlos</v>
          </cell>
          <cell r="D59" t="str">
            <v>PERFORISTA 1</v>
          </cell>
          <cell r="E59">
            <v>38761</v>
          </cell>
          <cell r="F59">
            <v>38883</v>
          </cell>
          <cell r="H59" t="str">
            <v>04066885</v>
          </cell>
          <cell r="I59">
            <v>35.700000000000003</v>
          </cell>
          <cell r="J59">
            <v>4.4625000000000004</v>
          </cell>
          <cell r="K59" t="str">
            <v>ONP</v>
          </cell>
          <cell r="L59">
            <v>5</v>
          </cell>
          <cell r="M59">
            <v>1.8</v>
          </cell>
          <cell r="O59">
            <v>4</v>
          </cell>
          <cell r="P59">
            <v>18</v>
          </cell>
          <cell r="Q59">
            <v>178.5</v>
          </cell>
          <cell r="R59">
            <v>64.260000000000005</v>
          </cell>
          <cell r="S59">
            <v>0</v>
          </cell>
          <cell r="T59">
            <v>142.80000000000001</v>
          </cell>
          <cell r="U59">
            <v>100.40625</v>
          </cell>
          <cell r="AB59">
            <v>485.96625</v>
          </cell>
          <cell r="AC59">
            <v>63.1756125</v>
          </cell>
          <cell r="AD59">
            <v>0</v>
          </cell>
          <cell r="AE59">
            <v>0</v>
          </cell>
          <cell r="AF59">
            <v>0</v>
          </cell>
          <cell r="AH59">
            <v>63.1756125</v>
          </cell>
          <cell r="AJ59">
            <v>63.1756125</v>
          </cell>
          <cell r="AL59">
            <v>422.7906375</v>
          </cell>
          <cell r="AN59">
            <v>7</v>
          </cell>
          <cell r="AO59">
            <v>7</v>
          </cell>
          <cell r="AR59">
            <v>415.7906375</v>
          </cell>
          <cell r="AS59">
            <v>43.736962499999997</v>
          </cell>
          <cell r="AU59">
            <v>8.9417790000000004</v>
          </cell>
          <cell r="AV59">
            <v>0</v>
          </cell>
          <cell r="AW59">
            <v>29.238300000000002</v>
          </cell>
          <cell r="AX59">
            <v>14.030100000000001</v>
          </cell>
          <cell r="AY59">
            <v>95.947141500000015</v>
          </cell>
          <cell r="AZ59">
            <v>581.91339149999999</v>
          </cell>
          <cell r="BA59">
            <v>40.480988625000002</v>
          </cell>
          <cell r="BB59">
            <v>28.225595125000002</v>
          </cell>
          <cell r="BC59">
            <v>80.251190249999993</v>
          </cell>
          <cell r="BD59">
            <v>148.957774</v>
          </cell>
          <cell r="BE59">
            <v>730.87116549999996</v>
          </cell>
          <cell r="BF59">
            <v>146.17423309999998</v>
          </cell>
          <cell r="BG59">
            <v>409.45163333333323</v>
          </cell>
        </row>
        <row r="60">
          <cell r="A60">
            <v>52</v>
          </cell>
          <cell r="B60">
            <v>52</v>
          </cell>
          <cell r="C60" t="str">
            <v>MIRANDA ROBLES, Ruben</v>
          </cell>
          <cell r="D60" t="str">
            <v>OPERADOR RAPTOR</v>
          </cell>
          <cell r="E60">
            <v>38857</v>
          </cell>
          <cell r="H60" t="str">
            <v>40117962</v>
          </cell>
          <cell r="I60">
            <v>40.99</v>
          </cell>
          <cell r="J60">
            <v>5.1237500000000002</v>
          </cell>
          <cell r="K60" t="str">
            <v>PROFUTURO</v>
          </cell>
          <cell r="L60">
            <v>16</v>
          </cell>
          <cell r="M60">
            <v>3.2</v>
          </cell>
          <cell r="O60">
            <v>0</v>
          </cell>
          <cell r="P60">
            <v>32</v>
          </cell>
          <cell r="Q60">
            <v>655.84</v>
          </cell>
          <cell r="R60">
            <v>131.16800000000001</v>
          </cell>
          <cell r="S60">
            <v>0</v>
          </cell>
          <cell r="T60">
            <v>0</v>
          </cell>
          <cell r="U60">
            <v>204.95000000000002</v>
          </cell>
          <cell r="AB60">
            <v>991.95800000000008</v>
          </cell>
          <cell r="AC60">
            <v>0</v>
          </cell>
          <cell r="AD60">
            <v>119.03496000000001</v>
          </cell>
          <cell r="AE60">
            <v>10.0187758</v>
          </cell>
          <cell r="AF60">
            <v>19.640768399999999</v>
          </cell>
          <cell r="AH60">
            <v>148.69450420000004</v>
          </cell>
          <cell r="AJ60">
            <v>148.69450420000004</v>
          </cell>
          <cell r="AL60">
            <v>843.2634958000001</v>
          </cell>
          <cell r="AN60">
            <v>140.5</v>
          </cell>
          <cell r="AO60">
            <v>140.5</v>
          </cell>
          <cell r="AR60">
            <v>702.7634958000001</v>
          </cell>
          <cell r="AS60">
            <v>89.276220000000009</v>
          </cell>
          <cell r="AU60">
            <v>18.252027200000001</v>
          </cell>
          <cell r="AV60">
            <v>19.839160000000003</v>
          </cell>
          <cell r="AW60">
            <v>33.570810000000002</v>
          </cell>
          <cell r="AX60">
            <v>16.109070000000003</v>
          </cell>
          <cell r="AY60">
            <v>177.04728720000003</v>
          </cell>
          <cell r="AZ60">
            <v>1169.0052872000001</v>
          </cell>
          <cell r="BA60">
            <v>82.630101400000001</v>
          </cell>
          <cell r="BB60">
            <v>80.33794060000001</v>
          </cell>
          <cell r="BC60">
            <v>160.67588120000002</v>
          </cell>
          <cell r="BD60">
            <v>323.64392320000002</v>
          </cell>
          <cell r="BE60">
            <v>1492.6492104000001</v>
          </cell>
          <cell r="BF60">
            <v>93.290575650000008</v>
          </cell>
          <cell r="BG60">
            <v>227.59350000000001</v>
          </cell>
        </row>
        <row r="61">
          <cell r="A61">
            <v>53</v>
          </cell>
          <cell r="B61">
            <v>53</v>
          </cell>
          <cell r="C61" t="str">
            <v>NOLASCO CRUZ, Daulin</v>
          </cell>
          <cell r="D61" t="str">
            <v>SHOTCRETERO</v>
          </cell>
          <cell r="E61">
            <v>38789</v>
          </cell>
          <cell r="H61" t="str">
            <v>40852666</v>
          </cell>
          <cell r="I61">
            <v>38.35</v>
          </cell>
          <cell r="J61">
            <v>4.7937500000000002</v>
          </cell>
          <cell r="K61" t="str">
            <v>ONP</v>
          </cell>
          <cell r="L61">
            <v>18</v>
          </cell>
          <cell r="M61">
            <v>4.4000000000000004</v>
          </cell>
          <cell r="O61">
            <v>4</v>
          </cell>
          <cell r="P61">
            <v>44</v>
          </cell>
          <cell r="Q61">
            <v>690.30000000000007</v>
          </cell>
          <cell r="R61">
            <v>168.74</v>
          </cell>
          <cell r="S61">
            <v>0</v>
          </cell>
          <cell r="T61">
            <v>153.4</v>
          </cell>
          <cell r="U61">
            <v>263.65625</v>
          </cell>
          <cell r="V61">
            <v>44</v>
          </cell>
          <cell r="AB61">
            <v>1320.0962500000001</v>
          </cell>
          <cell r="AC61">
            <v>171.61251250000001</v>
          </cell>
          <cell r="AD61">
            <v>0</v>
          </cell>
          <cell r="AE61">
            <v>0</v>
          </cell>
          <cell r="AF61">
            <v>0</v>
          </cell>
          <cell r="AH61">
            <v>171.61251250000001</v>
          </cell>
          <cell r="AJ61">
            <v>171.61251250000001</v>
          </cell>
          <cell r="AL61">
            <v>1148.4837375</v>
          </cell>
          <cell r="AN61">
            <v>23.5</v>
          </cell>
          <cell r="AO61">
            <v>23.5</v>
          </cell>
          <cell r="AR61">
            <v>1124.9837375</v>
          </cell>
          <cell r="AS61">
            <v>118.8086625</v>
          </cell>
          <cell r="AU61">
            <v>24.289771000000002</v>
          </cell>
          <cell r="AV61">
            <v>0</v>
          </cell>
          <cell r="AW61">
            <v>31.408650000000002</v>
          </cell>
          <cell r="AX61">
            <v>15.07155</v>
          </cell>
          <cell r="AY61">
            <v>189.5786335</v>
          </cell>
          <cell r="AZ61">
            <v>1509.6748835000001</v>
          </cell>
          <cell r="BA61">
            <v>109.964017625</v>
          </cell>
          <cell r="BB61">
            <v>91.051552791666666</v>
          </cell>
          <cell r="BC61">
            <v>200.33643891666668</v>
          </cell>
          <cell r="BD61">
            <v>401.35200933333334</v>
          </cell>
          <cell r="BE61">
            <v>1911.0268928333335</v>
          </cell>
          <cell r="BF61">
            <v>106.16816071296297</v>
          </cell>
          <cell r="BG61">
            <v>276.84005401033369</v>
          </cell>
        </row>
        <row r="62">
          <cell r="A62">
            <v>54</v>
          </cell>
          <cell r="B62">
            <v>54</v>
          </cell>
          <cell r="C62" t="str">
            <v>OLAZO BLAS, Julio Cesar</v>
          </cell>
          <cell r="D62" t="str">
            <v>AYUDANTE CARGADOR</v>
          </cell>
          <cell r="E62">
            <v>38762</v>
          </cell>
          <cell r="H62" t="str">
            <v>41373086</v>
          </cell>
          <cell r="I62">
            <v>25.12</v>
          </cell>
          <cell r="J62">
            <v>3.14</v>
          </cell>
          <cell r="K62" t="str">
            <v>ONP</v>
          </cell>
          <cell r="L62">
            <v>22</v>
          </cell>
          <cell r="M62">
            <v>5</v>
          </cell>
          <cell r="O62">
            <v>3</v>
          </cell>
          <cell r="P62">
            <v>50</v>
          </cell>
          <cell r="Q62">
            <v>552.64</v>
          </cell>
          <cell r="R62">
            <v>125.60000000000001</v>
          </cell>
          <cell r="S62">
            <v>0</v>
          </cell>
          <cell r="T62">
            <v>75.36</v>
          </cell>
          <cell r="U62">
            <v>196.25</v>
          </cell>
          <cell r="AB62">
            <v>949.85</v>
          </cell>
          <cell r="AC62">
            <v>123.48050000000001</v>
          </cell>
          <cell r="AD62">
            <v>0</v>
          </cell>
          <cell r="AE62">
            <v>0</v>
          </cell>
          <cell r="AF62">
            <v>0</v>
          </cell>
          <cell r="AH62">
            <v>123.48050000000001</v>
          </cell>
          <cell r="AJ62">
            <v>123.48050000000001</v>
          </cell>
          <cell r="AL62">
            <v>826.36950000000002</v>
          </cell>
          <cell r="AO62">
            <v>0</v>
          </cell>
          <cell r="AR62">
            <v>826.36950000000002</v>
          </cell>
          <cell r="AS62">
            <v>85.486499999999992</v>
          </cell>
          <cell r="AU62">
            <v>17.477240000000002</v>
          </cell>
          <cell r="AV62">
            <v>0</v>
          </cell>
          <cell r="AW62">
            <v>20.57328</v>
          </cell>
          <cell r="AX62">
            <v>9.8721600000000009</v>
          </cell>
          <cell r="AY62">
            <v>133.40917999999999</v>
          </cell>
          <cell r="AZ62">
            <v>1083.25918</v>
          </cell>
          <cell r="BA62">
            <v>79.122505000000004</v>
          </cell>
          <cell r="BB62">
            <v>67.637431666666672</v>
          </cell>
          <cell r="BC62">
            <v>147.83486333333335</v>
          </cell>
          <cell r="BD62">
            <v>294.59480000000002</v>
          </cell>
          <cell r="BE62">
            <v>1377.8539800000001</v>
          </cell>
          <cell r="BF62">
            <v>62.629726363636365</v>
          </cell>
          <cell r="BG62">
            <v>249.32215909090905</v>
          </cell>
        </row>
        <row r="63">
          <cell r="A63">
            <v>55</v>
          </cell>
          <cell r="B63">
            <v>55</v>
          </cell>
          <cell r="C63" t="str">
            <v>ORTEGA MAZGO, Martin</v>
          </cell>
          <cell r="D63" t="str">
            <v>PERFORISTA 1</v>
          </cell>
          <cell r="E63">
            <v>38765</v>
          </cell>
          <cell r="H63" t="str">
            <v>04082607</v>
          </cell>
          <cell r="I63">
            <v>35.700000000000003</v>
          </cell>
          <cell r="J63">
            <v>4.4625000000000004</v>
          </cell>
          <cell r="K63" t="str">
            <v>PROFUTURO</v>
          </cell>
          <cell r="L63">
            <v>6</v>
          </cell>
          <cell r="M63">
            <v>1</v>
          </cell>
          <cell r="N63">
            <v>23</v>
          </cell>
          <cell r="P63">
            <v>12</v>
          </cell>
          <cell r="Q63">
            <v>214.20000000000002</v>
          </cell>
          <cell r="R63">
            <v>35.700000000000003</v>
          </cell>
          <cell r="S63">
            <v>821.1</v>
          </cell>
          <cell r="T63">
            <v>0</v>
          </cell>
          <cell r="U63">
            <v>66.9375</v>
          </cell>
          <cell r="V63">
            <v>50</v>
          </cell>
          <cell r="AB63">
            <v>1187.9375</v>
          </cell>
          <cell r="AC63">
            <v>0</v>
          </cell>
          <cell r="AD63">
            <v>142.55249999999998</v>
          </cell>
          <cell r="AE63">
            <v>11.99816875</v>
          </cell>
          <cell r="AF63">
            <v>23.521162499999999</v>
          </cell>
          <cell r="AH63">
            <v>178.07183124999997</v>
          </cell>
          <cell r="AJ63">
            <v>178.07183124999997</v>
          </cell>
          <cell r="AL63">
            <v>1009.8656687500001</v>
          </cell>
          <cell r="AO63">
            <v>0</v>
          </cell>
          <cell r="AR63">
            <v>1009.8656687500001</v>
          </cell>
          <cell r="AS63">
            <v>106.91437499999999</v>
          </cell>
          <cell r="AU63">
            <v>21.858049999999999</v>
          </cell>
          <cell r="AV63">
            <v>23.758749999999999</v>
          </cell>
          <cell r="AW63">
            <v>29.238300000000002</v>
          </cell>
          <cell r="AX63">
            <v>14.030100000000001</v>
          </cell>
          <cell r="AY63">
            <v>195.799575</v>
          </cell>
          <cell r="AZ63">
            <v>1383.737075</v>
          </cell>
          <cell r="BA63">
            <v>98.955193749999992</v>
          </cell>
          <cell r="BB63">
            <v>109.73329791666667</v>
          </cell>
          <cell r="BC63">
            <v>211.1332625</v>
          </cell>
          <cell r="BD63">
            <v>419.82175416666666</v>
          </cell>
          <cell r="BE63">
            <v>1803.5588291666668</v>
          </cell>
          <cell r="BF63">
            <v>300.59313819444446</v>
          </cell>
          <cell r="BG63">
            <v>841.99758597883601</v>
          </cell>
        </row>
        <row r="64">
          <cell r="A64">
            <v>56</v>
          </cell>
          <cell r="B64">
            <v>56</v>
          </cell>
          <cell r="C64" t="str">
            <v>PARRA VARGAS, Cesar</v>
          </cell>
          <cell r="D64" t="str">
            <v>AYUDANTE PERFORISTA</v>
          </cell>
          <cell r="E64">
            <v>38796</v>
          </cell>
          <cell r="H64" t="str">
            <v>04067442</v>
          </cell>
          <cell r="I64">
            <v>25.12</v>
          </cell>
          <cell r="J64">
            <v>3.14</v>
          </cell>
          <cell r="K64" t="str">
            <v>ONP</v>
          </cell>
          <cell r="L64">
            <v>22</v>
          </cell>
          <cell r="M64">
            <v>5</v>
          </cell>
          <cell r="O64">
            <v>3</v>
          </cell>
          <cell r="P64">
            <v>50</v>
          </cell>
          <cell r="Q64">
            <v>552.64</v>
          </cell>
          <cell r="R64">
            <v>125.60000000000001</v>
          </cell>
          <cell r="S64">
            <v>0</v>
          </cell>
          <cell r="T64">
            <v>75.36</v>
          </cell>
          <cell r="U64">
            <v>196.25</v>
          </cell>
          <cell r="V64">
            <v>50</v>
          </cell>
          <cell r="AB64">
            <v>999.85</v>
          </cell>
          <cell r="AC64">
            <v>129.98050000000001</v>
          </cell>
          <cell r="AD64">
            <v>0</v>
          </cell>
          <cell r="AE64">
            <v>0</v>
          </cell>
          <cell r="AF64">
            <v>0</v>
          </cell>
          <cell r="AH64">
            <v>129.98050000000001</v>
          </cell>
          <cell r="AJ64">
            <v>129.98050000000001</v>
          </cell>
          <cell r="AL64">
            <v>869.86950000000002</v>
          </cell>
          <cell r="AN64">
            <v>38.6</v>
          </cell>
          <cell r="AO64">
            <v>38.6</v>
          </cell>
          <cell r="AR64">
            <v>831.26949999999999</v>
          </cell>
          <cell r="AS64">
            <v>89.986499999999992</v>
          </cell>
          <cell r="AU64">
            <v>18.39724</v>
          </cell>
          <cell r="AV64">
            <v>0</v>
          </cell>
          <cell r="AW64">
            <v>20.57328</v>
          </cell>
          <cell r="AX64">
            <v>9.8721600000000009</v>
          </cell>
          <cell r="AY64">
            <v>138.82918000000001</v>
          </cell>
          <cell r="AZ64">
            <v>1138.6791800000001</v>
          </cell>
          <cell r="BA64">
            <v>83.287504999999996</v>
          </cell>
          <cell r="BB64">
            <v>72.255764999999997</v>
          </cell>
          <cell r="BC64">
            <v>148.73819666666668</v>
          </cell>
          <cell r="BD64">
            <v>304.28146666666669</v>
          </cell>
          <cell r="BE64">
            <v>1442.9606466666669</v>
          </cell>
          <cell r="BF64">
            <v>65.589120303030313</v>
          </cell>
          <cell r="BG64">
            <v>261.10318591970668</v>
          </cell>
        </row>
        <row r="65">
          <cell r="A65">
            <v>57</v>
          </cell>
          <cell r="B65">
            <v>57</v>
          </cell>
          <cell r="C65" t="str">
            <v>PARRA VARGAS, Eduardo</v>
          </cell>
          <cell r="D65" t="str">
            <v>PERFORISTA 2</v>
          </cell>
          <cell r="E65">
            <v>38783</v>
          </cell>
          <cell r="H65" t="str">
            <v>04034938</v>
          </cell>
          <cell r="I65">
            <v>35.700000000000003</v>
          </cell>
          <cell r="J65">
            <v>4.4625000000000004</v>
          </cell>
          <cell r="K65" t="str">
            <v>PROFUTURO</v>
          </cell>
          <cell r="L65">
            <v>23</v>
          </cell>
          <cell r="M65">
            <v>5</v>
          </cell>
          <cell r="O65">
            <v>2</v>
          </cell>
          <cell r="P65">
            <v>50</v>
          </cell>
          <cell r="Q65">
            <v>821.1</v>
          </cell>
          <cell r="R65">
            <v>178.5</v>
          </cell>
          <cell r="S65">
            <v>0</v>
          </cell>
          <cell r="T65">
            <v>71.400000000000006</v>
          </cell>
          <cell r="U65">
            <v>278.90625000000006</v>
          </cell>
          <cell r="V65">
            <v>50</v>
          </cell>
          <cell r="AB65">
            <v>1399.90625</v>
          </cell>
          <cell r="AC65">
            <v>0</v>
          </cell>
          <cell r="AD65">
            <v>167.98874999999998</v>
          </cell>
          <cell r="AE65">
            <v>14.139053125</v>
          </cell>
          <cell r="AF65">
            <v>27.718143749999996</v>
          </cell>
          <cell r="AH65">
            <v>209.84594687499998</v>
          </cell>
          <cell r="AJ65">
            <v>209.84594687499998</v>
          </cell>
          <cell r="AL65">
            <v>1190.060303125</v>
          </cell>
          <cell r="AN65">
            <v>20.5</v>
          </cell>
          <cell r="AO65">
            <v>20.5</v>
          </cell>
          <cell r="AR65">
            <v>1169.560303125</v>
          </cell>
          <cell r="AS65">
            <v>125.9915625</v>
          </cell>
          <cell r="AU65">
            <v>25.758275000000001</v>
          </cell>
          <cell r="AV65">
            <v>27.998125000000002</v>
          </cell>
          <cell r="AW65">
            <v>29.238300000000002</v>
          </cell>
          <cell r="AX65">
            <v>14.030100000000001</v>
          </cell>
          <cell r="AY65">
            <v>223.01636250000004</v>
          </cell>
          <cell r="AZ65">
            <v>1622.9226125</v>
          </cell>
          <cell r="BA65">
            <v>116.612190625</v>
          </cell>
          <cell r="BB65">
            <v>106.05136354166666</v>
          </cell>
          <cell r="BC65">
            <v>215.66939375000001</v>
          </cell>
          <cell r="BD65">
            <v>438.33294791666663</v>
          </cell>
          <cell r="BE65">
            <v>2061.2555604166664</v>
          </cell>
          <cell r="BF65">
            <v>89.619806974637669</v>
          </cell>
          <cell r="BG65">
            <v>251.03587387853685</v>
          </cell>
        </row>
        <row r="66">
          <cell r="A66">
            <v>58</v>
          </cell>
          <cell r="B66">
            <v>58</v>
          </cell>
          <cell r="C66" t="str">
            <v>PAULINO VILLOGAS, Leonidas Leonardo</v>
          </cell>
          <cell r="D66" t="str">
            <v>OPERADOR SCOOPTRAMS 2</v>
          </cell>
          <cell r="E66">
            <v>38761</v>
          </cell>
          <cell r="H66" t="str">
            <v>04040951</v>
          </cell>
          <cell r="I66">
            <v>35.700000000000003</v>
          </cell>
          <cell r="J66">
            <v>4.4625000000000004</v>
          </cell>
          <cell r="K66" t="str">
            <v>UNION</v>
          </cell>
          <cell r="L66">
            <v>19</v>
          </cell>
          <cell r="M66">
            <v>5</v>
          </cell>
          <cell r="O66">
            <v>6</v>
          </cell>
          <cell r="P66">
            <v>50</v>
          </cell>
          <cell r="Q66">
            <v>678.30000000000007</v>
          </cell>
          <cell r="R66">
            <v>178.5</v>
          </cell>
          <cell r="S66">
            <v>0</v>
          </cell>
          <cell r="T66">
            <v>214.20000000000002</v>
          </cell>
          <cell r="U66">
            <v>278.90625000000006</v>
          </cell>
          <cell r="V66">
            <v>50</v>
          </cell>
          <cell r="AB66">
            <v>1399.90625</v>
          </cell>
          <cell r="AC66">
            <v>0</v>
          </cell>
          <cell r="AD66">
            <v>167.98874999999998</v>
          </cell>
          <cell r="AE66">
            <v>12.599156250000002</v>
          </cell>
          <cell r="AF66">
            <v>27.158181250000002</v>
          </cell>
          <cell r="AH66">
            <v>207.74608749999999</v>
          </cell>
          <cell r="AJ66">
            <v>207.74608749999999</v>
          </cell>
          <cell r="AL66">
            <v>1192.1601625000001</v>
          </cell>
          <cell r="AN66">
            <v>5</v>
          </cell>
          <cell r="AO66">
            <v>5</v>
          </cell>
          <cell r="AR66">
            <v>1187.1601625000001</v>
          </cell>
          <cell r="AS66">
            <v>125.9915625</v>
          </cell>
          <cell r="AU66">
            <v>25.758275000000001</v>
          </cell>
          <cell r="AV66">
            <v>27.998125000000002</v>
          </cell>
          <cell r="AW66">
            <v>29.238300000000002</v>
          </cell>
          <cell r="AX66">
            <v>14.030100000000001</v>
          </cell>
          <cell r="AY66">
            <v>223.01636250000004</v>
          </cell>
          <cell r="AZ66">
            <v>1622.9226125</v>
          </cell>
          <cell r="BA66">
            <v>116.612190625</v>
          </cell>
          <cell r="BB66">
            <v>94.151363541666683</v>
          </cell>
          <cell r="BC66">
            <v>215.66939375000001</v>
          </cell>
          <cell r="BD66">
            <v>426.43294791666665</v>
          </cell>
          <cell r="BE66">
            <v>2049.3555604166668</v>
          </cell>
          <cell r="BF66">
            <v>107.86081896929825</v>
          </cell>
          <cell r="BG66">
            <v>302.13114557226402</v>
          </cell>
        </row>
        <row r="67">
          <cell r="A67">
            <v>59</v>
          </cell>
          <cell r="B67">
            <v>59</v>
          </cell>
          <cell r="C67" t="str">
            <v>PECHO VASQUEZ, Diego</v>
          </cell>
          <cell r="D67" t="str">
            <v>AYUDANTE PERFORISTA</v>
          </cell>
          <cell r="E67">
            <v>38796</v>
          </cell>
          <cell r="H67" t="str">
            <v>42781237</v>
          </cell>
          <cell r="I67">
            <v>25.12</v>
          </cell>
          <cell r="J67">
            <v>3.14</v>
          </cell>
          <cell r="K67" t="str">
            <v>ONP</v>
          </cell>
          <cell r="L67">
            <v>22</v>
          </cell>
          <cell r="M67">
            <v>5</v>
          </cell>
          <cell r="O67">
            <v>3</v>
          </cell>
          <cell r="P67">
            <v>50</v>
          </cell>
          <cell r="Q67">
            <v>552.64</v>
          </cell>
          <cell r="R67">
            <v>125.60000000000001</v>
          </cell>
          <cell r="S67">
            <v>0</v>
          </cell>
          <cell r="T67">
            <v>75.36</v>
          </cell>
          <cell r="U67">
            <v>196.25</v>
          </cell>
          <cell r="V67">
            <v>50</v>
          </cell>
          <cell r="AB67">
            <v>999.85</v>
          </cell>
          <cell r="AC67">
            <v>129.98050000000001</v>
          </cell>
          <cell r="AD67">
            <v>0</v>
          </cell>
          <cell r="AE67">
            <v>0</v>
          </cell>
          <cell r="AF67">
            <v>0</v>
          </cell>
          <cell r="AH67">
            <v>129.98050000000001</v>
          </cell>
          <cell r="AJ67">
            <v>129.98050000000001</v>
          </cell>
          <cell r="AL67">
            <v>869.86950000000002</v>
          </cell>
          <cell r="AO67">
            <v>0</v>
          </cell>
          <cell r="AR67">
            <v>869.86950000000002</v>
          </cell>
          <cell r="AS67">
            <v>89.986499999999992</v>
          </cell>
          <cell r="AU67">
            <v>18.39724</v>
          </cell>
          <cell r="AV67">
            <v>0</v>
          </cell>
          <cell r="AW67">
            <v>20.57328</v>
          </cell>
          <cell r="AX67">
            <v>9.8721600000000009</v>
          </cell>
          <cell r="AY67">
            <v>138.82918000000001</v>
          </cell>
          <cell r="AZ67">
            <v>1138.6791800000001</v>
          </cell>
          <cell r="BA67">
            <v>83.287504999999996</v>
          </cell>
          <cell r="BB67">
            <v>72.255764999999997</v>
          </cell>
          <cell r="BC67">
            <v>148.73819666666668</v>
          </cell>
          <cell r="BD67">
            <v>304.28146666666669</v>
          </cell>
          <cell r="BE67">
            <v>1442.9606466666669</v>
          </cell>
          <cell r="BF67">
            <v>65.589120303030313</v>
          </cell>
          <cell r="BG67">
            <v>261.10318591970668</v>
          </cell>
        </row>
        <row r="68">
          <cell r="A68">
            <v>60</v>
          </cell>
          <cell r="B68">
            <v>60</v>
          </cell>
          <cell r="C68" t="str">
            <v>PEÑA BALDEON, Julio Jose</v>
          </cell>
          <cell r="D68" t="str">
            <v>MAESTRO  SHOTCRETERO</v>
          </cell>
          <cell r="E68">
            <v>38763</v>
          </cell>
          <cell r="H68" t="str">
            <v>10508831</v>
          </cell>
          <cell r="I68">
            <v>38.35</v>
          </cell>
          <cell r="J68">
            <v>4.7937500000000002</v>
          </cell>
          <cell r="K68" t="str">
            <v>UNION</v>
          </cell>
          <cell r="L68">
            <v>18</v>
          </cell>
          <cell r="M68">
            <v>4.2</v>
          </cell>
          <cell r="O68">
            <v>3</v>
          </cell>
          <cell r="P68">
            <v>42</v>
          </cell>
          <cell r="Q68">
            <v>690.30000000000007</v>
          </cell>
          <cell r="R68">
            <v>161.07000000000002</v>
          </cell>
          <cell r="S68">
            <v>0</v>
          </cell>
          <cell r="T68">
            <v>115.05000000000001</v>
          </cell>
          <cell r="U68">
            <v>251.671875</v>
          </cell>
          <cell r="V68">
            <v>42</v>
          </cell>
          <cell r="AB68">
            <v>1260.0918750000001</v>
          </cell>
          <cell r="AC68">
            <v>0</v>
          </cell>
          <cell r="AD68">
            <v>151.21102500000001</v>
          </cell>
          <cell r="AE68">
            <v>11.340826875000001</v>
          </cell>
          <cell r="AF68">
            <v>24.445782375000004</v>
          </cell>
          <cell r="AH68">
            <v>186.99763425</v>
          </cell>
          <cell r="AJ68">
            <v>186.99763425</v>
          </cell>
          <cell r="AL68">
            <v>1073.0942407500002</v>
          </cell>
          <cell r="AN68">
            <v>7</v>
          </cell>
          <cell r="AO68">
            <v>7</v>
          </cell>
          <cell r="AR68">
            <v>1066.0942407500002</v>
          </cell>
          <cell r="AS68">
            <v>113.40826875</v>
          </cell>
          <cell r="AU68">
            <v>23.1856905</v>
          </cell>
          <cell r="AV68">
            <v>25.201837500000003</v>
          </cell>
          <cell r="AW68">
            <v>31.408650000000002</v>
          </cell>
          <cell r="AX68">
            <v>15.07155</v>
          </cell>
          <cell r="AY68">
            <v>208.27599675000002</v>
          </cell>
          <cell r="AZ68">
            <v>1468.3678717500002</v>
          </cell>
          <cell r="BA68">
            <v>104.96565318750001</v>
          </cell>
          <cell r="BB68">
            <v>91.803833062500019</v>
          </cell>
          <cell r="BC68">
            <v>195.78266612500002</v>
          </cell>
          <cell r="BD68">
            <v>392.55215237500005</v>
          </cell>
          <cell r="BE68">
            <v>1860.9200241250003</v>
          </cell>
          <cell r="BF68">
            <v>103.38444578472223</v>
          </cell>
          <cell r="BG68">
            <v>269.5813449406055</v>
          </cell>
        </row>
        <row r="69">
          <cell r="A69">
            <v>61</v>
          </cell>
          <cell r="B69">
            <v>61</v>
          </cell>
          <cell r="C69" t="str">
            <v>PUENTE HUARICAPCHA, Carlos</v>
          </cell>
          <cell r="D69" t="str">
            <v>AYUDANTE SHOTCRETERO</v>
          </cell>
          <cell r="E69">
            <v>38797</v>
          </cell>
          <cell r="H69" t="str">
            <v>04068769</v>
          </cell>
          <cell r="I69">
            <v>25.12</v>
          </cell>
          <cell r="J69">
            <v>3.14</v>
          </cell>
          <cell r="K69" t="str">
            <v>PROFUTURO</v>
          </cell>
          <cell r="L69">
            <v>21</v>
          </cell>
          <cell r="M69">
            <v>5</v>
          </cell>
          <cell r="O69">
            <v>4</v>
          </cell>
          <cell r="P69">
            <v>50</v>
          </cell>
          <cell r="Q69">
            <v>527.52</v>
          </cell>
          <cell r="R69">
            <v>125.60000000000001</v>
          </cell>
          <cell r="S69">
            <v>0</v>
          </cell>
          <cell r="T69">
            <v>100.48</v>
          </cell>
          <cell r="U69">
            <v>196.25</v>
          </cell>
          <cell r="V69">
            <v>50</v>
          </cell>
          <cell r="AB69">
            <v>999.85</v>
          </cell>
          <cell r="AC69">
            <v>0</v>
          </cell>
          <cell r="AD69">
            <v>119.982</v>
          </cell>
          <cell r="AE69">
            <v>10.098485</v>
          </cell>
          <cell r="AF69">
            <v>19.797029999999999</v>
          </cell>
          <cell r="AH69">
            <v>149.87751500000002</v>
          </cell>
          <cell r="AJ69">
            <v>149.87751500000002</v>
          </cell>
          <cell r="AL69">
            <v>849.97248500000001</v>
          </cell>
          <cell r="AO69">
            <v>0</v>
          </cell>
          <cell r="AR69">
            <v>849.97248500000001</v>
          </cell>
          <cell r="AS69">
            <v>89.986499999999992</v>
          </cell>
          <cell r="AU69">
            <v>18.39724</v>
          </cell>
          <cell r="AV69">
            <v>19.997</v>
          </cell>
          <cell r="AW69">
            <v>20.57328</v>
          </cell>
          <cell r="AX69">
            <v>9.8721600000000009</v>
          </cell>
          <cell r="AY69">
            <v>158.82618000000002</v>
          </cell>
          <cell r="AZ69">
            <v>1158.6761799999999</v>
          </cell>
          <cell r="BA69">
            <v>83.287504999999996</v>
          </cell>
          <cell r="BB69">
            <v>71.82884833333334</v>
          </cell>
          <cell r="BC69">
            <v>152.07103000000001</v>
          </cell>
          <cell r="BD69">
            <v>307.18738333333334</v>
          </cell>
          <cell r="BE69">
            <v>1465.8635633333333</v>
          </cell>
          <cell r="BF69">
            <v>69.803026825396827</v>
          </cell>
          <cell r="BG69">
            <v>277.87829150237593</v>
          </cell>
        </row>
        <row r="70">
          <cell r="A70">
            <v>62</v>
          </cell>
          <cell r="B70">
            <v>62</v>
          </cell>
          <cell r="C70" t="str">
            <v>QUISPE ALVAREZ, Edgar</v>
          </cell>
          <cell r="D70" t="str">
            <v>OPERADOR DE RAPTOR</v>
          </cell>
          <cell r="E70">
            <v>38804</v>
          </cell>
          <cell r="H70" t="str">
            <v>04074113</v>
          </cell>
          <cell r="I70">
            <v>40.99</v>
          </cell>
          <cell r="J70">
            <v>5.1237500000000002</v>
          </cell>
          <cell r="K70" t="str">
            <v>UNION</v>
          </cell>
          <cell r="L70">
            <v>20</v>
          </cell>
          <cell r="M70">
            <v>4.4000000000000004</v>
          </cell>
          <cell r="O70">
            <v>2</v>
          </cell>
          <cell r="P70">
            <v>44</v>
          </cell>
          <cell r="Q70">
            <v>819.80000000000007</v>
          </cell>
          <cell r="R70">
            <v>180.35600000000002</v>
          </cell>
          <cell r="S70">
            <v>0</v>
          </cell>
          <cell r="T70">
            <v>81.98</v>
          </cell>
          <cell r="U70">
            <v>281.80625000000003</v>
          </cell>
          <cell r="V70">
            <v>44</v>
          </cell>
          <cell r="AB70">
            <v>1407.9422500000001</v>
          </cell>
          <cell r="AC70">
            <v>0</v>
          </cell>
          <cell r="AD70">
            <v>168.95307</v>
          </cell>
          <cell r="AE70">
            <v>12.671480250000002</v>
          </cell>
          <cell r="AF70">
            <v>27.314079650000004</v>
          </cell>
          <cell r="AH70">
            <v>208.9386299</v>
          </cell>
          <cell r="AJ70">
            <v>208.9386299</v>
          </cell>
          <cell r="AL70">
            <v>1199.0036201</v>
          </cell>
          <cell r="AN70">
            <v>36</v>
          </cell>
          <cell r="AO70">
            <v>36</v>
          </cell>
          <cell r="AR70">
            <v>1163.0036201</v>
          </cell>
          <cell r="AS70">
            <v>126.7148025</v>
          </cell>
          <cell r="AU70">
            <v>25.906137400000002</v>
          </cell>
          <cell r="AV70">
            <v>28.158845000000003</v>
          </cell>
          <cell r="AW70">
            <v>33.570810000000002</v>
          </cell>
          <cell r="AX70">
            <v>16.109070000000003</v>
          </cell>
          <cell r="AY70">
            <v>230.45966490000001</v>
          </cell>
          <cell r="AZ70">
            <v>1638.4019149000001</v>
          </cell>
          <cell r="BA70">
            <v>117.28158942500001</v>
          </cell>
          <cell r="BB70">
            <v>106.21797207499999</v>
          </cell>
          <cell r="BC70">
            <v>218.76594415</v>
          </cell>
          <cell r="BD70">
            <v>442.26550565000002</v>
          </cell>
          <cell r="BE70">
            <v>2080.6674205500003</v>
          </cell>
          <cell r="BF70">
            <v>104.03337102750001</v>
          </cell>
          <cell r="BG70">
            <v>253.80183222127349</v>
          </cell>
        </row>
        <row r="71">
          <cell r="A71">
            <v>63</v>
          </cell>
          <cell r="B71">
            <v>63</v>
          </cell>
          <cell r="C71" t="str">
            <v>RAMOS DAGA, Oscar Javier</v>
          </cell>
          <cell r="D71" t="str">
            <v>CARGADOR  DISPARADOR 2</v>
          </cell>
          <cell r="E71">
            <v>38756</v>
          </cell>
          <cell r="H71" t="str">
            <v>04041185</v>
          </cell>
          <cell r="I71">
            <v>35.700000000000003</v>
          </cell>
          <cell r="J71">
            <v>4.4625000000000004</v>
          </cell>
          <cell r="K71" t="str">
            <v>UNION</v>
          </cell>
          <cell r="L71">
            <v>15</v>
          </cell>
          <cell r="M71">
            <v>3.6</v>
          </cell>
          <cell r="O71">
            <v>3</v>
          </cell>
          <cell r="P71">
            <v>36</v>
          </cell>
          <cell r="Q71">
            <v>535.5</v>
          </cell>
          <cell r="R71">
            <v>128.52000000000001</v>
          </cell>
          <cell r="S71">
            <v>0</v>
          </cell>
          <cell r="T71">
            <v>107.10000000000001</v>
          </cell>
          <cell r="U71">
            <v>200.8125</v>
          </cell>
          <cell r="V71">
            <v>36.000000000000007</v>
          </cell>
          <cell r="AB71">
            <v>1007.9325</v>
          </cell>
          <cell r="AC71">
            <v>0</v>
          </cell>
          <cell r="AD71">
            <v>120.95189999999999</v>
          </cell>
          <cell r="AE71">
            <v>9.0713925000000017</v>
          </cell>
          <cell r="AF71">
            <v>19.553890500000001</v>
          </cell>
          <cell r="AH71">
            <v>149.57718299999999</v>
          </cell>
          <cell r="AJ71">
            <v>149.57718299999999</v>
          </cell>
          <cell r="AL71">
            <v>858.35531700000001</v>
          </cell>
          <cell r="AN71">
            <v>61.5</v>
          </cell>
          <cell r="AO71">
            <v>61.5</v>
          </cell>
          <cell r="AR71">
            <v>796.85531700000001</v>
          </cell>
          <cell r="AS71">
            <v>90.713925000000003</v>
          </cell>
          <cell r="AU71">
            <v>18.545957999999999</v>
          </cell>
          <cell r="AV71">
            <v>20.158650000000002</v>
          </cell>
          <cell r="AW71">
            <v>29.238300000000002</v>
          </cell>
          <cell r="AX71">
            <v>14.030100000000001</v>
          </cell>
          <cell r="AY71">
            <v>172.68693300000001</v>
          </cell>
          <cell r="AZ71">
            <v>1180.6194330000001</v>
          </cell>
          <cell r="BA71">
            <v>83.960777249999992</v>
          </cell>
          <cell r="BB71">
            <v>72.725577749999999</v>
          </cell>
          <cell r="BC71">
            <v>157.30115550000002</v>
          </cell>
          <cell r="BD71">
            <v>313.98751049999998</v>
          </cell>
          <cell r="BE71">
            <v>1494.6069434999999</v>
          </cell>
          <cell r="BF71">
            <v>99.640462900000003</v>
          </cell>
          <cell r="BG71">
            <v>279.10493809523808</v>
          </cell>
        </row>
        <row r="72">
          <cell r="A72">
            <v>64</v>
          </cell>
          <cell r="B72">
            <v>64</v>
          </cell>
          <cell r="C72" t="str">
            <v>RAYMUNDO ARANA, Roberto</v>
          </cell>
          <cell r="D72" t="str">
            <v>AYUDANTE PERFORISTA</v>
          </cell>
          <cell r="E72">
            <v>38885</v>
          </cell>
          <cell r="F72" t="str">
            <v>Nuevo</v>
          </cell>
          <cell r="H72" t="str">
            <v>20108044</v>
          </cell>
          <cell r="I72">
            <v>25.12</v>
          </cell>
          <cell r="J72">
            <v>3.14</v>
          </cell>
          <cell r="K72" t="str">
            <v>ONP</v>
          </cell>
          <cell r="L72">
            <v>11</v>
          </cell>
          <cell r="M72">
            <v>2.2000000000000002</v>
          </cell>
          <cell r="P72">
            <v>22</v>
          </cell>
          <cell r="Q72">
            <v>276.32</v>
          </cell>
          <cell r="R72">
            <v>55.26400000000001</v>
          </cell>
          <cell r="S72">
            <v>0</v>
          </cell>
          <cell r="T72">
            <v>0</v>
          </cell>
          <cell r="U72">
            <v>86.35</v>
          </cell>
          <cell r="AB72">
            <v>417.93399999999997</v>
          </cell>
          <cell r="AC72">
            <v>54.331420000000001</v>
          </cell>
          <cell r="AD72">
            <v>0</v>
          </cell>
          <cell r="AE72">
            <v>0</v>
          </cell>
          <cell r="AF72">
            <v>0</v>
          </cell>
          <cell r="AH72">
            <v>54.331420000000001</v>
          </cell>
          <cell r="AJ72">
            <v>54.331420000000001</v>
          </cell>
          <cell r="AL72">
            <v>363.60257999999999</v>
          </cell>
          <cell r="AO72">
            <v>0</v>
          </cell>
          <cell r="AR72">
            <v>363.60257999999999</v>
          </cell>
          <cell r="AS72">
            <v>37.614059999999995</v>
          </cell>
          <cell r="AU72">
            <v>7.6899855999999991</v>
          </cell>
          <cell r="AV72">
            <v>0</v>
          </cell>
          <cell r="AW72">
            <v>20.57328</v>
          </cell>
          <cell r="AX72">
            <v>9.8721600000000009</v>
          </cell>
          <cell r="AY72">
            <v>75.749485599999986</v>
          </cell>
          <cell r="AZ72">
            <v>493.68348559999993</v>
          </cell>
          <cell r="BA72">
            <v>34.813902199999994</v>
          </cell>
          <cell r="BB72">
            <v>33.944457133333337</v>
          </cell>
          <cell r="BC72">
            <v>67.888914266666674</v>
          </cell>
          <cell r="BD72">
            <v>136.64727360000001</v>
          </cell>
          <cell r="BE72">
            <v>630.33075919999987</v>
          </cell>
          <cell r="BF72">
            <v>57.302796290909079</v>
          </cell>
          <cell r="BG72">
            <v>228.1162272727272</v>
          </cell>
        </row>
        <row r="73">
          <cell r="A73">
            <v>65</v>
          </cell>
          <cell r="B73">
            <v>65</v>
          </cell>
          <cell r="C73" t="str">
            <v>REYES PAREDES, Isidro</v>
          </cell>
          <cell r="D73" t="str">
            <v>PERFORISTA 1</v>
          </cell>
          <cell r="E73">
            <v>38757</v>
          </cell>
          <cell r="H73" t="str">
            <v>80049876</v>
          </cell>
          <cell r="I73">
            <v>35.700000000000003</v>
          </cell>
          <cell r="J73">
            <v>4.4625000000000004</v>
          </cell>
          <cell r="K73" t="str">
            <v>PROFUTURO</v>
          </cell>
          <cell r="L73">
            <v>21</v>
          </cell>
          <cell r="M73">
            <v>5</v>
          </cell>
          <cell r="O73">
            <v>4</v>
          </cell>
          <cell r="P73">
            <v>50</v>
          </cell>
          <cell r="Q73">
            <v>749.7</v>
          </cell>
          <cell r="R73">
            <v>178.5</v>
          </cell>
          <cell r="S73">
            <v>0</v>
          </cell>
          <cell r="T73">
            <v>142.80000000000001</v>
          </cell>
          <cell r="U73">
            <v>278.90625000000006</v>
          </cell>
          <cell r="V73">
            <v>50</v>
          </cell>
          <cell r="AB73">
            <v>1399.90625</v>
          </cell>
          <cell r="AC73">
            <v>0</v>
          </cell>
          <cell r="AD73">
            <v>167.98874999999998</v>
          </cell>
          <cell r="AE73">
            <v>14.139053125</v>
          </cell>
          <cell r="AF73">
            <v>27.718143749999996</v>
          </cell>
          <cell r="AH73">
            <v>209.84594687499998</v>
          </cell>
          <cell r="AJ73">
            <v>209.84594687499998</v>
          </cell>
          <cell r="AL73">
            <v>1190.060303125</v>
          </cell>
          <cell r="AO73">
            <v>0</v>
          </cell>
          <cell r="AR73">
            <v>1190.060303125</v>
          </cell>
          <cell r="AS73">
            <v>125.9915625</v>
          </cell>
          <cell r="AU73">
            <v>25.758275000000001</v>
          </cell>
          <cell r="AV73">
            <v>27.998125000000002</v>
          </cell>
          <cell r="AW73">
            <v>29.238300000000002</v>
          </cell>
          <cell r="AX73">
            <v>14.030100000000001</v>
          </cell>
          <cell r="AY73">
            <v>223.01636250000004</v>
          </cell>
          <cell r="AZ73">
            <v>1622.9226125</v>
          </cell>
          <cell r="BA73">
            <v>116.612190625</v>
          </cell>
          <cell r="BB73">
            <v>100.10136354166667</v>
          </cell>
          <cell r="BC73">
            <v>215.66939375000001</v>
          </cell>
          <cell r="BD73">
            <v>432.38294791666669</v>
          </cell>
          <cell r="BE73">
            <v>2055.3055604166666</v>
          </cell>
          <cell r="BF73">
            <v>97.871693353174607</v>
          </cell>
          <cell r="BG73">
            <v>274.15040154950867</v>
          </cell>
        </row>
        <row r="74">
          <cell r="A74">
            <v>66</v>
          </cell>
          <cell r="B74">
            <v>66</v>
          </cell>
          <cell r="C74" t="str">
            <v>ROJAS MARTEL, Percy</v>
          </cell>
          <cell r="D74" t="str">
            <v>AYUDANTE SHOTCRETERO</v>
          </cell>
          <cell r="E74">
            <v>38777</v>
          </cell>
          <cell r="H74" t="str">
            <v>42163439</v>
          </cell>
          <cell r="I74">
            <v>25.12</v>
          </cell>
          <cell r="J74">
            <v>3.14</v>
          </cell>
          <cell r="K74" t="str">
            <v>INTEGRA</v>
          </cell>
          <cell r="L74">
            <v>22</v>
          </cell>
          <cell r="M74">
            <v>4.6000000000000005</v>
          </cell>
          <cell r="O74">
            <v>1</v>
          </cell>
          <cell r="P74">
            <v>46</v>
          </cell>
          <cell r="Q74">
            <v>552.64</v>
          </cell>
          <cell r="R74">
            <v>115.55200000000002</v>
          </cell>
          <cell r="S74">
            <v>0</v>
          </cell>
          <cell r="T74">
            <v>25.12</v>
          </cell>
          <cell r="U74">
            <v>180.55</v>
          </cell>
          <cell r="V74">
            <v>46.000000000000007</v>
          </cell>
          <cell r="AB74">
            <v>919.86200000000008</v>
          </cell>
          <cell r="AC74">
            <v>0</v>
          </cell>
          <cell r="AD74">
            <v>110.38344000000001</v>
          </cell>
          <cell r="AE74">
            <v>8.0947856000000016</v>
          </cell>
          <cell r="AF74">
            <v>16.557516000000003</v>
          </cell>
          <cell r="AH74">
            <v>135.03574159999999</v>
          </cell>
          <cell r="AJ74">
            <v>135.03574159999999</v>
          </cell>
          <cell r="AL74">
            <v>784.82625840000014</v>
          </cell>
          <cell r="AN74">
            <v>2.5</v>
          </cell>
          <cell r="AO74">
            <v>2.5</v>
          </cell>
          <cell r="AR74">
            <v>782.32625840000014</v>
          </cell>
          <cell r="AS74">
            <v>82.787580000000005</v>
          </cell>
          <cell r="AU74">
            <v>16.9254608</v>
          </cell>
          <cell r="AV74">
            <v>18.397240000000004</v>
          </cell>
          <cell r="AW74">
            <v>20.57328</v>
          </cell>
          <cell r="AX74">
            <v>9.8721600000000009</v>
          </cell>
          <cell r="AY74">
            <v>148.55572080000002</v>
          </cell>
          <cell r="AZ74">
            <v>1068.4177208000001</v>
          </cell>
          <cell r="BA74">
            <v>76.624504600000009</v>
          </cell>
          <cell r="BB74">
            <v>71.895643399999997</v>
          </cell>
          <cell r="BC74">
            <v>140.3112868</v>
          </cell>
          <cell r="BD74">
            <v>288.83143480000001</v>
          </cell>
          <cell r="BE74">
            <v>1357.2491556</v>
          </cell>
          <cell r="BF74">
            <v>61.693143436363634</v>
          </cell>
          <cell r="BG74">
            <v>245.59372387087436</v>
          </cell>
        </row>
        <row r="75">
          <cell r="A75">
            <v>67</v>
          </cell>
          <cell r="B75">
            <v>67</v>
          </cell>
          <cell r="C75" t="str">
            <v>ROMAN CRISTOBAL,Moises</v>
          </cell>
          <cell r="D75" t="str">
            <v>AYUDANTE SHOTCRETERO</v>
          </cell>
          <cell r="E75">
            <v>38881</v>
          </cell>
          <cell r="F75" t="str">
            <v>Nuevo</v>
          </cell>
          <cell r="H75" t="str">
            <v>41005939</v>
          </cell>
          <cell r="I75">
            <v>25.12</v>
          </cell>
          <cell r="J75">
            <v>3.14</v>
          </cell>
          <cell r="K75" t="str">
            <v>ONP</v>
          </cell>
          <cell r="L75">
            <v>15</v>
          </cell>
          <cell r="M75">
            <v>3</v>
          </cell>
          <cell r="P75">
            <v>30</v>
          </cell>
          <cell r="Q75">
            <v>376.8</v>
          </cell>
          <cell r="R75">
            <v>75.36</v>
          </cell>
          <cell r="S75">
            <v>0</v>
          </cell>
          <cell r="T75">
            <v>0</v>
          </cell>
          <cell r="U75">
            <v>117.75</v>
          </cell>
          <cell r="AB75">
            <v>569.91000000000008</v>
          </cell>
          <cell r="AC75">
            <v>74.088300000000018</v>
          </cell>
          <cell r="AD75">
            <v>0</v>
          </cell>
          <cell r="AE75">
            <v>0</v>
          </cell>
          <cell r="AF75">
            <v>0</v>
          </cell>
          <cell r="AH75">
            <v>74.088300000000018</v>
          </cell>
          <cell r="AJ75">
            <v>74.088300000000018</v>
          </cell>
          <cell r="AL75">
            <v>495.82170000000008</v>
          </cell>
          <cell r="AN75">
            <v>133.5</v>
          </cell>
          <cell r="AO75">
            <v>133.5</v>
          </cell>
          <cell r="AR75">
            <v>362.32170000000008</v>
          </cell>
          <cell r="AS75">
            <v>51.291900000000005</v>
          </cell>
          <cell r="AU75">
            <v>10.486344000000001</v>
          </cell>
          <cell r="AV75">
            <v>0</v>
          </cell>
          <cell r="AW75">
            <v>20.57328</v>
          </cell>
          <cell r="AX75">
            <v>9.8721600000000009</v>
          </cell>
          <cell r="AY75">
            <v>92.22368400000002</v>
          </cell>
          <cell r="AZ75">
            <v>662.13368400000013</v>
          </cell>
          <cell r="BA75">
            <v>47.473503000000008</v>
          </cell>
          <cell r="BB75">
            <v>45.365307000000001</v>
          </cell>
          <cell r="BC75">
            <v>90.730614000000003</v>
          </cell>
          <cell r="BD75">
            <v>183.56942400000003</v>
          </cell>
          <cell r="BE75">
            <v>845.70310800000016</v>
          </cell>
          <cell r="BF75">
            <v>56.380207200000008</v>
          </cell>
          <cell r="BG75">
            <v>224.44350000000003</v>
          </cell>
        </row>
        <row r="76">
          <cell r="A76">
            <v>68</v>
          </cell>
          <cell r="B76">
            <v>68</v>
          </cell>
          <cell r="C76" t="str">
            <v>ROMERO ECHEVARRIA, Miguel Angel</v>
          </cell>
          <cell r="D76" t="str">
            <v>CARGADOR/DISPARADOR 1</v>
          </cell>
          <cell r="E76">
            <v>38761</v>
          </cell>
          <cell r="H76" t="str">
            <v>09666053</v>
          </cell>
          <cell r="I76">
            <v>35.700000000000003</v>
          </cell>
          <cell r="J76">
            <v>4.4625000000000004</v>
          </cell>
          <cell r="K76" t="str">
            <v>INTEGRA</v>
          </cell>
          <cell r="L76">
            <v>22</v>
          </cell>
          <cell r="M76">
            <v>4.6000000000000005</v>
          </cell>
          <cell r="O76">
            <v>1</v>
          </cell>
          <cell r="P76">
            <v>46</v>
          </cell>
          <cell r="Q76">
            <v>785.40000000000009</v>
          </cell>
          <cell r="R76">
            <v>164.22000000000003</v>
          </cell>
          <cell r="S76">
            <v>0</v>
          </cell>
          <cell r="T76">
            <v>35.700000000000003</v>
          </cell>
          <cell r="U76">
            <v>256.59375</v>
          </cell>
          <cell r="V76">
            <v>46.000000000000007</v>
          </cell>
          <cell r="AB76">
            <v>1287.9137500000002</v>
          </cell>
          <cell r="AC76">
            <v>0</v>
          </cell>
          <cell r="AD76">
            <v>154.54965000000001</v>
          </cell>
          <cell r="AE76">
            <v>11.333641000000002</v>
          </cell>
          <cell r="AF76">
            <v>23.182447500000006</v>
          </cell>
          <cell r="AH76">
            <v>189.06573850000001</v>
          </cell>
          <cell r="AJ76">
            <v>189.06573850000001</v>
          </cell>
          <cell r="AL76">
            <v>1098.8480115000002</v>
          </cell>
          <cell r="AO76">
            <v>0</v>
          </cell>
          <cell r="AR76">
            <v>1098.8480115000002</v>
          </cell>
          <cell r="AS76">
            <v>115.9122375</v>
          </cell>
          <cell r="AU76">
            <v>23.697613000000004</v>
          </cell>
          <cell r="AV76">
            <v>25.758275000000005</v>
          </cell>
          <cell r="AW76">
            <v>29.238300000000002</v>
          </cell>
          <cell r="AX76">
            <v>14.030100000000001</v>
          </cell>
          <cell r="AY76">
            <v>208.6365255</v>
          </cell>
          <cell r="AZ76">
            <v>1496.5502755000002</v>
          </cell>
          <cell r="BA76">
            <v>107.28321537500001</v>
          </cell>
          <cell r="BB76">
            <v>100.35471045833334</v>
          </cell>
          <cell r="BC76">
            <v>198.99275425000005</v>
          </cell>
          <cell r="BD76">
            <v>406.6306800833334</v>
          </cell>
          <cell r="BE76">
            <v>1903.1809555833336</v>
          </cell>
          <cell r="BF76">
            <v>86.508225253787884</v>
          </cell>
          <cell r="BG76">
            <v>242.31995869408368</v>
          </cell>
        </row>
        <row r="77">
          <cell r="A77">
            <v>69</v>
          </cell>
          <cell r="B77">
            <v>69</v>
          </cell>
          <cell r="C77" t="str">
            <v>ROSAS SALAS, Reynaldo Ruben</v>
          </cell>
          <cell r="D77" t="str">
            <v>OPERADOR SCOOPTRAMS 2</v>
          </cell>
          <cell r="E77">
            <v>38765</v>
          </cell>
          <cell r="H77" t="str">
            <v>04041600</v>
          </cell>
          <cell r="I77">
            <v>35.700000000000003</v>
          </cell>
          <cell r="J77">
            <v>4.4625000000000004</v>
          </cell>
          <cell r="K77" t="str">
            <v>PROFUTURO</v>
          </cell>
          <cell r="L77">
            <v>22</v>
          </cell>
          <cell r="M77">
            <v>5</v>
          </cell>
          <cell r="O77">
            <v>3</v>
          </cell>
          <cell r="P77">
            <v>50</v>
          </cell>
          <cell r="Q77">
            <v>785.40000000000009</v>
          </cell>
          <cell r="R77">
            <v>178.5</v>
          </cell>
          <cell r="S77">
            <v>0</v>
          </cell>
          <cell r="T77">
            <v>107.10000000000001</v>
          </cell>
          <cell r="U77">
            <v>278.90625000000006</v>
          </cell>
          <cell r="V77">
            <v>50</v>
          </cell>
          <cell r="AB77">
            <v>1399.90625</v>
          </cell>
          <cell r="AC77">
            <v>0</v>
          </cell>
          <cell r="AD77">
            <v>167.98874999999998</v>
          </cell>
          <cell r="AE77">
            <v>14.139053125</v>
          </cell>
          <cell r="AF77">
            <v>27.718143749999996</v>
          </cell>
          <cell r="AH77">
            <v>209.84594687499998</v>
          </cell>
          <cell r="AJ77">
            <v>209.84594687499998</v>
          </cell>
          <cell r="AL77">
            <v>1190.060303125</v>
          </cell>
          <cell r="AN77">
            <v>2.5</v>
          </cell>
          <cell r="AO77">
            <v>2.5</v>
          </cell>
          <cell r="AR77">
            <v>1187.560303125</v>
          </cell>
          <cell r="AS77">
            <v>125.9915625</v>
          </cell>
          <cell r="AU77">
            <v>25.758275000000001</v>
          </cell>
          <cell r="AV77">
            <v>27.998125000000002</v>
          </cell>
          <cell r="AW77">
            <v>29.238300000000002</v>
          </cell>
          <cell r="AX77">
            <v>14.030100000000001</v>
          </cell>
          <cell r="AY77">
            <v>223.01636250000004</v>
          </cell>
          <cell r="AZ77">
            <v>1622.9226125</v>
          </cell>
          <cell r="BA77">
            <v>116.612190625</v>
          </cell>
          <cell r="BB77">
            <v>103.07636354166668</v>
          </cell>
          <cell r="BC77">
            <v>215.66939375000001</v>
          </cell>
          <cell r="BD77">
            <v>435.35794791666672</v>
          </cell>
          <cell r="BE77">
            <v>2058.280560416667</v>
          </cell>
          <cell r="BF77">
            <v>93.558207291666676</v>
          </cell>
          <cell r="BG77">
            <v>262.06780753968258</v>
          </cell>
        </row>
        <row r="78">
          <cell r="A78">
            <v>70</v>
          </cell>
          <cell r="B78">
            <v>70</v>
          </cell>
          <cell r="C78" t="str">
            <v>SACHAHUAMAN RIVERA, Percy  Luis</v>
          </cell>
          <cell r="D78" t="str">
            <v>OPERADOR JUMBO 1</v>
          </cell>
          <cell r="E78">
            <v>38768</v>
          </cell>
          <cell r="H78" t="str">
            <v>19895983</v>
          </cell>
          <cell r="I78">
            <v>46.28</v>
          </cell>
          <cell r="J78">
            <v>5.7850000000000001</v>
          </cell>
          <cell r="K78" t="str">
            <v>PROFUTURO</v>
          </cell>
          <cell r="L78">
            <v>21</v>
          </cell>
          <cell r="M78">
            <v>5</v>
          </cell>
          <cell r="O78">
            <v>4</v>
          </cell>
          <cell r="P78">
            <v>50</v>
          </cell>
          <cell r="Q78">
            <v>971.88</v>
          </cell>
          <cell r="R78">
            <v>231.4</v>
          </cell>
          <cell r="S78">
            <v>0</v>
          </cell>
          <cell r="T78">
            <v>185.12</v>
          </cell>
          <cell r="U78">
            <v>361.5625</v>
          </cell>
          <cell r="V78">
            <v>50</v>
          </cell>
          <cell r="AB78">
            <v>1799.9625000000001</v>
          </cell>
          <cell r="AC78">
            <v>0</v>
          </cell>
          <cell r="AD78">
            <v>215.99549999999999</v>
          </cell>
          <cell r="AE78">
            <v>18.17962125</v>
          </cell>
          <cell r="AF78">
            <v>35.639257499999999</v>
          </cell>
          <cell r="AH78">
            <v>269.81437875</v>
          </cell>
          <cell r="AJ78">
            <v>269.81437875</v>
          </cell>
          <cell r="AL78">
            <v>1530.14812125</v>
          </cell>
          <cell r="AO78">
            <v>0</v>
          </cell>
          <cell r="AR78">
            <v>1530.14812125</v>
          </cell>
          <cell r="AS78">
            <v>161.99662499999999</v>
          </cell>
          <cell r="AU78">
            <v>33.119309999999999</v>
          </cell>
          <cell r="AV78">
            <v>35.999250000000004</v>
          </cell>
          <cell r="AW78">
            <v>37.903320000000008</v>
          </cell>
          <cell r="AX78">
            <v>18.188040000000001</v>
          </cell>
          <cell r="AY78">
            <v>287.20654500000001</v>
          </cell>
          <cell r="AZ78">
            <v>2087.1690450000001</v>
          </cell>
          <cell r="BA78">
            <v>149.93687625000001</v>
          </cell>
          <cell r="BB78">
            <v>128.37387874999999</v>
          </cell>
          <cell r="BC78">
            <v>279.26775750000002</v>
          </cell>
          <cell r="BD78">
            <v>557.57851249999999</v>
          </cell>
          <cell r="BE78">
            <v>2644.7475574999999</v>
          </cell>
          <cell r="BF78">
            <v>125.94035988095237</v>
          </cell>
          <cell r="BG78">
            <v>272.12696603490139</v>
          </cell>
        </row>
        <row r="79">
          <cell r="A79">
            <v>71</v>
          </cell>
          <cell r="B79">
            <v>71</v>
          </cell>
          <cell r="C79" t="str">
            <v>SALAZAR CALIXTO, Celiciano</v>
          </cell>
          <cell r="D79" t="str">
            <v>OPERADOR SCOOPTRAMS 1</v>
          </cell>
          <cell r="E79">
            <v>38817</v>
          </cell>
          <cell r="G79">
            <v>26288</v>
          </cell>
          <cell r="H79" t="str">
            <v>04206973</v>
          </cell>
          <cell r="I79">
            <v>38.35</v>
          </cell>
          <cell r="J79">
            <v>4.7937500000000002</v>
          </cell>
          <cell r="K79" t="str">
            <v>UNION</v>
          </cell>
          <cell r="L79">
            <v>21</v>
          </cell>
          <cell r="M79">
            <v>5</v>
          </cell>
          <cell r="O79">
            <v>4</v>
          </cell>
          <cell r="P79">
            <v>52</v>
          </cell>
          <cell r="Q79">
            <v>805.35</v>
          </cell>
          <cell r="R79">
            <v>191.75</v>
          </cell>
          <cell r="S79">
            <v>0</v>
          </cell>
          <cell r="T79">
            <v>153.4</v>
          </cell>
          <cell r="U79">
            <v>311.59375</v>
          </cell>
          <cell r="V79">
            <v>50</v>
          </cell>
          <cell r="AB79">
            <v>1512.09375</v>
          </cell>
          <cell r="AC79">
            <v>0</v>
          </cell>
          <cell r="AD79">
            <v>181.45124999999999</v>
          </cell>
          <cell r="AE79">
            <v>13.608843750000002</v>
          </cell>
          <cell r="AF79">
            <v>29.334618750000001</v>
          </cell>
          <cell r="AH79">
            <v>224.3947125</v>
          </cell>
          <cell r="AJ79">
            <v>224.3947125</v>
          </cell>
          <cell r="AL79">
            <v>1287.6990375</v>
          </cell>
          <cell r="AN79">
            <v>247</v>
          </cell>
          <cell r="AO79">
            <v>247</v>
          </cell>
          <cell r="AR79">
            <v>1040.6990375</v>
          </cell>
          <cell r="AS79">
            <v>136.0884375</v>
          </cell>
          <cell r="AU79">
            <v>27.822524999999999</v>
          </cell>
          <cell r="AV79">
            <v>30.241875</v>
          </cell>
          <cell r="AW79">
            <v>31.408650000000002</v>
          </cell>
          <cell r="AX79">
            <v>15.07155</v>
          </cell>
          <cell r="AY79">
            <v>240.63303749999997</v>
          </cell>
          <cell r="AZ79">
            <v>1752.7267875</v>
          </cell>
          <cell r="BA79">
            <v>125.957409375</v>
          </cell>
          <cell r="BB79">
            <v>107.31108645833332</v>
          </cell>
          <cell r="BC79">
            <v>231.85550624999999</v>
          </cell>
          <cell r="BD79">
            <v>465.12400208333327</v>
          </cell>
          <cell r="BE79">
            <v>2217.8507895833332</v>
          </cell>
          <cell r="BF79">
            <v>105.6119423611111</v>
          </cell>
          <cell r="BG79">
            <v>275.3896802115022</v>
          </cell>
        </row>
        <row r="80">
          <cell r="A80">
            <v>72</v>
          </cell>
          <cell r="B80">
            <v>72</v>
          </cell>
          <cell r="C80" t="str">
            <v>SALVADOR PEÑA, ANTHONY STEVE</v>
          </cell>
          <cell r="D80" t="str">
            <v>PRODUCTIVIDAD/C. AVANCES</v>
          </cell>
          <cell r="E80">
            <v>38756</v>
          </cell>
          <cell r="F80">
            <v>38869</v>
          </cell>
          <cell r="H80" t="str">
            <v>41975612</v>
          </cell>
          <cell r="I80">
            <v>40.99</v>
          </cell>
          <cell r="J80">
            <v>5.1237500000000002</v>
          </cell>
          <cell r="K80" t="str">
            <v>ONP</v>
          </cell>
          <cell r="L80">
            <v>0</v>
          </cell>
          <cell r="M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H80">
            <v>0</v>
          </cell>
          <cell r="AJ80">
            <v>0</v>
          </cell>
          <cell r="AL80">
            <v>0</v>
          </cell>
          <cell r="AO80">
            <v>0</v>
          </cell>
          <cell r="AR80">
            <v>0</v>
          </cell>
          <cell r="AS80">
            <v>0</v>
          </cell>
          <cell r="AU80">
            <v>0</v>
          </cell>
          <cell r="AV80">
            <v>0</v>
          </cell>
          <cell r="AW80">
            <v>33.570810000000002</v>
          </cell>
          <cell r="AX80">
            <v>16.109070000000003</v>
          </cell>
          <cell r="AY80">
            <v>49.679880000000004</v>
          </cell>
          <cell r="AZ80">
            <v>49.679880000000004</v>
          </cell>
          <cell r="BA80">
            <v>0</v>
          </cell>
          <cell r="BB80">
            <v>4.1399900000000001</v>
          </cell>
          <cell r="BC80">
            <v>8.2799800000000001</v>
          </cell>
          <cell r="BD80">
            <v>12.419969999999999</v>
          </cell>
          <cell r="BE80">
            <v>62.099850000000004</v>
          </cell>
          <cell r="BF80" t="e">
            <v>#DIV/0!</v>
          </cell>
          <cell r="BG80" t="e">
            <v>#DIV/0!</v>
          </cell>
        </row>
        <row r="81">
          <cell r="A81">
            <v>73</v>
          </cell>
          <cell r="B81">
            <v>73</v>
          </cell>
          <cell r="C81" t="str">
            <v>SALVADOR PEÑA, Javier</v>
          </cell>
          <cell r="D81" t="str">
            <v>AYUDANTE CARGADOR</v>
          </cell>
          <cell r="E81">
            <v>38861</v>
          </cell>
          <cell r="H81" t="str">
            <v>40928959</v>
          </cell>
          <cell r="I81">
            <v>25.12</v>
          </cell>
          <cell r="J81">
            <v>3.14</v>
          </cell>
          <cell r="K81" t="str">
            <v>PROFUTURO</v>
          </cell>
          <cell r="L81">
            <v>24</v>
          </cell>
          <cell r="M81">
            <v>5</v>
          </cell>
          <cell r="O81">
            <v>1</v>
          </cell>
          <cell r="P81">
            <v>50</v>
          </cell>
          <cell r="Q81">
            <v>602.88</v>
          </cell>
          <cell r="R81">
            <v>125.60000000000001</v>
          </cell>
          <cell r="S81">
            <v>0</v>
          </cell>
          <cell r="T81">
            <v>25.12</v>
          </cell>
          <cell r="U81">
            <v>196.25</v>
          </cell>
          <cell r="AB81">
            <v>949.85</v>
          </cell>
          <cell r="AC81">
            <v>0</v>
          </cell>
          <cell r="AD81">
            <v>113.982</v>
          </cell>
          <cell r="AE81">
            <v>9.5934849999999994</v>
          </cell>
          <cell r="AF81">
            <v>18.807029999999997</v>
          </cell>
          <cell r="AH81">
            <v>142.38251500000001</v>
          </cell>
          <cell r="AJ81">
            <v>142.38251500000001</v>
          </cell>
          <cell r="AL81">
            <v>807.46748500000001</v>
          </cell>
          <cell r="AO81">
            <v>0</v>
          </cell>
          <cell r="AR81">
            <v>807.46748500000001</v>
          </cell>
          <cell r="AS81">
            <v>85.486499999999992</v>
          </cell>
          <cell r="AU81">
            <v>17.477240000000002</v>
          </cell>
          <cell r="AV81">
            <v>18.997</v>
          </cell>
          <cell r="AW81">
            <v>20.57328</v>
          </cell>
          <cell r="AX81">
            <v>9.8721600000000009</v>
          </cell>
          <cell r="AY81">
            <v>152.40618000000001</v>
          </cell>
          <cell r="AZ81">
            <v>1102.2561800000001</v>
          </cell>
          <cell r="BA81">
            <v>79.122505000000004</v>
          </cell>
          <cell r="BB81">
            <v>73.407181666666659</v>
          </cell>
          <cell r="BC81">
            <v>151.00103000000001</v>
          </cell>
          <cell r="BD81">
            <v>303.53071666666665</v>
          </cell>
          <cell r="BE81">
            <v>1405.7868966666667</v>
          </cell>
          <cell r="BF81">
            <v>58.574454027777783</v>
          </cell>
          <cell r="BG81">
            <v>233.17855902777777</v>
          </cell>
        </row>
        <row r="82">
          <cell r="A82">
            <v>74</v>
          </cell>
          <cell r="B82">
            <v>74</v>
          </cell>
          <cell r="C82" t="str">
            <v>SINCHE ARRIETA, Kennyn</v>
          </cell>
          <cell r="D82" t="str">
            <v>AYUDANTE PERFORISTA</v>
          </cell>
          <cell r="E82">
            <v>38789</v>
          </cell>
          <cell r="H82" t="str">
            <v>42536761</v>
          </cell>
          <cell r="I82">
            <v>25.12</v>
          </cell>
          <cell r="J82">
            <v>3.14</v>
          </cell>
          <cell r="K82" t="str">
            <v>ONP</v>
          </cell>
          <cell r="L82">
            <v>17</v>
          </cell>
          <cell r="M82">
            <v>4.2</v>
          </cell>
          <cell r="O82">
            <v>4</v>
          </cell>
          <cell r="P82">
            <v>42</v>
          </cell>
          <cell r="Q82">
            <v>427.04</v>
          </cell>
          <cell r="R82">
            <v>105.504</v>
          </cell>
          <cell r="S82">
            <v>0</v>
          </cell>
          <cell r="T82">
            <v>100.48</v>
          </cell>
          <cell r="U82">
            <v>164.85</v>
          </cell>
          <cell r="V82">
            <v>42</v>
          </cell>
          <cell r="AB82">
            <v>839.87400000000002</v>
          </cell>
          <cell r="AC82">
            <v>109.18362</v>
          </cell>
          <cell r="AD82">
            <v>0</v>
          </cell>
          <cell r="AE82">
            <v>0</v>
          </cell>
          <cell r="AF82">
            <v>0</v>
          </cell>
          <cell r="AH82">
            <v>109.18362</v>
          </cell>
          <cell r="AJ82">
            <v>109.18362</v>
          </cell>
          <cell r="AL82">
            <v>730.69038</v>
          </cell>
          <cell r="AO82">
            <v>0</v>
          </cell>
          <cell r="AR82">
            <v>730.69038</v>
          </cell>
          <cell r="AS82">
            <v>75.588660000000004</v>
          </cell>
          <cell r="AU82">
            <v>15.453681599999999</v>
          </cell>
          <cell r="AV82">
            <v>0</v>
          </cell>
          <cell r="AW82">
            <v>20.57328</v>
          </cell>
          <cell r="AX82">
            <v>9.8721600000000009</v>
          </cell>
          <cell r="AY82">
            <v>121.48778160000001</v>
          </cell>
          <cell r="AZ82">
            <v>961.36178160000009</v>
          </cell>
          <cell r="BA82">
            <v>69.961504200000007</v>
          </cell>
          <cell r="BB82">
            <v>58.002648466666663</v>
          </cell>
          <cell r="BC82">
            <v>125.7519636</v>
          </cell>
          <cell r="BD82">
            <v>253.71611626666669</v>
          </cell>
          <cell r="BE82">
            <v>1215.0778978666667</v>
          </cell>
          <cell r="BF82">
            <v>71.475170462745098</v>
          </cell>
          <cell r="BG82">
            <v>284.53491426252026</v>
          </cell>
        </row>
        <row r="83">
          <cell r="A83">
            <v>75</v>
          </cell>
          <cell r="B83">
            <v>75</v>
          </cell>
          <cell r="C83" t="str">
            <v>SOTO ESPINOZA, GUILLERMO</v>
          </cell>
          <cell r="D83" t="str">
            <v>OPERDOR SCOOPTRAMS 2</v>
          </cell>
          <cell r="E83">
            <v>38761</v>
          </cell>
          <cell r="H83" t="str">
            <v>42022004</v>
          </cell>
          <cell r="I83">
            <v>38.35</v>
          </cell>
          <cell r="J83">
            <v>4.7937500000000002</v>
          </cell>
          <cell r="K83" t="str">
            <v>HORIZONTE</v>
          </cell>
          <cell r="L83">
            <v>18</v>
          </cell>
          <cell r="M83">
            <v>5</v>
          </cell>
          <cell r="O83">
            <v>7</v>
          </cell>
          <cell r="P83">
            <v>50</v>
          </cell>
          <cell r="Q83">
            <v>690.30000000000007</v>
          </cell>
          <cell r="R83">
            <v>191.75</v>
          </cell>
          <cell r="S83">
            <v>0</v>
          </cell>
          <cell r="T83">
            <v>268.45</v>
          </cell>
          <cell r="U83">
            <v>299.609375</v>
          </cell>
          <cell r="AB83">
            <v>1450.109375</v>
          </cell>
          <cell r="AC83">
            <v>0</v>
          </cell>
          <cell r="AD83">
            <v>174.013125</v>
          </cell>
          <cell r="AE83">
            <v>12.760962500000002</v>
          </cell>
          <cell r="AF83">
            <v>28.2771328125</v>
          </cell>
          <cell r="AH83">
            <v>215.05122031249999</v>
          </cell>
          <cell r="AJ83">
            <v>215.05122031249999</v>
          </cell>
          <cell r="AL83">
            <v>1235.0581546875001</v>
          </cell>
          <cell r="AM83">
            <v>183</v>
          </cell>
          <cell r="AN83">
            <v>4</v>
          </cell>
          <cell r="AO83">
            <v>187</v>
          </cell>
          <cell r="AR83">
            <v>1048.0581546875001</v>
          </cell>
          <cell r="AS83">
            <v>130.50984374999999</v>
          </cell>
          <cell r="AU83">
            <v>26.682012499999999</v>
          </cell>
          <cell r="AV83">
            <v>29.002187500000002</v>
          </cell>
          <cell r="AW83">
            <v>31.408650000000002</v>
          </cell>
          <cell r="AX83">
            <v>15.07155</v>
          </cell>
          <cell r="AY83">
            <v>232.67424374999999</v>
          </cell>
          <cell r="AZ83">
            <v>1682.78361875</v>
          </cell>
          <cell r="BA83">
            <v>120.79411093749999</v>
          </cell>
          <cell r="BB83">
            <v>92.893686979166674</v>
          </cell>
          <cell r="BC83">
            <v>230.52904062499999</v>
          </cell>
          <cell r="BD83">
            <v>444.21683854166668</v>
          </cell>
          <cell r="BE83">
            <v>2127.0004572916669</v>
          </cell>
          <cell r="BF83">
            <v>118.16669207175927</v>
          </cell>
          <cell r="BG83">
            <v>308.12696759259262</v>
          </cell>
        </row>
        <row r="84">
          <cell r="A84">
            <v>76</v>
          </cell>
          <cell r="B84">
            <v>76</v>
          </cell>
          <cell r="C84" t="str">
            <v>SOTO QUILCA, Marcelino</v>
          </cell>
          <cell r="D84" t="str">
            <v>PERFORISTA 1</v>
          </cell>
          <cell r="E84">
            <v>38888</v>
          </cell>
          <cell r="F84" t="str">
            <v>Nuevo</v>
          </cell>
          <cell r="H84" t="str">
            <v>23682615</v>
          </cell>
          <cell r="I84">
            <v>35.700000000000003</v>
          </cell>
          <cell r="J84">
            <v>4.4625000000000004</v>
          </cell>
          <cell r="K84" t="str">
            <v>ONP</v>
          </cell>
          <cell r="L84">
            <v>9</v>
          </cell>
          <cell r="M84">
            <v>1.8</v>
          </cell>
          <cell r="P84">
            <v>18</v>
          </cell>
          <cell r="Q84">
            <v>321.3</v>
          </cell>
          <cell r="R84">
            <v>64.260000000000005</v>
          </cell>
          <cell r="S84">
            <v>0</v>
          </cell>
          <cell r="T84">
            <v>0</v>
          </cell>
          <cell r="U84">
            <v>100.40625</v>
          </cell>
          <cell r="AB84">
            <v>485.96625</v>
          </cell>
          <cell r="AC84">
            <v>63.1756125</v>
          </cell>
          <cell r="AD84">
            <v>0</v>
          </cell>
          <cell r="AE84">
            <v>0</v>
          </cell>
          <cell r="AF84">
            <v>0</v>
          </cell>
          <cell r="AH84">
            <v>63.1756125</v>
          </cell>
          <cell r="AJ84">
            <v>63.1756125</v>
          </cell>
          <cell r="AL84">
            <v>422.7906375</v>
          </cell>
          <cell r="AO84">
            <v>0</v>
          </cell>
          <cell r="AR84">
            <v>422.7906375</v>
          </cell>
          <cell r="AS84">
            <v>43.736962499999997</v>
          </cell>
          <cell r="AU84">
            <v>8.9417790000000004</v>
          </cell>
          <cell r="AV84">
            <v>0</v>
          </cell>
          <cell r="AW84">
            <v>29.238300000000002</v>
          </cell>
          <cell r="AX84">
            <v>14.030100000000001</v>
          </cell>
          <cell r="AY84">
            <v>95.947141500000015</v>
          </cell>
          <cell r="AZ84">
            <v>581.91339149999999</v>
          </cell>
          <cell r="BA84">
            <v>40.480988625000002</v>
          </cell>
          <cell r="BB84">
            <v>40.125595124999997</v>
          </cell>
          <cell r="BC84">
            <v>80.251190249999993</v>
          </cell>
          <cell r="BD84">
            <v>160.85777400000001</v>
          </cell>
          <cell r="BE84">
            <v>742.77116550000005</v>
          </cell>
          <cell r="BF84">
            <v>82.530129500000001</v>
          </cell>
          <cell r="BG84">
            <v>231.17683333333332</v>
          </cell>
        </row>
        <row r="85">
          <cell r="A85">
            <v>77</v>
          </cell>
          <cell r="B85">
            <v>77</v>
          </cell>
          <cell r="C85" t="str">
            <v>SUASNAVAR CAQUI, Juan</v>
          </cell>
          <cell r="D85" t="str">
            <v>VIGILANTE</v>
          </cell>
          <cell r="E85">
            <v>38860</v>
          </cell>
          <cell r="H85" t="str">
            <v>41279132</v>
          </cell>
          <cell r="I85">
            <v>19.829999999999998</v>
          </cell>
          <cell r="J85">
            <v>2.4787499999999998</v>
          </cell>
          <cell r="K85" t="str">
            <v>INTEGRA</v>
          </cell>
          <cell r="L85">
            <v>25</v>
          </cell>
          <cell r="M85">
            <v>5</v>
          </cell>
          <cell r="P85">
            <v>50</v>
          </cell>
          <cell r="Q85">
            <v>495.74999999999994</v>
          </cell>
          <cell r="R85">
            <v>99.149999999999991</v>
          </cell>
          <cell r="S85">
            <v>0</v>
          </cell>
          <cell r="T85">
            <v>0</v>
          </cell>
          <cell r="U85">
            <v>154.92187499999997</v>
          </cell>
          <cell r="AB85">
            <v>749.82187499999998</v>
          </cell>
          <cell r="AC85">
            <v>0</v>
          </cell>
          <cell r="AD85">
            <v>89.978624999999994</v>
          </cell>
          <cell r="AE85">
            <v>6.5984325000000004</v>
          </cell>
          <cell r="AF85">
            <v>13.496793750000002</v>
          </cell>
          <cell r="AH85">
            <v>110.07385124999999</v>
          </cell>
          <cell r="AJ85">
            <v>110.07385124999999</v>
          </cell>
          <cell r="AL85">
            <v>639.74802375000002</v>
          </cell>
          <cell r="AN85">
            <v>12</v>
          </cell>
          <cell r="AO85">
            <v>12</v>
          </cell>
          <cell r="AR85">
            <v>627.74802375000002</v>
          </cell>
          <cell r="AS85">
            <v>67.483968750000003</v>
          </cell>
          <cell r="AU85">
            <v>13.7967225</v>
          </cell>
          <cell r="AV85">
            <v>14.996437499999999</v>
          </cell>
          <cell r="AW85">
            <v>16.240770000000001</v>
          </cell>
          <cell r="AX85">
            <v>7.7931900000000001</v>
          </cell>
          <cell r="AY85">
            <v>120.31108875</v>
          </cell>
          <cell r="AZ85">
            <v>870.13296374999993</v>
          </cell>
          <cell r="BA85">
            <v>62.460162187499996</v>
          </cell>
          <cell r="BB85">
            <v>59.600924062499992</v>
          </cell>
          <cell r="BC85">
            <v>119.20184812499998</v>
          </cell>
          <cell r="BD85">
            <v>241.26293437499999</v>
          </cell>
          <cell r="BE85">
            <v>1111.3958981249998</v>
          </cell>
          <cell r="BF85">
            <v>44.455835924999995</v>
          </cell>
          <cell r="BG85">
            <v>224.18475000000001</v>
          </cell>
        </row>
        <row r="86">
          <cell r="A86">
            <v>78</v>
          </cell>
          <cell r="B86">
            <v>78</v>
          </cell>
          <cell r="C86" t="str">
            <v>TANCHIVA MAMOLADA, Alex</v>
          </cell>
          <cell r="D86" t="str">
            <v>BODEGUERO</v>
          </cell>
          <cell r="E86">
            <v>38838</v>
          </cell>
          <cell r="H86" t="str">
            <v>41764413</v>
          </cell>
          <cell r="I86">
            <v>25.12</v>
          </cell>
          <cell r="J86">
            <v>3.14</v>
          </cell>
          <cell r="K86" t="str">
            <v>ONP</v>
          </cell>
          <cell r="L86">
            <v>21</v>
          </cell>
          <cell r="M86">
            <v>4.6000000000000005</v>
          </cell>
          <cell r="O86">
            <v>2</v>
          </cell>
          <cell r="P86">
            <v>46</v>
          </cell>
          <cell r="Q86">
            <v>527.52</v>
          </cell>
          <cell r="R86">
            <v>115.55200000000002</v>
          </cell>
          <cell r="S86">
            <v>0</v>
          </cell>
          <cell r="T86">
            <v>50.24</v>
          </cell>
          <cell r="U86">
            <v>180.55</v>
          </cell>
          <cell r="V86">
            <v>46.000000000000007</v>
          </cell>
          <cell r="AB86">
            <v>919.86200000000008</v>
          </cell>
          <cell r="AC86">
            <v>119.58206000000001</v>
          </cell>
          <cell r="AD86">
            <v>0</v>
          </cell>
          <cell r="AE86">
            <v>0</v>
          </cell>
          <cell r="AF86">
            <v>0</v>
          </cell>
          <cell r="AH86">
            <v>119.58206000000001</v>
          </cell>
          <cell r="AJ86">
            <v>119.58206000000001</v>
          </cell>
          <cell r="AL86">
            <v>800.27994000000012</v>
          </cell>
          <cell r="AO86">
            <v>0</v>
          </cell>
          <cell r="AR86">
            <v>800.27994000000012</v>
          </cell>
          <cell r="AS86">
            <v>82.787580000000005</v>
          </cell>
          <cell r="AU86">
            <v>16.9254608</v>
          </cell>
          <cell r="AV86">
            <v>0</v>
          </cell>
          <cell r="AW86">
            <v>20.57328</v>
          </cell>
          <cell r="AX86">
            <v>9.8721600000000009</v>
          </cell>
          <cell r="AY86">
            <v>130.15848080000001</v>
          </cell>
          <cell r="AZ86">
            <v>1050.0204808000001</v>
          </cell>
          <cell r="BA86">
            <v>76.624504600000009</v>
          </cell>
          <cell r="BB86">
            <v>68.269206733333334</v>
          </cell>
          <cell r="BC86">
            <v>137.24508013333335</v>
          </cell>
          <cell r="BD86">
            <v>282.1387914666667</v>
          </cell>
          <cell r="BE86">
            <v>1332.1592722666669</v>
          </cell>
          <cell r="BF86">
            <v>63.436155822222233</v>
          </cell>
          <cell r="BG86">
            <v>252.53246744515221</v>
          </cell>
        </row>
        <row r="87">
          <cell r="A87">
            <v>79</v>
          </cell>
          <cell r="B87">
            <v>79</v>
          </cell>
          <cell r="C87" t="str">
            <v>TORRES YALICO, Zenon</v>
          </cell>
          <cell r="D87" t="str">
            <v>AYUDANTE EMADERADOR</v>
          </cell>
          <cell r="E87">
            <v>38852</v>
          </cell>
          <cell r="H87" t="str">
            <v>04078837</v>
          </cell>
          <cell r="I87">
            <v>25.12</v>
          </cell>
          <cell r="J87">
            <v>3.14</v>
          </cell>
          <cell r="K87" t="str">
            <v>INTEGRA</v>
          </cell>
          <cell r="L87">
            <v>3</v>
          </cell>
          <cell r="M87">
            <v>1</v>
          </cell>
          <cell r="N87">
            <v>26</v>
          </cell>
          <cell r="P87">
            <v>6</v>
          </cell>
          <cell r="Q87">
            <v>75.36</v>
          </cell>
          <cell r="R87">
            <v>25.12</v>
          </cell>
          <cell r="S87">
            <v>653.12</v>
          </cell>
          <cell r="T87">
            <v>0</v>
          </cell>
          <cell r="U87">
            <v>23.55</v>
          </cell>
          <cell r="V87">
            <v>50</v>
          </cell>
          <cell r="AB87">
            <v>827.15</v>
          </cell>
          <cell r="AC87">
            <v>0</v>
          </cell>
          <cell r="AD87">
            <v>99.257999999999996</v>
          </cell>
          <cell r="AE87">
            <v>7.2789200000000003</v>
          </cell>
          <cell r="AF87">
            <v>14.888700000000002</v>
          </cell>
          <cell r="AH87">
            <v>121.42562</v>
          </cell>
          <cell r="AJ87">
            <v>121.42562</v>
          </cell>
          <cell r="AL87">
            <v>705.72438</v>
          </cell>
          <cell r="AO87">
            <v>0</v>
          </cell>
          <cell r="AR87">
            <v>705.72438</v>
          </cell>
          <cell r="AS87">
            <v>74.4435</v>
          </cell>
          <cell r="AU87">
            <v>15.21956</v>
          </cell>
          <cell r="AV87">
            <v>16.542999999999999</v>
          </cell>
          <cell r="AW87">
            <v>20.57328</v>
          </cell>
          <cell r="AX87">
            <v>9.8721600000000009</v>
          </cell>
          <cell r="AY87">
            <v>136.6515</v>
          </cell>
          <cell r="AZ87">
            <v>963.80150000000003</v>
          </cell>
          <cell r="BA87">
            <v>68.901595</v>
          </cell>
          <cell r="BB87">
            <v>78.354291666666668</v>
          </cell>
          <cell r="BC87">
            <v>148.37525000000002</v>
          </cell>
          <cell r="BD87">
            <v>295.63113666666669</v>
          </cell>
          <cell r="BE87">
            <v>1259.4326366666667</v>
          </cell>
          <cell r="BF87">
            <v>419.81087888888891</v>
          </cell>
          <cell r="BG87">
            <v>1671.2216516277422</v>
          </cell>
        </row>
        <row r="88">
          <cell r="A88">
            <v>80</v>
          </cell>
          <cell r="B88">
            <v>80</v>
          </cell>
          <cell r="C88" t="str">
            <v>TRUJILLO ESPINOZA, Carlos</v>
          </cell>
          <cell r="D88" t="str">
            <v>AYUDANTE PERFORISTA</v>
          </cell>
          <cell r="E88">
            <v>38808</v>
          </cell>
          <cell r="G88">
            <v>28622</v>
          </cell>
          <cell r="H88" t="str">
            <v>40601584</v>
          </cell>
          <cell r="I88">
            <v>25.12</v>
          </cell>
          <cell r="J88">
            <v>3.14</v>
          </cell>
          <cell r="K88" t="str">
            <v>ONP</v>
          </cell>
          <cell r="L88">
            <v>19</v>
          </cell>
          <cell r="M88">
            <v>4.4000000000000004</v>
          </cell>
          <cell r="O88">
            <v>3</v>
          </cell>
          <cell r="P88">
            <v>44</v>
          </cell>
          <cell r="Q88">
            <v>477.28000000000003</v>
          </cell>
          <cell r="R88">
            <v>110.52800000000002</v>
          </cell>
          <cell r="S88">
            <v>0</v>
          </cell>
          <cell r="T88">
            <v>75.36</v>
          </cell>
          <cell r="U88">
            <v>172.7</v>
          </cell>
          <cell r="V88">
            <v>44</v>
          </cell>
          <cell r="AB88">
            <v>879.86799999999994</v>
          </cell>
          <cell r="AC88">
            <v>114.38284</v>
          </cell>
          <cell r="AD88">
            <v>0</v>
          </cell>
          <cell r="AE88">
            <v>0</v>
          </cell>
          <cell r="AF88">
            <v>0</v>
          </cell>
          <cell r="AH88">
            <v>114.38284</v>
          </cell>
          <cell r="AJ88">
            <v>114.38284</v>
          </cell>
          <cell r="AL88">
            <v>765.48515999999995</v>
          </cell>
          <cell r="AN88">
            <v>14</v>
          </cell>
          <cell r="AO88">
            <v>14</v>
          </cell>
          <cell r="AR88">
            <v>751.48515999999995</v>
          </cell>
          <cell r="AS88">
            <v>79.188119999999998</v>
          </cell>
          <cell r="AU88">
            <v>16.1895712</v>
          </cell>
          <cell r="AV88">
            <v>0</v>
          </cell>
          <cell r="AW88">
            <v>20.57328</v>
          </cell>
          <cell r="AX88">
            <v>9.8721600000000009</v>
          </cell>
          <cell r="AY88">
            <v>125.82313120000001</v>
          </cell>
          <cell r="AZ88">
            <v>1005.6911312</v>
          </cell>
          <cell r="BA88">
            <v>73.293004400000001</v>
          </cell>
          <cell r="BB88">
            <v>63.135927600000002</v>
          </cell>
          <cell r="BC88">
            <v>131.49852186666666</v>
          </cell>
          <cell r="BD88">
            <v>267.92745386666667</v>
          </cell>
          <cell r="BE88">
            <v>1273.6185850666666</v>
          </cell>
          <cell r="BF88">
            <v>67.032557108771925</v>
          </cell>
          <cell r="BG88">
            <v>266.8493515476589</v>
          </cell>
        </row>
        <row r="89">
          <cell r="A89">
            <v>81</v>
          </cell>
          <cell r="B89">
            <v>81</v>
          </cell>
          <cell r="C89" t="str">
            <v>TRUJILLO FLORES, Noe</v>
          </cell>
          <cell r="D89" t="str">
            <v>CARGADOR/DISPARADOR 1</v>
          </cell>
          <cell r="E89">
            <v>38761</v>
          </cell>
          <cell r="H89" t="str">
            <v>04044940</v>
          </cell>
          <cell r="I89">
            <v>35.700000000000003</v>
          </cell>
          <cell r="J89">
            <v>4.4625000000000004</v>
          </cell>
          <cell r="K89" t="str">
            <v>HORIZONTE</v>
          </cell>
          <cell r="L89">
            <v>15</v>
          </cell>
          <cell r="M89">
            <v>4.6000000000000005</v>
          </cell>
          <cell r="N89">
            <v>4</v>
          </cell>
          <cell r="O89">
            <v>4</v>
          </cell>
          <cell r="P89">
            <v>38</v>
          </cell>
          <cell r="Q89">
            <v>535.5</v>
          </cell>
          <cell r="R89">
            <v>164.22000000000003</v>
          </cell>
          <cell r="S89">
            <v>142.80000000000001</v>
          </cell>
          <cell r="T89">
            <v>142.80000000000001</v>
          </cell>
          <cell r="U89">
            <v>211.96875000000003</v>
          </cell>
          <cell r="V89">
            <v>46.000000000000007</v>
          </cell>
          <cell r="AB89">
            <v>1243.2887499999999</v>
          </cell>
          <cell r="AC89">
            <v>0</v>
          </cell>
          <cell r="AD89">
            <v>149.19465</v>
          </cell>
          <cell r="AE89">
            <v>10.940941</v>
          </cell>
          <cell r="AF89">
            <v>24.244130625</v>
          </cell>
          <cell r="AH89">
            <v>184.379721625</v>
          </cell>
          <cell r="AJ89">
            <v>184.379721625</v>
          </cell>
          <cell r="AL89">
            <v>1058.9090283749999</v>
          </cell>
          <cell r="AN89">
            <v>49</v>
          </cell>
          <cell r="AO89">
            <v>49</v>
          </cell>
          <cell r="AR89">
            <v>1009.9090283749999</v>
          </cell>
          <cell r="AS89">
            <v>111.89598749999999</v>
          </cell>
          <cell r="AU89">
            <v>22.876512999999999</v>
          </cell>
          <cell r="AV89">
            <v>24.865774999999999</v>
          </cell>
          <cell r="AW89">
            <v>29.238300000000002</v>
          </cell>
          <cell r="AX89">
            <v>14.030100000000001</v>
          </cell>
          <cell r="AY89">
            <v>202.90667549999998</v>
          </cell>
          <cell r="AZ89">
            <v>1446.1954254999998</v>
          </cell>
          <cell r="BA89">
            <v>103.56595287499999</v>
          </cell>
          <cell r="BB89">
            <v>90.952222958333323</v>
          </cell>
          <cell r="BC89">
            <v>198.03777924999997</v>
          </cell>
          <cell r="BD89">
            <v>392.55595508333329</v>
          </cell>
          <cell r="BE89">
            <v>1838.7513805833332</v>
          </cell>
          <cell r="BF89">
            <v>122.58342537222221</v>
          </cell>
          <cell r="BG89">
            <v>343.37093941798935</v>
          </cell>
        </row>
        <row r="90">
          <cell r="A90">
            <v>82</v>
          </cell>
          <cell r="B90">
            <v>82</v>
          </cell>
          <cell r="C90" t="str">
            <v>URETA CABANILLA, Verti Dino</v>
          </cell>
          <cell r="D90" t="str">
            <v>AYUDANTE EMADERADOR</v>
          </cell>
          <cell r="E90">
            <v>38881</v>
          </cell>
          <cell r="F90" t="str">
            <v>Nuevo</v>
          </cell>
          <cell r="H90" t="str">
            <v>20903760</v>
          </cell>
          <cell r="I90">
            <v>25.12</v>
          </cell>
          <cell r="J90">
            <v>3.14</v>
          </cell>
          <cell r="K90" t="str">
            <v>INTEGRA</v>
          </cell>
          <cell r="L90">
            <v>15</v>
          </cell>
          <cell r="M90">
            <v>3</v>
          </cell>
          <cell r="P90">
            <v>30</v>
          </cell>
          <cell r="Q90">
            <v>376.8</v>
          </cell>
          <cell r="R90">
            <v>75.36</v>
          </cell>
          <cell r="S90">
            <v>0</v>
          </cell>
          <cell r="T90">
            <v>0</v>
          </cell>
          <cell r="U90">
            <v>117.75</v>
          </cell>
          <cell r="AB90">
            <v>569.91000000000008</v>
          </cell>
          <cell r="AC90">
            <v>0</v>
          </cell>
          <cell r="AD90">
            <v>68.389200000000002</v>
          </cell>
          <cell r="AE90">
            <v>5.0152080000000012</v>
          </cell>
          <cell r="AF90">
            <v>10.258380000000002</v>
          </cell>
          <cell r="AH90">
            <v>83.662788000000006</v>
          </cell>
          <cell r="AJ90">
            <v>83.662788000000006</v>
          </cell>
          <cell r="AL90">
            <v>486.2472120000001</v>
          </cell>
          <cell r="AO90">
            <v>0</v>
          </cell>
          <cell r="AR90">
            <v>486.2472120000001</v>
          </cell>
          <cell r="AS90">
            <v>51.291900000000005</v>
          </cell>
          <cell r="AU90">
            <v>10.486344000000001</v>
          </cell>
          <cell r="AV90">
            <v>11.398200000000001</v>
          </cell>
          <cell r="AW90">
            <v>20.57328</v>
          </cell>
          <cell r="AX90">
            <v>9.8721600000000009</v>
          </cell>
          <cell r="AY90">
            <v>103.62188399999999</v>
          </cell>
          <cell r="AZ90">
            <v>673.5318840000001</v>
          </cell>
          <cell r="BA90">
            <v>47.473503000000008</v>
          </cell>
          <cell r="BB90">
            <v>46.315156999999999</v>
          </cell>
          <cell r="BC90">
            <v>92.630313999999998</v>
          </cell>
          <cell r="BD90">
            <v>186.41897399999999</v>
          </cell>
          <cell r="BE90">
            <v>859.95085800000015</v>
          </cell>
          <cell r="BF90">
            <v>57.330057200000013</v>
          </cell>
          <cell r="BG90">
            <v>228.22475000000003</v>
          </cell>
        </row>
        <row r="91">
          <cell r="A91">
            <v>83</v>
          </cell>
          <cell r="B91">
            <v>83</v>
          </cell>
          <cell r="C91" t="str">
            <v>VARGAS CASTILLO, Rosas</v>
          </cell>
          <cell r="D91" t="str">
            <v>AYUDANTE PERFORISTA</v>
          </cell>
          <cell r="E91">
            <v>38801</v>
          </cell>
          <cell r="H91" t="str">
            <v>80084513</v>
          </cell>
          <cell r="I91">
            <v>25.12</v>
          </cell>
          <cell r="J91">
            <v>3.14</v>
          </cell>
          <cell r="K91" t="str">
            <v>ONP</v>
          </cell>
          <cell r="L91">
            <v>21</v>
          </cell>
          <cell r="M91">
            <v>4.8000000000000007</v>
          </cell>
          <cell r="O91">
            <v>3</v>
          </cell>
          <cell r="P91">
            <v>48</v>
          </cell>
          <cell r="Q91">
            <v>527.52</v>
          </cell>
          <cell r="R91">
            <v>120.57600000000002</v>
          </cell>
          <cell r="S91">
            <v>0</v>
          </cell>
          <cell r="T91">
            <v>75.36</v>
          </cell>
          <cell r="U91">
            <v>188.4</v>
          </cell>
          <cell r="AB91">
            <v>911.85599999999999</v>
          </cell>
          <cell r="AC91">
            <v>118.54128</v>
          </cell>
          <cell r="AD91">
            <v>0</v>
          </cell>
          <cell r="AE91">
            <v>0</v>
          </cell>
          <cell r="AF91">
            <v>0</v>
          </cell>
          <cell r="AH91">
            <v>118.54128</v>
          </cell>
          <cell r="AJ91">
            <v>118.54128</v>
          </cell>
          <cell r="AL91">
            <v>793.31471999999997</v>
          </cell>
          <cell r="AN91">
            <v>12.7</v>
          </cell>
          <cell r="AO91">
            <v>12.7</v>
          </cell>
          <cell r="AR91">
            <v>780.61471999999992</v>
          </cell>
          <cell r="AS91">
            <v>82.067039999999992</v>
          </cell>
          <cell r="AU91">
            <v>16.778150400000001</v>
          </cell>
          <cell r="AV91">
            <v>0</v>
          </cell>
          <cell r="AW91">
            <v>20.57328</v>
          </cell>
          <cell r="AX91">
            <v>9.8721600000000009</v>
          </cell>
          <cell r="AY91">
            <v>129.2906304</v>
          </cell>
          <cell r="AZ91">
            <v>1041.1466304</v>
          </cell>
          <cell r="BA91">
            <v>75.957604799999999</v>
          </cell>
          <cell r="BB91">
            <v>64.7822192</v>
          </cell>
          <cell r="BC91">
            <v>142.1244384</v>
          </cell>
          <cell r="BD91">
            <v>282.86426240000003</v>
          </cell>
          <cell r="BE91">
            <v>1324.0108928</v>
          </cell>
          <cell r="BF91">
            <v>63.048137752380953</v>
          </cell>
          <cell r="BG91">
            <v>250.98780952380952</v>
          </cell>
        </row>
        <row r="92">
          <cell r="A92">
            <v>84</v>
          </cell>
          <cell r="B92">
            <v>84</v>
          </cell>
          <cell r="C92" t="str">
            <v>VELIZ HUARINGA mario francis</v>
          </cell>
          <cell r="D92" t="str">
            <v>AYUDANTE PERFORISTA</v>
          </cell>
          <cell r="E92">
            <v>38854</v>
          </cell>
          <cell r="H92" t="str">
            <v>41621173</v>
          </cell>
          <cell r="I92">
            <v>25.12</v>
          </cell>
          <cell r="J92">
            <v>3.14</v>
          </cell>
          <cell r="K92" t="str">
            <v>ONP</v>
          </cell>
          <cell r="L92">
            <v>22</v>
          </cell>
          <cell r="M92">
            <v>4.8000000000000007</v>
          </cell>
          <cell r="O92">
            <v>2</v>
          </cell>
          <cell r="P92">
            <v>48</v>
          </cell>
          <cell r="Q92">
            <v>552.64</v>
          </cell>
          <cell r="R92">
            <v>120.57600000000002</v>
          </cell>
          <cell r="S92">
            <v>0</v>
          </cell>
          <cell r="T92">
            <v>50.24</v>
          </cell>
          <cell r="U92">
            <v>188.4</v>
          </cell>
          <cell r="V92">
            <v>48</v>
          </cell>
          <cell r="AB92">
            <v>959.85599999999999</v>
          </cell>
          <cell r="AC92">
            <v>124.78128000000001</v>
          </cell>
          <cell r="AD92">
            <v>0</v>
          </cell>
          <cell r="AE92">
            <v>0</v>
          </cell>
          <cell r="AF92">
            <v>0</v>
          </cell>
          <cell r="AH92">
            <v>124.78128000000001</v>
          </cell>
          <cell r="AJ92">
            <v>124.78128000000001</v>
          </cell>
          <cell r="AL92">
            <v>835.07471999999996</v>
          </cell>
          <cell r="AN92">
            <v>31.5</v>
          </cell>
          <cell r="AO92">
            <v>31.5</v>
          </cell>
          <cell r="AR92">
            <v>803.57471999999996</v>
          </cell>
          <cell r="AS92">
            <v>86.387039999999999</v>
          </cell>
          <cell r="AU92">
            <v>17.6613504</v>
          </cell>
          <cell r="AV92">
            <v>0</v>
          </cell>
          <cell r="AW92">
            <v>20.57328</v>
          </cell>
          <cell r="AX92">
            <v>9.8721600000000009</v>
          </cell>
          <cell r="AY92">
            <v>134.49383040000001</v>
          </cell>
          <cell r="AZ92">
            <v>1094.3498304</v>
          </cell>
          <cell r="BA92">
            <v>79.956004800000002</v>
          </cell>
          <cell r="BB92">
            <v>71.309152533333332</v>
          </cell>
          <cell r="BC92">
            <v>142.9916384</v>
          </cell>
          <cell r="BD92">
            <v>294.25679573333332</v>
          </cell>
          <cell r="BE92">
            <v>1388.6066261333333</v>
          </cell>
          <cell r="BF92">
            <v>63.118483006060607</v>
          </cell>
          <cell r="BG92">
            <v>251.26784636170623</v>
          </cell>
        </row>
        <row r="93">
          <cell r="A93">
            <v>85</v>
          </cell>
          <cell r="B93">
            <v>85</v>
          </cell>
          <cell r="C93" t="str">
            <v>VICUÑO ZALASAR, Raul</v>
          </cell>
          <cell r="D93" t="str">
            <v>AYUDANTE EMADERADOR</v>
          </cell>
          <cell r="E93">
            <v>38881</v>
          </cell>
          <cell r="F93" t="str">
            <v>Nuevo</v>
          </cell>
          <cell r="H93" t="str">
            <v>04207191</v>
          </cell>
          <cell r="I93">
            <v>25.12</v>
          </cell>
          <cell r="J93">
            <v>3.14</v>
          </cell>
          <cell r="K93" t="str">
            <v>HORIZONTE</v>
          </cell>
          <cell r="L93">
            <v>15</v>
          </cell>
          <cell r="M93">
            <v>3</v>
          </cell>
          <cell r="P93">
            <v>30</v>
          </cell>
          <cell r="Q93">
            <v>376.8</v>
          </cell>
          <cell r="R93">
            <v>75.36</v>
          </cell>
          <cell r="S93">
            <v>0</v>
          </cell>
          <cell r="T93">
            <v>0</v>
          </cell>
          <cell r="U93">
            <v>117.75</v>
          </cell>
          <cell r="AB93">
            <v>569.91000000000008</v>
          </cell>
          <cell r="AC93">
            <v>0</v>
          </cell>
          <cell r="AD93">
            <v>68.389200000000002</v>
          </cell>
          <cell r="AE93">
            <v>5.0152080000000012</v>
          </cell>
          <cell r="AF93">
            <v>11.113245000000001</v>
          </cell>
          <cell r="AH93">
            <v>84.51765300000001</v>
          </cell>
          <cell r="AJ93">
            <v>84.51765300000001</v>
          </cell>
          <cell r="AL93">
            <v>485.39234700000009</v>
          </cell>
          <cell r="AO93">
            <v>0</v>
          </cell>
          <cell r="AR93">
            <v>485.39234700000009</v>
          </cell>
          <cell r="AS93">
            <v>51.291900000000005</v>
          </cell>
          <cell r="AU93">
            <v>10.486344000000001</v>
          </cell>
          <cell r="AV93">
            <v>11.398200000000001</v>
          </cell>
          <cell r="AW93">
            <v>20.57328</v>
          </cell>
          <cell r="AX93">
            <v>9.8721600000000009</v>
          </cell>
          <cell r="AY93">
            <v>103.62188399999999</v>
          </cell>
          <cell r="AZ93">
            <v>673.5318840000001</v>
          </cell>
          <cell r="BA93">
            <v>47.473503000000008</v>
          </cell>
          <cell r="BB93">
            <v>46.315156999999999</v>
          </cell>
          <cell r="BC93">
            <v>92.630313999999998</v>
          </cell>
          <cell r="BD93">
            <v>186.41897399999999</v>
          </cell>
          <cell r="BE93">
            <v>859.95085800000015</v>
          </cell>
          <cell r="BF93">
            <v>57.330057200000013</v>
          </cell>
          <cell r="BG93">
            <v>228.22475000000003</v>
          </cell>
        </row>
        <row r="94">
          <cell r="A94">
            <v>86</v>
          </cell>
          <cell r="B94">
            <v>86</v>
          </cell>
          <cell r="C94" t="str">
            <v>VILLANUEVA RAMON, Nicolas Rudi</v>
          </cell>
          <cell r="D94" t="str">
            <v>CARGADOR/DISPARADOR1</v>
          </cell>
          <cell r="E94">
            <v>38761</v>
          </cell>
          <cell r="H94" t="str">
            <v>04068792</v>
          </cell>
          <cell r="I94">
            <v>35.700000000000003</v>
          </cell>
          <cell r="J94">
            <v>4.4625000000000004</v>
          </cell>
          <cell r="K94" t="str">
            <v>INTEGRA</v>
          </cell>
          <cell r="L94">
            <v>24</v>
          </cell>
          <cell r="M94">
            <v>5</v>
          </cell>
          <cell r="O94">
            <v>1</v>
          </cell>
          <cell r="P94">
            <v>50</v>
          </cell>
          <cell r="Q94">
            <v>856.80000000000007</v>
          </cell>
          <cell r="R94">
            <v>178.5</v>
          </cell>
          <cell r="S94">
            <v>0</v>
          </cell>
          <cell r="T94">
            <v>35.700000000000003</v>
          </cell>
          <cell r="U94">
            <v>278.90625000000006</v>
          </cell>
          <cell r="V94">
            <v>50</v>
          </cell>
          <cell r="AB94">
            <v>1399.9062500000002</v>
          </cell>
          <cell r="AC94">
            <v>0</v>
          </cell>
          <cell r="AD94">
            <v>167.98875000000001</v>
          </cell>
          <cell r="AE94">
            <v>12.319175000000003</v>
          </cell>
          <cell r="AF94">
            <v>25.198312500000007</v>
          </cell>
          <cell r="AH94">
            <v>205.50623750000003</v>
          </cell>
          <cell r="AJ94">
            <v>205.50623750000003</v>
          </cell>
          <cell r="AL94">
            <v>1194.4000125000002</v>
          </cell>
          <cell r="AN94">
            <v>2.5</v>
          </cell>
          <cell r="AO94">
            <v>2.5</v>
          </cell>
          <cell r="AP94">
            <v>200</v>
          </cell>
          <cell r="AR94">
            <v>991.90001250000023</v>
          </cell>
          <cell r="AS94">
            <v>125.99156250000001</v>
          </cell>
          <cell r="AU94">
            <v>25.758275000000005</v>
          </cell>
          <cell r="AV94">
            <v>27.998125000000005</v>
          </cell>
          <cell r="AW94">
            <v>29.238300000000002</v>
          </cell>
          <cell r="AX94">
            <v>14.030100000000001</v>
          </cell>
          <cell r="AY94">
            <v>223.01636250000004</v>
          </cell>
          <cell r="AZ94">
            <v>1622.9226125000002</v>
          </cell>
          <cell r="BA94">
            <v>116.61219062500001</v>
          </cell>
          <cell r="BB94">
            <v>109.02636354166668</v>
          </cell>
          <cell r="BC94">
            <v>215.66939375000004</v>
          </cell>
          <cell r="BD94">
            <v>441.30794791666676</v>
          </cell>
          <cell r="BE94">
            <v>2064.2305604166668</v>
          </cell>
          <cell r="BF94">
            <v>86.009606684027787</v>
          </cell>
          <cell r="BG94">
            <v>240.92326802248678</v>
          </cell>
        </row>
        <row r="95">
          <cell r="A95">
            <v>87</v>
          </cell>
          <cell r="B95">
            <v>87</v>
          </cell>
          <cell r="C95" t="str">
            <v>YALICO CARHUARICRA, Jaime</v>
          </cell>
          <cell r="D95" t="str">
            <v>AYUDANTE PERFORISTA</v>
          </cell>
          <cell r="E95">
            <v>38808</v>
          </cell>
          <cell r="G95">
            <v>26345</v>
          </cell>
          <cell r="H95" t="str">
            <v>04068576</v>
          </cell>
          <cell r="I95">
            <v>25.12</v>
          </cell>
          <cell r="J95">
            <v>3.14</v>
          </cell>
          <cell r="K95" t="str">
            <v>ONP</v>
          </cell>
          <cell r="L95">
            <v>22</v>
          </cell>
          <cell r="M95">
            <v>5</v>
          </cell>
          <cell r="O95">
            <v>3</v>
          </cell>
          <cell r="P95">
            <v>50</v>
          </cell>
          <cell r="Q95">
            <v>552.64</v>
          </cell>
          <cell r="R95">
            <v>125.60000000000001</v>
          </cell>
          <cell r="S95">
            <v>0</v>
          </cell>
          <cell r="T95">
            <v>75.36</v>
          </cell>
          <cell r="U95">
            <v>196.25</v>
          </cell>
          <cell r="V95">
            <v>50</v>
          </cell>
          <cell r="AB95">
            <v>999.85</v>
          </cell>
          <cell r="AC95">
            <v>129.98050000000001</v>
          </cell>
          <cell r="AD95">
            <v>0</v>
          </cell>
          <cell r="AE95">
            <v>0</v>
          </cell>
          <cell r="AF95">
            <v>0</v>
          </cell>
          <cell r="AH95">
            <v>129.98050000000001</v>
          </cell>
          <cell r="AJ95">
            <v>129.98050000000001</v>
          </cell>
          <cell r="AL95">
            <v>869.86950000000002</v>
          </cell>
          <cell r="AO95">
            <v>0</v>
          </cell>
          <cell r="AR95">
            <v>869.86950000000002</v>
          </cell>
          <cell r="AS95">
            <v>89.986499999999992</v>
          </cell>
          <cell r="AU95">
            <v>18.39724</v>
          </cell>
          <cell r="AV95">
            <v>0</v>
          </cell>
          <cell r="AW95">
            <v>20.57328</v>
          </cell>
          <cell r="AX95">
            <v>9.8721600000000009</v>
          </cell>
          <cell r="AY95">
            <v>138.82918000000001</v>
          </cell>
          <cell r="AZ95">
            <v>1138.6791800000001</v>
          </cell>
          <cell r="BA95">
            <v>83.287504999999996</v>
          </cell>
          <cell r="BB95">
            <v>72.255764999999997</v>
          </cell>
          <cell r="BC95">
            <v>148.73819666666668</v>
          </cell>
          <cell r="BD95">
            <v>304.28146666666669</v>
          </cell>
          <cell r="BE95">
            <v>1442.9606466666669</v>
          </cell>
          <cell r="BF95">
            <v>65.589120303030313</v>
          </cell>
          <cell r="BG95">
            <v>261.10318591970668</v>
          </cell>
        </row>
        <row r="96">
          <cell r="A96">
            <v>88</v>
          </cell>
          <cell r="B96">
            <v>88</v>
          </cell>
          <cell r="C96" t="str">
            <v>YALLICO ESPINOZA, Henry Alex</v>
          </cell>
          <cell r="D96" t="str">
            <v>SOLDADOR</v>
          </cell>
          <cell r="E96">
            <v>38767</v>
          </cell>
          <cell r="H96" t="str">
            <v>07971566</v>
          </cell>
          <cell r="I96">
            <v>30.41</v>
          </cell>
          <cell r="J96">
            <v>3.80125</v>
          </cell>
          <cell r="K96" t="str">
            <v>PROFUTURO</v>
          </cell>
          <cell r="L96">
            <v>23</v>
          </cell>
          <cell r="M96">
            <v>5</v>
          </cell>
          <cell r="O96">
            <v>2</v>
          </cell>
          <cell r="P96">
            <v>50</v>
          </cell>
          <cell r="Q96">
            <v>699.43</v>
          </cell>
          <cell r="R96">
            <v>152.05000000000001</v>
          </cell>
          <cell r="S96">
            <v>0</v>
          </cell>
          <cell r="T96">
            <v>60.82</v>
          </cell>
          <cell r="U96">
            <v>237.578125</v>
          </cell>
          <cell r="AB96">
            <v>1149.8781250000002</v>
          </cell>
          <cell r="AC96">
            <v>0</v>
          </cell>
          <cell r="AD96">
            <v>137.985375</v>
          </cell>
          <cell r="AE96">
            <v>11.613769062500001</v>
          </cell>
          <cell r="AF96">
            <v>22.767586875000003</v>
          </cell>
          <cell r="AH96">
            <v>172.36673093750002</v>
          </cell>
          <cell r="AJ96">
            <v>172.36673093750002</v>
          </cell>
          <cell r="AL96">
            <v>977.51139406250013</v>
          </cell>
          <cell r="AO96">
            <v>0</v>
          </cell>
          <cell r="AR96">
            <v>977.51139406250013</v>
          </cell>
          <cell r="AS96">
            <v>103.48903125000001</v>
          </cell>
          <cell r="AU96">
            <v>21.157757500000002</v>
          </cell>
          <cell r="AV96">
            <v>22.997562500000004</v>
          </cell>
          <cell r="AW96">
            <v>24.90579</v>
          </cell>
          <cell r="AX96">
            <v>11.951129999999999</v>
          </cell>
          <cell r="AY96">
            <v>184.50127125000003</v>
          </cell>
          <cell r="AZ96">
            <v>1334.3793962500001</v>
          </cell>
          <cell r="BA96">
            <v>95.784847812500018</v>
          </cell>
          <cell r="BB96">
            <v>86.331772604166659</v>
          </cell>
          <cell r="BC96">
            <v>182.80021187500003</v>
          </cell>
          <cell r="BD96">
            <v>364.91683229166671</v>
          </cell>
          <cell r="BE96">
            <v>1699.2962285416668</v>
          </cell>
          <cell r="BF96">
            <v>73.882444719202908</v>
          </cell>
          <cell r="BG96">
            <v>242.95443840579711</v>
          </cell>
        </row>
        <row r="97">
          <cell r="B97" t="str">
            <v>SUB TOTAL OBREROS = 88</v>
          </cell>
          <cell r="L97">
            <v>1562</v>
          </cell>
          <cell r="M97">
            <v>357.60000000000008</v>
          </cell>
          <cell r="N97">
            <v>93</v>
          </cell>
          <cell r="O97">
            <v>201</v>
          </cell>
          <cell r="P97">
            <v>3528</v>
          </cell>
          <cell r="Q97">
            <v>49270.93</v>
          </cell>
          <cell r="R97">
            <v>11351.478000000001</v>
          </cell>
          <cell r="S97">
            <v>3135.0600000000004</v>
          </cell>
          <cell r="T97">
            <v>6551.6199999999953</v>
          </cell>
          <cell r="U97">
            <v>17456.531250000004</v>
          </cell>
          <cell r="V97">
            <v>2451.333333333333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90216.952583333332</v>
          </cell>
          <cell r="AC97">
            <v>3715.9164845833343</v>
          </cell>
          <cell r="AD97">
            <v>7395.9575549999981</v>
          </cell>
          <cell r="AE97">
            <v>578.79209517499987</v>
          </cell>
          <cell r="AF97">
            <v>1191.0263124624998</v>
          </cell>
          <cell r="AG97">
            <v>0</v>
          </cell>
          <cell r="AH97">
            <v>12881.692447220827</v>
          </cell>
          <cell r="AI97">
            <v>0</v>
          </cell>
          <cell r="AJ97">
            <v>12881.692447220827</v>
          </cell>
          <cell r="AK97">
            <v>0</v>
          </cell>
          <cell r="AL97">
            <v>77335.260136112483</v>
          </cell>
          <cell r="AM97">
            <v>371.3</v>
          </cell>
          <cell r="AN97">
            <v>1979.6</v>
          </cell>
          <cell r="AO97">
            <v>2350.8999999999996</v>
          </cell>
          <cell r="AP97">
            <v>450</v>
          </cell>
          <cell r="AQ97">
            <v>0</v>
          </cell>
          <cell r="AR97">
            <v>74534.360136112489</v>
          </cell>
          <cell r="AS97">
            <v>8119.5257325000011</v>
          </cell>
          <cell r="AT97">
            <v>0</v>
          </cell>
          <cell r="AU97">
            <v>1659.9919275333327</v>
          </cell>
          <cell r="AV97">
            <v>1232.6595924999997</v>
          </cell>
          <cell r="AW97">
            <v>2249.0639699337517</v>
          </cell>
          <cell r="AX97">
            <v>1067.9316761999994</v>
          </cell>
          <cell r="AY97">
            <v>14329.172898667093</v>
          </cell>
          <cell r="AZ97">
            <v>104546.12548200043</v>
          </cell>
          <cell r="BA97">
            <v>7515.072150191666</v>
          </cell>
          <cell r="BB97">
            <v>6711.4978526667028</v>
          </cell>
          <cell r="BC97">
            <v>14106.376816444515</v>
          </cell>
          <cell r="BD97">
            <v>28332.946819302881</v>
          </cell>
          <cell r="BE97">
            <v>132879.07230130333</v>
          </cell>
          <cell r="BF97" t="e">
            <v>#DIV/0!</v>
          </cell>
          <cell r="BG97" t="e">
            <v>#DIV/0!</v>
          </cell>
        </row>
        <row r="101">
          <cell r="B101" t="str">
            <v>2.-  PLANILLA EMPLEADOS:</v>
          </cell>
        </row>
        <row r="102">
          <cell r="B102" t="str">
            <v>Nº</v>
          </cell>
          <cell r="C102" t="str">
            <v>NOMBRE  Y  APELLIDOS</v>
          </cell>
          <cell r="D102" t="str">
            <v>CARGO
OCUPACION</v>
          </cell>
          <cell r="E102" t="str">
            <v xml:space="preserve">FECHA   INGRESO  PDT </v>
          </cell>
          <cell r="F102" t="str">
            <v>FECHA   CESE</v>
          </cell>
          <cell r="G102" t="str">
            <v>FECHA DE  NACIM.</v>
          </cell>
          <cell r="H102" t="str">
            <v>LIBRETA  ELECTORAL</v>
          </cell>
          <cell r="I102" t="str">
            <v>SUELDO</v>
          </cell>
          <cell r="J102" t="str">
            <v>IMPORTE  HORA</v>
          </cell>
          <cell r="K102" t="str">
            <v>AFP/ONP</v>
          </cell>
          <cell r="L102" t="str">
            <v>JORNADA</v>
          </cell>
          <cell r="Q102" t="str">
            <v>REMUNERACIONES</v>
          </cell>
          <cell r="AB102" t="str">
            <v>TOTAL 
REMUNERACION</v>
          </cell>
          <cell r="AC102" t="str">
            <v>RETENCIONES A CARGO DEL TRABAJADOR POR TRIBUTOS, APORTES PREVISIONALES, CUOTAS Y OTROS CONCEPTOS</v>
          </cell>
          <cell r="AH102" t="str">
            <v xml:space="preserve">TOTAL                   DCTO                   LEY </v>
          </cell>
          <cell r="AI102" t="str">
            <v xml:space="preserve">ADELANTO VACACIONES MARZO-05  </v>
          </cell>
          <cell r="AJ102" t="str">
            <v>TOTAL  DCTO LEY  +  ADELANTO VACACIONES</v>
          </cell>
          <cell r="AK102" t="str">
            <v xml:space="preserve">CTS   </v>
          </cell>
          <cell r="AL102" t="str">
            <v>TOTAL A GANAR</v>
          </cell>
          <cell r="AM102" t="str">
            <v>DCTO  PENSION   Y MERCANTIL  SAUCESITO</v>
          </cell>
          <cell r="AN102" t="str">
            <v>DCTO  PENSION   Y MERCANTIL  AUROMINAS</v>
          </cell>
          <cell r="AO102" t="str">
            <v>TOTAL DESCUENTOS</v>
          </cell>
          <cell r="AP102" t="str">
            <v>DESCUENTO JUDICIAL</v>
          </cell>
          <cell r="AQ102" t="str">
            <v>ADELANTO</v>
          </cell>
          <cell r="AR102" t="str">
            <v>TOTAL   NETO     GANADO</v>
          </cell>
          <cell r="AS102" t="str">
            <v>TRIBUTOS Y APORTES A CARGO DEL EMPLEADOR</v>
          </cell>
          <cell r="AZ102" t="str">
            <v>COSTO   PLANILLA                          S / BS</v>
          </cell>
          <cell r="BA102" t="str">
            <v>CTS                                                                              8.33%</v>
          </cell>
          <cell r="BB102" t="str">
            <v>VACACIONES  TRUNCAS    10.22%</v>
          </cell>
          <cell r="BC102" t="str">
            <v>GRATIFICAC    TRUNCA      20.44%</v>
          </cell>
          <cell r="BD102" t="str">
            <v>TOTAL   BENEFICIOS SOCIALES</v>
          </cell>
          <cell r="BE102" t="str">
            <v>GRAN   TOTAL COSTO PLANILLA</v>
          </cell>
        </row>
        <row r="103">
          <cell r="L103" t="str">
            <v>T.O</v>
          </cell>
          <cell r="M103" t="str">
            <v>D Y F     LEY</v>
          </cell>
          <cell r="N103" t="str">
            <v>SUBSID</v>
          </cell>
          <cell r="O103">
            <v>3</v>
          </cell>
          <cell r="P103">
            <v>50</v>
          </cell>
          <cell r="Q103" t="str">
            <v>IMPORTES</v>
          </cell>
          <cell r="V103" t="str">
            <v>ASIGNACION FAMILIAR</v>
          </cell>
          <cell r="W103" t="str">
            <v>BONOS</v>
          </cell>
          <cell r="X103" t="str">
            <v>REINTEGROS</v>
          </cell>
          <cell r="Y103" t="str">
            <v xml:space="preserve">VACACIONES   MARZO-05 </v>
          </cell>
          <cell r="Z103" t="str">
            <v>VAC  TRUNCAS</v>
          </cell>
          <cell r="AA103" t="str">
            <v xml:space="preserve">GRATIFICACIO      TRUNCAS </v>
          </cell>
          <cell r="AC103" t="str">
            <v>S.  N.  P.</v>
          </cell>
          <cell r="AD103" t="str">
            <v>SISTEMA PRIVADO DE PENSIONES</v>
          </cell>
          <cell r="AG103" t="str">
            <v>RENTA                        5ta</v>
          </cell>
          <cell r="AS103" t="str">
            <v>ESSALUD    
 9%</v>
          </cell>
          <cell r="AT103" t="str">
            <v>I.E.S  
1.70 %</v>
          </cell>
          <cell r="AU103" t="str">
            <v>SCTR               1.74%</v>
          </cell>
          <cell r="AV103" t="str">
            <v>LEY  27252       ALTO RIESGO     2%</v>
          </cell>
          <cell r="AW103" t="str">
            <v>SCTR-P        RIMAC              2.65%</v>
          </cell>
          <cell r="AX103" t="str">
            <v>VIDA LEY  RIMAC        0.53%</v>
          </cell>
          <cell r="AY103" t="str">
            <v>TOTAL APORTES       18.39%</v>
          </cell>
        </row>
        <row r="104">
          <cell r="Q104" t="str">
            <v>ORDINARIO</v>
          </cell>
          <cell r="S104" t="str">
            <v>SUBSIDIOS</v>
          </cell>
          <cell r="T104" t="str">
            <v>EXT                                  25%</v>
          </cell>
          <cell r="U104" t="str">
            <v>EXT                                  100%</v>
          </cell>
          <cell r="AD104" t="str">
            <v xml:space="preserve">Obligat. 10% </v>
          </cell>
          <cell r="AE104" t="str">
            <v>SEG.</v>
          </cell>
          <cell r="AF104" t="str">
            <v>COMISI</v>
          </cell>
        </row>
        <row r="105">
          <cell r="A105">
            <v>89</v>
          </cell>
          <cell r="B105">
            <v>1</v>
          </cell>
          <cell r="C105" t="str">
            <v>ARROYO SOTO, Abilio</v>
          </cell>
          <cell r="D105" t="str">
            <v>ADMINISTRADOR</v>
          </cell>
          <cell r="E105">
            <v>38756</v>
          </cell>
          <cell r="H105" t="str">
            <v>16152110</v>
          </cell>
          <cell r="I105">
            <v>1750</v>
          </cell>
          <cell r="K105" t="str">
            <v>UNION</v>
          </cell>
          <cell r="L105">
            <v>30</v>
          </cell>
          <cell r="Q105">
            <v>1750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50</v>
          </cell>
          <cell r="AB105">
            <v>1800</v>
          </cell>
          <cell r="AC105">
            <v>0</v>
          </cell>
          <cell r="AD105">
            <v>180</v>
          </cell>
          <cell r="AE105">
            <v>16.200000000000003</v>
          </cell>
          <cell r="AF105">
            <v>34.92</v>
          </cell>
          <cell r="AH105">
            <v>231.12</v>
          </cell>
          <cell r="AJ105">
            <v>231.12</v>
          </cell>
          <cell r="AL105">
            <v>1568.88</v>
          </cell>
          <cell r="AO105">
            <v>0</v>
          </cell>
          <cell r="AR105">
            <v>1568.88</v>
          </cell>
          <cell r="AS105">
            <v>162</v>
          </cell>
          <cell r="AU105">
            <v>33.119999999999997</v>
          </cell>
          <cell r="AV105">
            <v>0</v>
          </cell>
          <cell r="AW105">
            <v>49.130999999999993</v>
          </cell>
          <cell r="AX105">
            <v>8.6399999999999988</v>
          </cell>
          <cell r="AY105">
            <v>252.89099999999999</v>
          </cell>
          <cell r="AZ105">
            <v>2052.8910000000001</v>
          </cell>
          <cell r="BA105">
            <v>149.94</v>
          </cell>
          <cell r="BB105">
            <v>171.07425000000001</v>
          </cell>
          <cell r="BC105">
            <v>333.8151666666667</v>
          </cell>
          <cell r="BD105">
            <v>654.8294166666667</v>
          </cell>
          <cell r="BE105">
            <v>2707.720416666667</v>
          </cell>
        </row>
        <row r="106">
          <cell r="A106">
            <v>90</v>
          </cell>
          <cell r="B106">
            <v>2</v>
          </cell>
          <cell r="C106" t="str">
            <v>BENITES MORALES, Luis</v>
          </cell>
          <cell r="D106" t="str">
            <v>INGENIERIO RESIDENTE</v>
          </cell>
          <cell r="E106">
            <v>38847</v>
          </cell>
          <cell r="H106" t="str">
            <v>10096631</v>
          </cell>
          <cell r="I106">
            <v>5450</v>
          </cell>
          <cell r="K106" t="str">
            <v>HORIZONTE</v>
          </cell>
          <cell r="L106">
            <v>30</v>
          </cell>
          <cell r="Q106">
            <v>5450</v>
          </cell>
          <cell r="AB106">
            <v>5450</v>
          </cell>
          <cell r="AC106">
            <v>0</v>
          </cell>
          <cell r="AD106">
            <v>545</v>
          </cell>
          <cell r="AE106">
            <v>47.96</v>
          </cell>
          <cell r="AF106">
            <v>106.27500000000001</v>
          </cell>
          <cell r="AG106">
            <v>549.05999999999995</v>
          </cell>
          <cell r="AH106">
            <v>1248.2950000000001</v>
          </cell>
          <cell r="AJ106">
            <v>1248.2950000000001</v>
          </cell>
          <cell r="AL106">
            <v>4201.7049999999999</v>
          </cell>
          <cell r="AO106">
            <v>0</v>
          </cell>
          <cell r="AQ106">
            <v>2000</v>
          </cell>
          <cell r="AR106">
            <v>2201.7049999999999</v>
          </cell>
          <cell r="AS106">
            <v>490.5</v>
          </cell>
          <cell r="AU106">
            <v>100.28</v>
          </cell>
          <cell r="AV106">
            <v>0</v>
          </cell>
          <cell r="AW106">
            <v>148.75774999999999</v>
          </cell>
          <cell r="AX106">
            <v>26.159999999999997</v>
          </cell>
          <cell r="AY106">
            <v>765.69774999999993</v>
          </cell>
          <cell r="AZ106">
            <v>6215.6977500000003</v>
          </cell>
          <cell r="BA106">
            <v>453.98500000000001</v>
          </cell>
          <cell r="BB106">
            <v>517.97481249999998</v>
          </cell>
          <cell r="BC106">
            <v>1035.949625</v>
          </cell>
          <cell r="BD106">
            <v>2007.9094375</v>
          </cell>
          <cell r="BE106">
            <v>8223.6071874999998</v>
          </cell>
        </row>
        <row r="107">
          <cell r="A107">
            <v>91</v>
          </cell>
          <cell r="B107">
            <v>3</v>
          </cell>
          <cell r="C107" t="str">
            <v>CUELLAR MUÑOZ, Raul</v>
          </cell>
          <cell r="D107" t="str">
            <v>JEFE GUARDIA</v>
          </cell>
          <cell r="E107">
            <v>38810</v>
          </cell>
          <cell r="H107" t="str">
            <v>04056567</v>
          </cell>
          <cell r="I107">
            <v>1550</v>
          </cell>
          <cell r="K107" t="str">
            <v>HORIZONTE</v>
          </cell>
          <cell r="L107">
            <v>30</v>
          </cell>
          <cell r="Q107">
            <v>1550</v>
          </cell>
          <cell r="AB107">
            <v>1550</v>
          </cell>
          <cell r="AC107">
            <v>0</v>
          </cell>
          <cell r="AD107">
            <v>155</v>
          </cell>
          <cell r="AE107">
            <v>13.64</v>
          </cell>
          <cell r="AF107">
            <v>30.225000000000001</v>
          </cell>
          <cell r="AH107">
            <v>198.86499999999998</v>
          </cell>
          <cell r="AJ107">
            <v>198.86499999999998</v>
          </cell>
          <cell r="AL107">
            <v>1351.135</v>
          </cell>
          <cell r="AO107">
            <v>0</v>
          </cell>
          <cell r="AR107">
            <v>1351.135</v>
          </cell>
          <cell r="AS107">
            <v>139.5</v>
          </cell>
          <cell r="AU107">
            <v>28.52</v>
          </cell>
          <cell r="AV107">
            <v>0</v>
          </cell>
          <cell r="AW107">
            <v>42.307249999999996</v>
          </cell>
          <cell r="AX107">
            <v>7.4399999999999995</v>
          </cell>
          <cell r="AY107">
            <v>217.76724999999999</v>
          </cell>
          <cell r="AZ107">
            <v>1767.7672499999999</v>
          </cell>
          <cell r="BA107">
            <v>129.11500000000001</v>
          </cell>
          <cell r="BB107">
            <v>147.31393749999998</v>
          </cell>
          <cell r="BC107">
            <v>294.62787499999996</v>
          </cell>
          <cell r="BD107">
            <v>571.05681249999998</v>
          </cell>
          <cell r="BE107">
            <v>2338.8240624999999</v>
          </cell>
        </row>
        <row r="108">
          <cell r="A108">
            <v>92</v>
          </cell>
          <cell r="B108">
            <v>4</v>
          </cell>
          <cell r="C108" t="str">
            <v>DIAZ SANTOS, Luis Antonio</v>
          </cell>
          <cell r="D108" t="str">
            <v>ASISTENTE ADMINISTRACION</v>
          </cell>
          <cell r="E108">
            <v>38756</v>
          </cell>
          <cell r="H108" t="str">
            <v>19936302</v>
          </cell>
          <cell r="I108">
            <v>850</v>
          </cell>
          <cell r="K108" t="str">
            <v>PROFUTURO</v>
          </cell>
          <cell r="L108">
            <v>28</v>
          </cell>
          <cell r="Q108">
            <v>793.33333333333326</v>
          </cell>
          <cell r="R108">
            <v>0</v>
          </cell>
          <cell r="S108">
            <v>0</v>
          </cell>
          <cell r="T108">
            <v>6</v>
          </cell>
          <cell r="U108">
            <v>0</v>
          </cell>
          <cell r="V108">
            <v>50</v>
          </cell>
          <cell r="AB108">
            <v>849.33333333333326</v>
          </cell>
          <cell r="AC108">
            <v>0</v>
          </cell>
          <cell r="AD108">
            <v>84.933333333333337</v>
          </cell>
          <cell r="AE108">
            <v>8.578266666666666</v>
          </cell>
          <cell r="AF108">
            <v>16.816799999999997</v>
          </cell>
          <cell r="AH108">
            <v>110.3284</v>
          </cell>
          <cell r="AI108">
            <v>0</v>
          </cell>
          <cell r="AJ108">
            <v>110.3284</v>
          </cell>
          <cell r="AL108">
            <v>739.00493333333327</v>
          </cell>
          <cell r="AN108">
            <v>1.5</v>
          </cell>
          <cell r="AO108">
            <v>1.5</v>
          </cell>
          <cell r="AR108">
            <v>737.50493333333327</v>
          </cell>
          <cell r="AS108">
            <v>76.439999999999984</v>
          </cell>
          <cell r="AU108">
            <v>15.627733333333332</v>
          </cell>
          <cell r="AV108">
            <v>0</v>
          </cell>
          <cell r="AW108">
            <v>23.182553333333331</v>
          </cell>
          <cell r="AX108">
            <v>4.0767999999999995</v>
          </cell>
          <cell r="AY108">
            <v>119.32708666666664</v>
          </cell>
          <cell r="AZ108">
            <v>968.66041999999993</v>
          </cell>
          <cell r="BA108">
            <v>70.749466666666663</v>
          </cell>
          <cell r="BB108">
            <v>80.221701666666661</v>
          </cell>
          <cell r="BC108">
            <v>153.11006999999998</v>
          </cell>
          <cell r="BD108">
            <v>304.08123833333332</v>
          </cell>
          <cell r="BE108">
            <v>1272.7416583333334</v>
          </cell>
        </row>
        <row r="109">
          <cell r="A109">
            <v>93</v>
          </cell>
          <cell r="B109">
            <v>5</v>
          </cell>
          <cell r="C109" t="str">
            <v>ELIAS LA CHIRA, Celestino</v>
          </cell>
          <cell r="D109" t="str">
            <v>INSPECTOR DE SEGURIDAD</v>
          </cell>
          <cell r="E109">
            <v>38756</v>
          </cell>
          <cell r="H109" t="str">
            <v>09412515</v>
          </cell>
          <cell r="I109">
            <v>1150</v>
          </cell>
          <cell r="K109" t="str">
            <v>UNION</v>
          </cell>
          <cell r="L109">
            <v>30</v>
          </cell>
          <cell r="Q109">
            <v>1150</v>
          </cell>
          <cell r="AB109">
            <v>1150</v>
          </cell>
          <cell r="AC109">
            <v>0</v>
          </cell>
          <cell r="AD109">
            <v>115</v>
          </cell>
          <cell r="AE109">
            <v>10.350000000000001</v>
          </cell>
          <cell r="AF109">
            <v>22.310000000000002</v>
          </cell>
          <cell r="AH109">
            <v>147.66</v>
          </cell>
          <cell r="AJ109">
            <v>147.66</v>
          </cell>
          <cell r="AL109">
            <v>1002.34</v>
          </cell>
          <cell r="AN109">
            <v>31.5</v>
          </cell>
          <cell r="AO109">
            <v>31.5</v>
          </cell>
          <cell r="AR109">
            <v>970.84</v>
          </cell>
          <cell r="AS109">
            <v>103.5</v>
          </cell>
          <cell r="AU109">
            <v>21.16</v>
          </cell>
          <cell r="AV109">
            <v>0</v>
          </cell>
          <cell r="AW109">
            <v>31.389249999999997</v>
          </cell>
          <cell r="AX109">
            <v>5.52</v>
          </cell>
          <cell r="AY109">
            <v>161.56925000000001</v>
          </cell>
          <cell r="AZ109">
            <v>1311.56925</v>
          </cell>
          <cell r="BA109">
            <v>95.795000000000002</v>
          </cell>
          <cell r="BB109">
            <v>109.2974375</v>
          </cell>
          <cell r="BC109">
            <v>218.594875</v>
          </cell>
          <cell r="BD109">
            <v>423.68731250000002</v>
          </cell>
          <cell r="BE109">
            <v>1735.2565625</v>
          </cell>
        </row>
        <row r="110">
          <cell r="A110">
            <v>94</v>
          </cell>
          <cell r="B110">
            <v>6</v>
          </cell>
          <cell r="C110" t="str">
            <v>HINOSTROZA MAXIMILIANO, David</v>
          </cell>
          <cell r="D110" t="str">
            <v>INGENIERO DE SOSTENIMIENTO</v>
          </cell>
          <cell r="E110">
            <v>38852</v>
          </cell>
          <cell r="H110" t="str">
            <v>07652856</v>
          </cell>
          <cell r="I110">
            <v>1950</v>
          </cell>
          <cell r="K110" t="str">
            <v>ONP</v>
          </cell>
          <cell r="L110">
            <v>30</v>
          </cell>
          <cell r="Q110">
            <v>1950</v>
          </cell>
          <cell r="AB110">
            <v>1950</v>
          </cell>
          <cell r="AC110">
            <v>253.5</v>
          </cell>
          <cell r="AD110">
            <v>0</v>
          </cell>
          <cell r="AE110">
            <v>0</v>
          </cell>
          <cell r="AF110">
            <v>0</v>
          </cell>
          <cell r="AH110">
            <v>253.5</v>
          </cell>
          <cell r="AJ110">
            <v>253.5</v>
          </cell>
          <cell r="AL110">
            <v>1696.5</v>
          </cell>
          <cell r="AN110">
            <v>225.5</v>
          </cell>
          <cell r="AO110">
            <v>225.5</v>
          </cell>
          <cell r="AR110">
            <v>1471</v>
          </cell>
          <cell r="AS110">
            <v>175.5</v>
          </cell>
          <cell r="AU110">
            <v>35.880000000000003</v>
          </cell>
          <cell r="AV110">
            <v>0</v>
          </cell>
          <cell r="AW110">
            <v>53.225249999999996</v>
          </cell>
          <cell r="AX110">
            <v>9.36</v>
          </cell>
          <cell r="AY110">
            <v>273.96525000000003</v>
          </cell>
          <cell r="AZ110">
            <v>2223.9652500000002</v>
          </cell>
          <cell r="BA110">
            <v>162.435</v>
          </cell>
          <cell r="BB110">
            <v>185.33043750000002</v>
          </cell>
          <cell r="BC110">
            <v>370.66087500000003</v>
          </cell>
          <cell r="BD110">
            <v>718.42631249999999</v>
          </cell>
          <cell r="BE110">
            <v>2942.3915625</v>
          </cell>
        </row>
        <row r="111">
          <cell r="A111">
            <v>95</v>
          </cell>
          <cell r="B111">
            <v>7</v>
          </cell>
          <cell r="C111" t="str">
            <v>PONCE LUNA, Yincol</v>
          </cell>
          <cell r="D111" t="str">
            <v>SUPERVISOR SHOTCRETE</v>
          </cell>
          <cell r="E111">
            <v>38810</v>
          </cell>
          <cell r="H111" t="str">
            <v>40783379</v>
          </cell>
          <cell r="I111">
            <v>1950</v>
          </cell>
          <cell r="K111" t="str">
            <v>ONP</v>
          </cell>
          <cell r="L111">
            <v>30</v>
          </cell>
          <cell r="Q111">
            <v>1950</v>
          </cell>
          <cell r="AB111">
            <v>1950</v>
          </cell>
          <cell r="AC111">
            <v>253.5</v>
          </cell>
          <cell r="AD111">
            <v>0</v>
          </cell>
          <cell r="AE111">
            <v>0</v>
          </cell>
          <cell r="AF111">
            <v>0</v>
          </cell>
          <cell r="AH111">
            <v>253.5</v>
          </cell>
          <cell r="AJ111">
            <v>253.5</v>
          </cell>
          <cell r="AL111">
            <v>1696.5</v>
          </cell>
          <cell r="AO111">
            <v>0</v>
          </cell>
          <cell r="AR111">
            <v>1696.5</v>
          </cell>
          <cell r="AS111">
            <v>175.5</v>
          </cell>
          <cell r="AU111">
            <v>35.880000000000003</v>
          </cell>
          <cell r="AV111">
            <v>0</v>
          </cell>
          <cell r="AW111">
            <v>53.225249999999996</v>
          </cell>
          <cell r="AX111">
            <v>9.36</v>
          </cell>
          <cell r="AY111">
            <v>273.96525000000003</v>
          </cell>
          <cell r="AZ111">
            <v>2223.9652500000002</v>
          </cell>
          <cell r="BA111">
            <v>162.435</v>
          </cell>
          <cell r="BB111">
            <v>185.33043750000002</v>
          </cell>
          <cell r="BC111">
            <v>370.66087500000003</v>
          </cell>
          <cell r="BD111">
            <v>718.42631249999999</v>
          </cell>
          <cell r="BE111">
            <v>2942.3915625</v>
          </cell>
        </row>
        <row r="112">
          <cell r="A112">
            <v>96</v>
          </cell>
          <cell r="B112">
            <v>8</v>
          </cell>
          <cell r="C112" t="str">
            <v>QUIÑONES GUERRERO JUAN</v>
          </cell>
          <cell r="D112" t="str">
            <v>JEFE DE SEGURIDAD</v>
          </cell>
          <cell r="E112">
            <v>38819</v>
          </cell>
          <cell r="H112" t="str">
            <v>27752382</v>
          </cell>
          <cell r="I112">
            <v>4500</v>
          </cell>
          <cell r="K112" t="str">
            <v>UNION</v>
          </cell>
          <cell r="L112">
            <v>30</v>
          </cell>
          <cell r="Q112">
            <v>4500</v>
          </cell>
          <cell r="AB112">
            <v>4500</v>
          </cell>
          <cell r="AC112">
            <v>0</v>
          </cell>
          <cell r="AD112">
            <v>450</v>
          </cell>
          <cell r="AE112">
            <v>40.500000000000007</v>
          </cell>
          <cell r="AF112">
            <v>87.3</v>
          </cell>
          <cell r="AG112">
            <v>400.83</v>
          </cell>
          <cell r="AH112">
            <v>978.62999999999988</v>
          </cell>
          <cell r="AJ112">
            <v>978.62999999999988</v>
          </cell>
          <cell r="AL112">
            <v>3521.37</v>
          </cell>
          <cell r="AO112">
            <v>0</v>
          </cell>
          <cell r="AR112">
            <v>3521.37</v>
          </cell>
          <cell r="AS112">
            <v>405</v>
          </cell>
          <cell r="AU112">
            <v>82.8</v>
          </cell>
          <cell r="AV112">
            <v>0</v>
          </cell>
          <cell r="AW112">
            <v>122.8275</v>
          </cell>
          <cell r="AX112">
            <v>21.599999999999998</v>
          </cell>
          <cell r="AY112">
            <v>632.22750000000008</v>
          </cell>
          <cell r="AZ112">
            <v>5132.2275</v>
          </cell>
          <cell r="BA112">
            <v>374.85</v>
          </cell>
          <cell r="BB112">
            <v>427.68562500000002</v>
          </cell>
          <cell r="BC112">
            <v>855.37125000000003</v>
          </cell>
          <cell r="BD112">
            <v>1657.9068750000001</v>
          </cell>
          <cell r="BE112">
            <v>6790.1343749999996</v>
          </cell>
        </row>
        <row r="113">
          <cell r="A113">
            <v>97</v>
          </cell>
          <cell r="B113">
            <v>9</v>
          </cell>
          <cell r="C113" t="str">
            <v>QUISPE HUERTAS, Javier</v>
          </cell>
          <cell r="D113" t="str">
            <v>JEFE GUARDIA</v>
          </cell>
          <cell r="E113">
            <v>38756</v>
          </cell>
          <cell r="H113" t="str">
            <v>04064883</v>
          </cell>
          <cell r="I113">
            <v>1550</v>
          </cell>
          <cell r="K113" t="str">
            <v>ONP</v>
          </cell>
          <cell r="L113">
            <v>30</v>
          </cell>
          <cell r="Q113">
            <v>1550</v>
          </cell>
          <cell r="R113">
            <v>0</v>
          </cell>
          <cell r="S113">
            <v>0</v>
          </cell>
          <cell r="U113">
            <v>0</v>
          </cell>
          <cell r="AB113">
            <v>1550</v>
          </cell>
          <cell r="AC113">
            <v>201.5</v>
          </cell>
          <cell r="AD113">
            <v>0</v>
          </cell>
          <cell r="AE113">
            <v>0</v>
          </cell>
          <cell r="AF113">
            <v>0</v>
          </cell>
          <cell r="AH113">
            <v>201.5</v>
          </cell>
          <cell r="AJ113">
            <v>201.5</v>
          </cell>
          <cell r="AL113">
            <v>1348.5</v>
          </cell>
          <cell r="AO113">
            <v>0</v>
          </cell>
          <cell r="AP113">
            <v>650</v>
          </cell>
          <cell r="AR113">
            <v>698.5</v>
          </cell>
          <cell r="AS113">
            <v>139.5</v>
          </cell>
          <cell r="AU113">
            <v>28.52</v>
          </cell>
          <cell r="AV113">
            <v>0</v>
          </cell>
          <cell r="AW113">
            <v>42.307249999999996</v>
          </cell>
          <cell r="AX113">
            <v>7.4399999999999995</v>
          </cell>
          <cell r="AY113">
            <v>217.76724999999999</v>
          </cell>
          <cell r="AZ113">
            <v>1767.7672499999999</v>
          </cell>
          <cell r="BA113">
            <v>129.11500000000001</v>
          </cell>
          <cell r="BB113">
            <v>147.31393749999998</v>
          </cell>
          <cell r="BC113">
            <v>294.62787499999996</v>
          </cell>
          <cell r="BD113">
            <v>571.05681249999998</v>
          </cell>
          <cell r="BE113">
            <v>2338.8240624999999</v>
          </cell>
        </row>
        <row r="114">
          <cell r="A114">
            <v>98</v>
          </cell>
          <cell r="B114">
            <v>10</v>
          </cell>
          <cell r="C114" t="str">
            <v>ROMERO PANEZ, Jaime William</v>
          </cell>
          <cell r="D114" t="str">
            <v>ASISTENTE ADMINISTRACION</v>
          </cell>
          <cell r="E114">
            <v>38847</v>
          </cell>
          <cell r="H114" t="str">
            <v>04083768</v>
          </cell>
          <cell r="I114">
            <v>1450</v>
          </cell>
          <cell r="K114" t="str">
            <v>UNION</v>
          </cell>
          <cell r="L114">
            <v>30</v>
          </cell>
          <cell r="Q114">
            <v>1450</v>
          </cell>
          <cell r="V114">
            <v>50</v>
          </cell>
          <cell r="AB114">
            <v>1500</v>
          </cell>
          <cell r="AC114">
            <v>0</v>
          </cell>
          <cell r="AD114">
            <v>150</v>
          </cell>
          <cell r="AE114">
            <v>13.500000000000002</v>
          </cell>
          <cell r="AF114">
            <v>29.1</v>
          </cell>
          <cell r="AH114">
            <v>192.6</v>
          </cell>
          <cell r="AJ114">
            <v>192.6</v>
          </cell>
          <cell r="AL114">
            <v>1307.4000000000001</v>
          </cell>
          <cell r="AM114">
            <v>0</v>
          </cell>
          <cell r="AN114">
            <v>35.5</v>
          </cell>
          <cell r="AR114">
            <v>1307.4000000000001</v>
          </cell>
          <cell r="AS114">
            <v>135</v>
          </cell>
          <cell r="AT114">
            <v>0</v>
          </cell>
          <cell r="AU114">
            <v>27.599999999999998</v>
          </cell>
          <cell r="AV114">
            <v>1</v>
          </cell>
          <cell r="AW114">
            <v>40.942500000000003</v>
          </cell>
          <cell r="AX114">
            <v>7.1999999999999993</v>
          </cell>
          <cell r="AY114">
            <v>211.74249999999998</v>
          </cell>
          <cell r="AZ114">
            <v>1711.7425000000001</v>
          </cell>
          <cell r="BA114">
            <v>124.95</v>
          </cell>
          <cell r="BB114">
            <v>142.64520833333333</v>
          </cell>
          <cell r="BC114">
            <v>276.95708333333334</v>
          </cell>
          <cell r="BD114">
            <v>544.55229166666663</v>
          </cell>
          <cell r="BE114">
            <v>2256.2947916666667</v>
          </cell>
        </row>
        <row r="115">
          <cell r="A115">
            <v>99</v>
          </cell>
          <cell r="B115">
            <v>11</v>
          </cell>
          <cell r="C115" t="str">
            <v>VILA HUAMANI, Nalda</v>
          </cell>
          <cell r="D115" t="str">
            <v>LEGAL</v>
          </cell>
          <cell r="E115">
            <v>38777</v>
          </cell>
          <cell r="H115" t="str">
            <v>40044955</v>
          </cell>
          <cell r="I115">
            <v>2000</v>
          </cell>
          <cell r="K115" t="str">
            <v>ONP</v>
          </cell>
          <cell r="L115">
            <v>30</v>
          </cell>
          <cell r="Q115">
            <v>2000.0000000000002</v>
          </cell>
          <cell r="AB115">
            <v>2000.0000000000002</v>
          </cell>
          <cell r="AC115">
            <v>260.00000000000006</v>
          </cell>
          <cell r="AD115">
            <v>0</v>
          </cell>
          <cell r="AE115">
            <v>0</v>
          </cell>
          <cell r="AF115">
            <v>0</v>
          </cell>
          <cell r="AG115">
            <v>3</v>
          </cell>
          <cell r="AH115">
            <v>263.00000000000006</v>
          </cell>
          <cell r="AJ115">
            <v>263.00000000000006</v>
          </cell>
          <cell r="AL115">
            <v>1737.0000000000002</v>
          </cell>
          <cell r="AO115">
            <v>0</v>
          </cell>
          <cell r="AR115">
            <v>1737.0000000000002</v>
          </cell>
          <cell r="AS115">
            <v>180</v>
          </cell>
          <cell r="AU115">
            <v>36.800000000000004</v>
          </cell>
          <cell r="AV115">
            <v>0</v>
          </cell>
          <cell r="AW115">
            <v>54.590000000000011</v>
          </cell>
          <cell r="AX115">
            <v>9.6</v>
          </cell>
          <cell r="AY115">
            <v>280.99000000000007</v>
          </cell>
          <cell r="AZ115">
            <v>2280.9900000000002</v>
          </cell>
          <cell r="BA115">
            <v>166.60000000000002</v>
          </cell>
          <cell r="BB115">
            <v>190.08250000000001</v>
          </cell>
          <cell r="BC115">
            <v>380.16500000000002</v>
          </cell>
          <cell r="BD115">
            <v>736.84750000000008</v>
          </cell>
          <cell r="BE115">
            <v>3017.8375000000005</v>
          </cell>
        </row>
        <row r="116">
          <cell r="A116">
            <v>100</v>
          </cell>
          <cell r="B116">
            <v>12</v>
          </cell>
          <cell r="C116" t="str">
            <v>VILA HUAROC, VICTOR</v>
          </cell>
          <cell r="D116" t="str">
            <v>GERENTE</v>
          </cell>
          <cell r="E116">
            <v>38756</v>
          </cell>
          <cell r="H116" t="str">
            <v>20007579</v>
          </cell>
          <cell r="I116">
            <v>3450</v>
          </cell>
          <cell r="K116" t="str">
            <v>HORIZONTE</v>
          </cell>
          <cell r="L116">
            <v>30</v>
          </cell>
          <cell r="Q116">
            <v>3450</v>
          </cell>
          <cell r="AB116">
            <v>3450</v>
          </cell>
          <cell r="AC116">
            <v>0</v>
          </cell>
          <cell r="AD116">
            <v>345</v>
          </cell>
          <cell r="AE116">
            <v>30.360000000000003</v>
          </cell>
          <cell r="AF116">
            <v>67.275000000000006</v>
          </cell>
          <cell r="AG116">
            <v>272.93</v>
          </cell>
          <cell r="AH116">
            <v>715.56500000000005</v>
          </cell>
          <cell r="AJ116">
            <v>715.56500000000005</v>
          </cell>
          <cell r="AL116">
            <v>2734.4349999999999</v>
          </cell>
          <cell r="AO116">
            <v>0</v>
          </cell>
          <cell r="AR116">
            <v>2734.4349999999999</v>
          </cell>
          <cell r="AS116">
            <v>310.5</v>
          </cell>
          <cell r="AU116">
            <v>63.48</v>
          </cell>
          <cell r="AV116">
            <v>0</v>
          </cell>
          <cell r="AW116">
            <v>94.167749999999998</v>
          </cell>
          <cell r="AX116">
            <v>16.559999999999999</v>
          </cell>
          <cell r="AY116">
            <v>484.70775000000003</v>
          </cell>
          <cell r="AZ116">
            <v>3934.70775</v>
          </cell>
          <cell r="BA116">
            <v>287.38499999999999</v>
          </cell>
          <cell r="BB116">
            <v>327.8923125</v>
          </cell>
          <cell r="BC116">
            <v>655.78462500000001</v>
          </cell>
          <cell r="BD116">
            <v>1271.0619375000001</v>
          </cell>
          <cell r="BE116">
            <v>5205.7696875000001</v>
          </cell>
        </row>
        <row r="117">
          <cell r="B117" t="str">
            <v>SUB  TOTAL EMPLEADOS = 12</v>
          </cell>
          <cell r="L117">
            <v>358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27543.333333333336</v>
          </cell>
          <cell r="R117">
            <v>0</v>
          </cell>
          <cell r="S117">
            <v>0</v>
          </cell>
          <cell r="T117">
            <v>6</v>
          </cell>
          <cell r="U117">
            <v>0</v>
          </cell>
          <cell r="V117">
            <v>150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27699.333333333336</v>
          </cell>
          <cell r="AC117">
            <v>968.5</v>
          </cell>
          <cell r="AD117">
            <v>2024.9333333333334</v>
          </cell>
          <cell r="AE117">
            <v>181.08826666666667</v>
          </cell>
          <cell r="AF117">
            <v>394.22180000000003</v>
          </cell>
          <cell r="AG117">
            <v>1225.82</v>
          </cell>
          <cell r="AH117">
            <v>4794.5634</v>
          </cell>
          <cell r="AI117">
            <v>0</v>
          </cell>
          <cell r="AJ117">
            <v>4794.5634</v>
          </cell>
          <cell r="AK117">
            <v>0</v>
          </cell>
          <cell r="AL117">
            <v>22904.769933333337</v>
          </cell>
          <cell r="AM117">
            <v>0</v>
          </cell>
          <cell r="AN117">
            <v>294</v>
          </cell>
          <cell r="AO117">
            <v>258.5</v>
          </cell>
          <cell r="AQ117">
            <v>2000</v>
          </cell>
          <cell r="AR117">
            <v>19996.269933333337</v>
          </cell>
          <cell r="AS117">
            <v>2492.94</v>
          </cell>
          <cell r="AT117">
            <v>0</v>
          </cell>
          <cell r="AU117">
            <v>509.66773333333339</v>
          </cell>
          <cell r="AV117">
            <v>1</v>
          </cell>
          <cell r="AW117">
            <v>756.05330333333325</v>
          </cell>
          <cell r="AX117">
            <v>132.95679999999999</v>
          </cell>
          <cell r="AY117">
            <v>3892.6178366666663</v>
          </cell>
          <cell r="AZ117">
            <v>31591.951170000008</v>
          </cell>
          <cell r="BA117">
            <v>2307.3544666666667</v>
          </cell>
          <cell r="BB117">
            <v>2632.1625975000002</v>
          </cell>
          <cell r="BC117">
            <v>5240.3251950000003</v>
          </cell>
          <cell r="BD117">
            <v>10179.842259166668</v>
          </cell>
          <cell r="BE117">
            <v>41771.793429166661</v>
          </cell>
        </row>
        <row r="119">
          <cell r="B119" t="str">
            <v>TOTAL PLANILLA MAYO- 2005</v>
          </cell>
          <cell r="L119">
            <v>1920</v>
          </cell>
          <cell r="M119">
            <v>357.60000000000008</v>
          </cell>
          <cell r="N119">
            <v>93</v>
          </cell>
          <cell r="O119">
            <v>201</v>
          </cell>
          <cell r="P119">
            <v>3528</v>
          </cell>
          <cell r="Q119">
            <v>76814.263333333336</v>
          </cell>
          <cell r="R119">
            <v>11351.478000000001</v>
          </cell>
          <cell r="S119">
            <v>3135.0600000000004</v>
          </cell>
          <cell r="T119">
            <v>6557.6199999999953</v>
          </cell>
          <cell r="U119">
            <v>17456.531250000004</v>
          </cell>
          <cell r="V119">
            <v>2601.333333333333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117916.28591666667</v>
          </cell>
          <cell r="AC119">
            <v>4684.4164845833347</v>
          </cell>
          <cell r="AD119">
            <v>9420.8908883333315</v>
          </cell>
          <cell r="AE119">
            <v>759.88036184166651</v>
          </cell>
          <cell r="AF119">
            <v>1585.2481124624999</v>
          </cell>
          <cell r="AG119">
            <v>1225.82</v>
          </cell>
          <cell r="AH119">
            <v>17676.255847220826</v>
          </cell>
          <cell r="AI119">
            <v>0</v>
          </cell>
          <cell r="AJ119">
            <v>17676.255847220826</v>
          </cell>
          <cell r="AK119">
            <v>0</v>
          </cell>
          <cell r="AL119">
            <v>100240.03006944581</v>
          </cell>
          <cell r="AM119">
            <v>371.3</v>
          </cell>
          <cell r="AN119">
            <v>2273.6</v>
          </cell>
          <cell r="AO119">
            <v>2609.3999999999996</v>
          </cell>
          <cell r="AQ119">
            <v>2000</v>
          </cell>
          <cell r="AR119">
            <v>94530.630069445819</v>
          </cell>
          <cell r="AS119">
            <v>10612.465732500001</v>
          </cell>
          <cell r="AT119">
            <v>0</v>
          </cell>
          <cell r="AU119">
            <v>2169.6596608666659</v>
          </cell>
          <cell r="AV119">
            <v>1233.6595924999997</v>
          </cell>
          <cell r="AW119">
            <v>3005.1172732670848</v>
          </cell>
          <cell r="AX119">
            <v>1200.8884761999993</v>
          </cell>
          <cell r="AY119">
            <v>18221.790735333758</v>
          </cell>
          <cell r="AZ119">
            <v>136138.07665200043</v>
          </cell>
          <cell r="BA119">
            <v>9822.4266168583326</v>
          </cell>
          <cell r="BB119">
            <v>9343.6604501667025</v>
          </cell>
          <cell r="BC119">
            <v>19346.702011444515</v>
          </cell>
          <cell r="BD119">
            <v>38512.789078469548</v>
          </cell>
          <cell r="BE119">
            <v>174650.86573046999</v>
          </cell>
        </row>
      </sheetData>
      <sheetData sheetId="11" refreshError="1"/>
      <sheetData sheetId="12" refreshError="1"/>
      <sheetData sheetId="1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INTEGRO"/>
      <sheetName val="REMESA"/>
      <sheetName val="OBRE 1"/>
      <sheetName val="OBRE 2"/>
      <sheetName val="OBRE 3"/>
      <sheetName val="PENSION 1"/>
      <sheetName val="LIQUIDADOS"/>
      <sheetName val="PENSION SAUCESITO"/>
      <sheetName val="EMPLEADOS SUELDO"/>
      <sheetName val="BONOS EMPLEADOS"/>
      <sheetName val="PLANILLA OK."/>
      <sheetName val="BOLETAS PAGO OBREROS"/>
      <sheetName val="BOLETA DE PAGO EMPLEAD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B1" t="str">
            <v>AUROMINAS CONTRACTOR'S SAC</v>
          </cell>
        </row>
        <row r="2">
          <cell r="B2" t="str">
            <v>UNIDAD CERRO DE PASCO</v>
          </cell>
          <cell r="F2" t="str">
            <v xml:space="preserve">  </v>
          </cell>
          <cell r="R2">
            <v>28.024999999999999</v>
          </cell>
          <cell r="T2">
            <v>4.75</v>
          </cell>
          <cell r="U2">
            <v>5.9375</v>
          </cell>
          <cell r="V2">
            <v>308.75</v>
          </cell>
        </row>
        <row r="3">
          <cell r="K3" t="str">
            <v>PLANILLA DE SUELDOS Y SALARIOS DEL MES  JUNIO - 06 AUROMINAS</v>
          </cell>
        </row>
        <row r="4">
          <cell r="B4" t="str">
            <v>1.-  PLANILLA OBREROS:</v>
          </cell>
        </row>
        <row r="5">
          <cell r="B5" t="str">
            <v>Nº</v>
          </cell>
          <cell r="C5" t="str">
            <v>NOMBRE  Y  APELLIDOS</v>
          </cell>
          <cell r="D5" t="str">
            <v>CARGO
OCUPACION</v>
          </cell>
          <cell r="E5" t="str">
            <v xml:space="preserve">FECHA   INGRESO  PDT </v>
          </cell>
          <cell r="F5" t="str">
            <v>FECHA   CESE</v>
          </cell>
          <cell r="G5" t="str">
            <v>FECHA DE NACIM.</v>
          </cell>
          <cell r="H5" t="str">
            <v>LIBRETA  ELECTORAL</v>
          </cell>
          <cell r="I5" t="str">
            <v>JOR.</v>
          </cell>
          <cell r="J5" t="str">
            <v>IMPORTE  HORA</v>
          </cell>
          <cell r="K5" t="str">
            <v>AFP/ONP</v>
          </cell>
          <cell r="L5" t="str">
            <v>JORNADA</v>
          </cell>
          <cell r="Q5" t="str">
            <v>REMUNERACIONES</v>
          </cell>
          <cell r="AB5" t="str">
            <v>TOTAL 
REMUNERACION</v>
          </cell>
          <cell r="AC5" t="str">
            <v>RETENCIONES A CARGO DEL TRABAJADOR POR TRIBUTOS, APORTES PREVISIONALES, CUOTAS Y OTROS CONCEPTOS</v>
          </cell>
          <cell r="AH5" t="str">
            <v xml:space="preserve">TOTAL                   DCTO                   LEY </v>
          </cell>
          <cell r="AI5" t="str">
            <v xml:space="preserve">ADELANTO VACACIONES MARZO-05  </v>
          </cell>
          <cell r="AJ5" t="str">
            <v>TOTAL             DCTO LEY                       +               ADELANTO VACACIONES</v>
          </cell>
          <cell r="AK5" t="str">
            <v xml:space="preserve">CTS   </v>
          </cell>
          <cell r="AL5" t="str">
            <v>TOTAL A GANAR</v>
          </cell>
          <cell r="AM5" t="str">
            <v>DCTO  PENSION   Y MERCANTIL  SAUCESITO</v>
          </cell>
          <cell r="AN5" t="str">
            <v>DCTO  PENSION   Y MERCANTIL  AUROMINAS</v>
          </cell>
          <cell r="AO5" t="str">
            <v>TOTAL DESCUENTOS</v>
          </cell>
          <cell r="AP5" t="str">
            <v>DESCUENTOS JUDICIALES</v>
          </cell>
          <cell r="AQ5" t="str">
            <v>ADELANTO</v>
          </cell>
          <cell r="AR5" t="str">
            <v>TOTAL   NETO     GANADO</v>
          </cell>
          <cell r="AS5" t="str">
            <v>TRIBUTOS Y APORTES A CARGO DEL EMPLEADOR</v>
          </cell>
          <cell r="AZ5" t="str">
            <v>COSTO   PLANILLA                          S / BS</v>
          </cell>
          <cell r="BA5" t="str">
            <v xml:space="preserve">CTS                                                                              </v>
          </cell>
          <cell r="BB5" t="str">
            <v xml:space="preserve">VACACIONES  TRUNCAS    </v>
          </cell>
          <cell r="BC5" t="str">
            <v xml:space="preserve">GRATIFICAC    TRUNCA      </v>
          </cell>
          <cell r="BD5" t="str">
            <v>TOTAL   BENEFICIOS SOCIALES</v>
          </cell>
          <cell r="BE5" t="str">
            <v>GRAN   TOTAL COSTO PLANILLA</v>
          </cell>
          <cell r="BF5" t="str">
            <v xml:space="preserve">COSTO  TOTAL  TAREAS </v>
          </cell>
          <cell r="BG5" t="str">
            <v>VARIACION PORCENTUAL CON EL JORNAL</v>
          </cell>
        </row>
        <row r="6">
          <cell r="L6" t="str">
            <v>T.O</v>
          </cell>
          <cell r="M6" t="str">
            <v>D Y F     LEY</v>
          </cell>
          <cell r="N6" t="str">
            <v>SUBSID</v>
          </cell>
          <cell r="O6" t="str">
            <v>DIAS LIBRES</v>
          </cell>
          <cell r="P6" t="str">
            <v>H.E 
25%</v>
          </cell>
          <cell r="Q6" t="str">
            <v>IMPORTES</v>
          </cell>
          <cell r="V6" t="str">
            <v>ASIGNACION  FAMILIAR</v>
          </cell>
          <cell r="W6" t="str">
            <v>BONOS</v>
          </cell>
          <cell r="X6" t="str">
            <v>REINTEGROS</v>
          </cell>
          <cell r="Y6" t="str">
            <v xml:space="preserve">VACACIONES   MARZO-05 </v>
          </cell>
          <cell r="Z6" t="str">
            <v>VACACIONES  TRUNCAS</v>
          </cell>
          <cell r="AA6" t="str">
            <v xml:space="preserve">GRATIFICACIO      TRUNCAS </v>
          </cell>
          <cell r="AC6" t="str">
            <v>S.  N.  P.</v>
          </cell>
          <cell r="AD6" t="str">
            <v>SISTEMA PRIVADO DE PENSIONES</v>
          </cell>
          <cell r="AG6" t="str">
            <v>IPSS               VIDA</v>
          </cell>
          <cell r="AS6" t="str">
            <v xml:space="preserve">ESSALUD           
 </v>
          </cell>
          <cell r="AT6" t="str">
            <v>I.E.S  
1.70</v>
          </cell>
          <cell r="AU6" t="str">
            <v xml:space="preserve">SCTR               </v>
          </cell>
          <cell r="AV6" t="str">
            <v xml:space="preserve">LEY  27252 ALTO RIESGO      2%    </v>
          </cell>
          <cell r="AW6" t="str">
            <v xml:space="preserve">SCTR-P        RIMAC    2.65%            </v>
          </cell>
          <cell r="AX6" t="str">
            <v xml:space="preserve">VIDA LEY  RIMAC   1.31%     </v>
          </cell>
          <cell r="AY6" t="str">
            <v xml:space="preserve">TOTAL APORTES      </v>
          </cell>
        </row>
        <row r="7">
          <cell r="Q7" t="str">
            <v>ORDINARIO</v>
          </cell>
          <cell r="R7" t="str">
            <v>DOM Y FER</v>
          </cell>
          <cell r="S7" t="str">
            <v>SUBSIDIOS</v>
          </cell>
          <cell r="T7" t="str">
            <v>DIAS LIBRES</v>
          </cell>
          <cell r="U7" t="str">
            <v>EXT                                  25%</v>
          </cell>
          <cell r="AD7" t="str">
            <v xml:space="preserve">Obligat.10% + 2%  ley 27252  </v>
          </cell>
          <cell r="AE7" t="str">
            <v>SEG.</v>
          </cell>
          <cell r="AF7" t="str">
            <v>COMISI</v>
          </cell>
        </row>
        <row r="8">
          <cell r="AS8">
            <v>9.0000000000000011E-2</v>
          </cell>
          <cell r="AT8">
            <v>0</v>
          </cell>
          <cell r="AU8">
            <v>1.8399999999999993E-2</v>
          </cell>
          <cell r="AV8">
            <v>1.3663281203844621E-2</v>
          </cell>
          <cell r="AW8">
            <v>2.4929504993601873E-2</v>
          </cell>
          <cell r="AX8">
            <v>1.6129753970675509E-2</v>
          </cell>
          <cell r="AY8">
            <v>0.16700000000000001</v>
          </cell>
        </row>
        <row r="9">
          <cell r="A9">
            <v>1</v>
          </cell>
          <cell r="B9">
            <v>1</v>
          </cell>
          <cell r="C9" t="str">
            <v>ACEVEDO EGUZQUIZA, Ruben</v>
          </cell>
          <cell r="D9" t="str">
            <v>OPER SCOOPTRAMS 1</v>
          </cell>
          <cell r="E9">
            <v>38817</v>
          </cell>
          <cell r="G9">
            <v>27200</v>
          </cell>
          <cell r="H9" t="str">
            <v>15447188</v>
          </cell>
          <cell r="I9">
            <v>38.35</v>
          </cell>
          <cell r="J9">
            <v>4.7937500000000002</v>
          </cell>
          <cell r="K9" t="str">
            <v>ONP</v>
          </cell>
          <cell r="L9">
            <v>19</v>
          </cell>
          <cell r="M9">
            <v>5.2</v>
          </cell>
          <cell r="O9">
            <v>7</v>
          </cell>
          <cell r="P9">
            <v>52</v>
          </cell>
          <cell r="Q9">
            <v>728.65</v>
          </cell>
          <cell r="R9">
            <v>199.42000000000002</v>
          </cell>
          <cell r="S9">
            <v>0</v>
          </cell>
          <cell r="T9">
            <v>268.45</v>
          </cell>
          <cell r="U9">
            <v>311.59375</v>
          </cell>
          <cell r="V9">
            <v>52</v>
          </cell>
          <cell r="AB9">
            <v>1560.11375</v>
          </cell>
          <cell r="AC9">
            <v>202.81478749999999</v>
          </cell>
          <cell r="AD9">
            <v>0</v>
          </cell>
          <cell r="AE9">
            <v>0</v>
          </cell>
          <cell r="AF9">
            <v>0</v>
          </cell>
          <cell r="AH9">
            <v>202.81478749999999</v>
          </cell>
          <cell r="AJ9">
            <v>202.81478749999999</v>
          </cell>
          <cell r="AL9">
            <v>1357.2989625</v>
          </cell>
          <cell r="AM9">
            <v>188.3</v>
          </cell>
          <cell r="AN9">
            <v>70</v>
          </cell>
          <cell r="AO9">
            <v>258.3</v>
          </cell>
          <cell r="AR9">
            <v>1098.9989625000001</v>
          </cell>
          <cell r="AS9">
            <v>140.41023749999999</v>
          </cell>
          <cell r="AU9">
            <v>28.706092999999999</v>
          </cell>
          <cell r="AV9">
            <v>0</v>
          </cell>
          <cell r="AW9">
            <v>42.583304806249998</v>
          </cell>
          <cell r="AX9">
            <v>12.838917</v>
          </cell>
          <cell r="AY9">
            <v>224.53855230625001</v>
          </cell>
          <cell r="AZ9">
            <v>1784.65230230625</v>
          </cell>
          <cell r="BA9">
            <v>129.957475375</v>
          </cell>
          <cell r="BB9">
            <v>100.38404602552083</v>
          </cell>
          <cell r="BC9">
            <v>236.84309205104168</v>
          </cell>
          <cell r="BD9">
            <v>467.18461345156254</v>
          </cell>
          <cell r="BE9">
            <v>2251.8369157578127</v>
          </cell>
          <cell r="BF9">
            <v>118.51773240830593</v>
          </cell>
          <cell r="BG9">
            <v>309.04232700992418</v>
          </cell>
        </row>
        <row r="10">
          <cell r="A10">
            <v>2</v>
          </cell>
          <cell r="B10">
            <v>2</v>
          </cell>
          <cell r="C10" t="str">
            <v>AGUILAR ESPINOZA ROBEN JULIAN</v>
          </cell>
          <cell r="D10" t="str">
            <v xml:space="preserve">OPER. SCOOPTRAMS 2 </v>
          </cell>
          <cell r="E10">
            <v>38766</v>
          </cell>
          <cell r="H10" t="str">
            <v>40249905</v>
          </cell>
          <cell r="I10">
            <v>35.700000000000003</v>
          </cell>
          <cell r="J10">
            <v>4.4625000000000004</v>
          </cell>
          <cell r="K10" t="str">
            <v>UNION</v>
          </cell>
          <cell r="L10">
            <v>20</v>
          </cell>
          <cell r="M10">
            <v>5</v>
          </cell>
          <cell r="O10">
            <v>5</v>
          </cell>
          <cell r="P10">
            <v>50</v>
          </cell>
          <cell r="Q10">
            <v>714</v>
          </cell>
          <cell r="R10">
            <v>178.5</v>
          </cell>
          <cell r="S10">
            <v>0</v>
          </cell>
          <cell r="T10">
            <v>178.5</v>
          </cell>
          <cell r="U10">
            <v>278.90625000000006</v>
          </cell>
          <cell r="V10">
            <v>50</v>
          </cell>
          <cell r="AB10">
            <v>1399.90625</v>
          </cell>
          <cell r="AC10">
            <v>0</v>
          </cell>
          <cell r="AD10">
            <v>167.98874999999998</v>
          </cell>
          <cell r="AE10">
            <v>12.599156250000002</v>
          </cell>
          <cell r="AF10">
            <v>27.158181250000002</v>
          </cell>
          <cell r="AH10">
            <v>207.74608749999999</v>
          </cell>
          <cell r="AJ10">
            <v>207.74608749999999</v>
          </cell>
          <cell r="AL10">
            <v>1192.1601625000001</v>
          </cell>
          <cell r="AN10">
            <v>34</v>
          </cell>
          <cell r="AO10">
            <v>34</v>
          </cell>
          <cell r="AR10">
            <v>1158.1601625000001</v>
          </cell>
          <cell r="AS10">
            <v>125.9915625</v>
          </cell>
          <cell r="AU10">
            <v>25.758275000000001</v>
          </cell>
          <cell r="AV10">
            <v>27.998125000000002</v>
          </cell>
          <cell r="AW10">
            <v>29.238300000000002</v>
          </cell>
          <cell r="AX10">
            <v>14.030100000000001</v>
          </cell>
          <cell r="AY10">
            <v>223.01636250000004</v>
          </cell>
          <cell r="AZ10">
            <v>1622.9226125</v>
          </cell>
          <cell r="BA10">
            <v>116.612190625</v>
          </cell>
          <cell r="BB10">
            <v>97.126363541666663</v>
          </cell>
          <cell r="BC10">
            <v>215.66939375000001</v>
          </cell>
          <cell r="BD10">
            <v>429.40794791666667</v>
          </cell>
          <cell r="BE10">
            <v>2052.3305604166667</v>
          </cell>
          <cell r="BF10">
            <v>102.61652802083333</v>
          </cell>
          <cell r="BG10">
            <v>287.44125496031739</v>
          </cell>
        </row>
        <row r="11">
          <cell r="A11">
            <v>3</v>
          </cell>
          <cell r="B11">
            <v>3</v>
          </cell>
          <cell r="C11" t="str">
            <v>ALEGRE HUAMAN CIRO</v>
          </cell>
          <cell r="D11" t="str">
            <v>ELECTRICISTA 2</v>
          </cell>
          <cell r="E11">
            <v>38768</v>
          </cell>
          <cell r="F11">
            <v>38876</v>
          </cell>
          <cell r="H11" t="str">
            <v>80048597</v>
          </cell>
          <cell r="I11">
            <v>30.41</v>
          </cell>
          <cell r="J11">
            <v>3.80125</v>
          </cell>
          <cell r="K11" t="str">
            <v>ONP</v>
          </cell>
          <cell r="L11">
            <v>0</v>
          </cell>
          <cell r="M11">
            <v>0.8</v>
          </cell>
          <cell r="O11">
            <v>4</v>
          </cell>
          <cell r="P11">
            <v>8</v>
          </cell>
          <cell r="Q11">
            <v>0</v>
          </cell>
          <cell r="R11">
            <v>24.328000000000003</v>
          </cell>
          <cell r="S11">
            <v>0</v>
          </cell>
          <cell r="T11">
            <v>121.64</v>
          </cell>
          <cell r="U11">
            <v>38.012500000000003</v>
          </cell>
          <cell r="V11">
            <v>8</v>
          </cell>
          <cell r="AB11">
            <v>191.98050000000001</v>
          </cell>
          <cell r="AC11">
            <v>24.957465000000003</v>
          </cell>
          <cell r="AD11">
            <v>0</v>
          </cell>
          <cell r="AE11">
            <v>0</v>
          </cell>
          <cell r="AF11">
            <v>0</v>
          </cell>
          <cell r="AH11">
            <v>24.957465000000003</v>
          </cell>
          <cell r="AJ11">
            <v>24.957465000000003</v>
          </cell>
          <cell r="AL11">
            <v>167.02303499999999</v>
          </cell>
          <cell r="AO11">
            <v>0</v>
          </cell>
          <cell r="AR11">
            <v>167.02303499999999</v>
          </cell>
          <cell r="AS11">
            <v>17.278244999999998</v>
          </cell>
          <cell r="AU11">
            <v>3.5324412000000001</v>
          </cell>
          <cell r="AV11">
            <v>0</v>
          </cell>
          <cell r="AW11">
            <v>5.2401077474999997</v>
          </cell>
          <cell r="AX11">
            <v>0.42349680000000006</v>
          </cell>
          <cell r="AY11">
            <v>26.474290747499996</v>
          </cell>
          <cell r="AZ11">
            <v>218.4547907475</v>
          </cell>
          <cell r="BA11">
            <v>15.991975650000001</v>
          </cell>
          <cell r="BB11">
            <v>4.9001908956249993</v>
          </cell>
          <cell r="BC11">
            <v>28.740381791250002</v>
          </cell>
          <cell r="BD11">
            <v>49.632548336875004</v>
          </cell>
          <cell r="BE11">
            <v>268.087339084375</v>
          </cell>
          <cell r="BF11" t="e">
            <v>#DIV/0!</v>
          </cell>
          <cell r="BG11" t="e">
            <v>#DIV/0!</v>
          </cell>
        </row>
        <row r="12">
          <cell r="A12">
            <v>4</v>
          </cell>
          <cell r="B12">
            <v>4</v>
          </cell>
          <cell r="C12" t="str">
            <v>ALVARADO SILVESTRE Edwin Joel</v>
          </cell>
          <cell r="D12" t="str">
            <v>AYUDANTE DE PERFORISTA</v>
          </cell>
          <cell r="E12">
            <v>38770</v>
          </cell>
          <cell r="F12">
            <v>38875</v>
          </cell>
          <cell r="H12" t="str">
            <v>41482866</v>
          </cell>
          <cell r="I12">
            <v>25.12</v>
          </cell>
          <cell r="J12">
            <v>3.14</v>
          </cell>
          <cell r="K12" t="str">
            <v>UNION</v>
          </cell>
          <cell r="L12">
            <v>3</v>
          </cell>
          <cell r="M12">
            <v>1.2000000000000002</v>
          </cell>
          <cell r="O12">
            <v>3</v>
          </cell>
          <cell r="P12">
            <v>12</v>
          </cell>
          <cell r="Q12">
            <v>75.36</v>
          </cell>
          <cell r="R12">
            <v>30.144000000000005</v>
          </cell>
          <cell r="S12">
            <v>0</v>
          </cell>
          <cell r="T12">
            <v>75.36</v>
          </cell>
          <cell r="U12">
            <v>47.1</v>
          </cell>
          <cell r="AB12">
            <v>227.964</v>
          </cell>
          <cell r="AC12">
            <v>0</v>
          </cell>
          <cell r="AD12">
            <v>27.35568</v>
          </cell>
          <cell r="AE12">
            <v>2.0516760000000001</v>
          </cell>
          <cell r="AF12">
            <v>4.4225016000000004</v>
          </cell>
          <cell r="AH12">
            <v>33.829857599999997</v>
          </cell>
          <cell r="AJ12">
            <v>33.829857599999997</v>
          </cell>
          <cell r="AL12">
            <v>194.1341424</v>
          </cell>
          <cell r="AO12">
            <v>0</v>
          </cell>
          <cell r="AR12">
            <v>194.1341424</v>
          </cell>
          <cell r="AS12">
            <v>20.516759999999998</v>
          </cell>
          <cell r="AU12">
            <v>4.1945376000000003</v>
          </cell>
          <cell r="AV12">
            <v>4.5592800000000002</v>
          </cell>
          <cell r="AW12">
            <v>6.2222773799999995</v>
          </cell>
          <cell r="AX12">
            <v>1.3821024000000002</v>
          </cell>
          <cell r="AY12">
            <v>36.874957379999998</v>
          </cell>
          <cell r="AZ12">
            <v>264.83895738000001</v>
          </cell>
          <cell r="BA12">
            <v>18.9894012</v>
          </cell>
          <cell r="BB12">
            <v>11.864913115</v>
          </cell>
          <cell r="BC12">
            <v>36.289826229999996</v>
          </cell>
          <cell r="BD12">
            <v>67.144140544999999</v>
          </cell>
          <cell r="BE12">
            <v>331.98309792500004</v>
          </cell>
          <cell r="BF12">
            <v>110.66103264166668</v>
          </cell>
          <cell r="BG12">
            <v>440.52958854166667</v>
          </cell>
        </row>
        <row r="13">
          <cell r="A13">
            <v>5</v>
          </cell>
          <cell r="B13">
            <v>5</v>
          </cell>
          <cell r="C13" t="str">
            <v>ALVARES CRUZ, Jose</v>
          </cell>
          <cell r="D13" t="str">
            <v>AYUDANTE PERFORISTA</v>
          </cell>
          <cell r="E13">
            <v>38777</v>
          </cell>
          <cell r="H13" t="str">
            <v>43972684</v>
          </cell>
          <cell r="I13">
            <v>25.12</v>
          </cell>
          <cell r="J13">
            <v>3.14</v>
          </cell>
          <cell r="K13" t="str">
            <v>ONP</v>
          </cell>
          <cell r="L13">
            <v>19</v>
          </cell>
          <cell r="M13">
            <v>4.6000000000000005</v>
          </cell>
          <cell r="N13">
            <v>2</v>
          </cell>
          <cell r="O13">
            <v>2</v>
          </cell>
          <cell r="P13">
            <v>42</v>
          </cell>
          <cell r="Q13">
            <v>477.28000000000003</v>
          </cell>
          <cell r="R13">
            <v>115.55200000000002</v>
          </cell>
          <cell r="S13">
            <v>50.24</v>
          </cell>
          <cell r="T13">
            <v>50.24</v>
          </cell>
          <cell r="U13">
            <v>164.85</v>
          </cell>
          <cell r="AB13">
            <v>858.16200000000015</v>
          </cell>
          <cell r="AC13">
            <v>111.56106000000003</v>
          </cell>
          <cell r="AD13">
            <v>0</v>
          </cell>
          <cell r="AE13">
            <v>0</v>
          </cell>
          <cell r="AF13">
            <v>0</v>
          </cell>
          <cell r="AH13">
            <v>111.56106000000003</v>
          </cell>
          <cell r="AJ13">
            <v>111.56106000000003</v>
          </cell>
          <cell r="AL13">
            <v>746.60094000000015</v>
          </cell>
          <cell r="AN13">
            <v>68</v>
          </cell>
          <cell r="AO13">
            <v>68</v>
          </cell>
          <cell r="AR13">
            <v>678.60094000000015</v>
          </cell>
          <cell r="AS13">
            <v>77.234580000000008</v>
          </cell>
          <cell r="AU13">
            <v>15.790180800000002</v>
          </cell>
          <cell r="AV13">
            <v>0</v>
          </cell>
          <cell r="AW13">
            <v>20.57328</v>
          </cell>
          <cell r="AX13">
            <v>9.8721600000000009</v>
          </cell>
          <cell r="AY13">
            <v>123.47020080000001</v>
          </cell>
          <cell r="AZ13">
            <v>981.63220080000019</v>
          </cell>
          <cell r="BA13">
            <v>71.484894600000018</v>
          </cell>
          <cell r="BB13">
            <v>63.878516733333349</v>
          </cell>
          <cell r="BC13">
            <v>136.13036680000002</v>
          </cell>
          <cell r="BD13">
            <v>271.49377813333342</v>
          </cell>
          <cell r="BE13">
            <v>1253.1259789333335</v>
          </cell>
          <cell r="BF13">
            <v>65.953998891228082</v>
          </cell>
          <cell r="BG13">
            <v>262.55572807017546</v>
          </cell>
        </row>
        <row r="14">
          <cell r="A14">
            <v>6</v>
          </cell>
          <cell r="B14">
            <v>6</v>
          </cell>
          <cell r="C14" t="str">
            <v>ARIAS ARZAPALO Eberth</v>
          </cell>
          <cell r="D14" t="str">
            <v>SHOTCRETERO</v>
          </cell>
          <cell r="E14">
            <v>38792</v>
          </cell>
          <cell r="H14" t="str">
            <v>20902230</v>
          </cell>
          <cell r="I14">
            <v>38.35</v>
          </cell>
          <cell r="J14">
            <v>4.7937500000000002</v>
          </cell>
          <cell r="K14" t="str">
            <v>ONP</v>
          </cell>
          <cell r="L14">
            <v>8</v>
          </cell>
          <cell r="M14">
            <v>2</v>
          </cell>
          <cell r="N14">
            <v>20</v>
          </cell>
          <cell r="P14">
            <v>16</v>
          </cell>
          <cell r="Q14">
            <v>306.8</v>
          </cell>
          <cell r="R14">
            <v>76.7</v>
          </cell>
          <cell r="S14">
            <v>767</v>
          </cell>
          <cell r="T14">
            <v>0</v>
          </cell>
          <cell r="U14">
            <v>95.875</v>
          </cell>
          <cell r="AB14">
            <v>1246.375</v>
          </cell>
          <cell r="AC14">
            <v>162.02875</v>
          </cell>
          <cell r="AD14">
            <v>0</v>
          </cell>
          <cell r="AE14">
            <v>0</v>
          </cell>
          <cell r="AF14">
            <v>0</v>
          </cell>
          <cell r="AH14">
            <v>162.02875</v>
          </cell>
          <cell r="AJ14">
            <v>162.02875</v>
          </cell>
          <cell r="AL14">
            <v>1084.3462500000001</v>
          </cell>
          <cell r="AO14">
            <v>0</v>
          </cell>
          <cell r="AR14">
            <v>1084.3462500000001</v>
          </cell>
          <cell r="AS14">
            <v>112.17375</v>
          </cell>
          <cell r="AU14">
            <v>22.933299999999999</v>
          </cell>
          <cell r="AV14">
            <v>0</v>
          </cell>
          <cell r="AW14">
            <v>31.408650000000002</v>
          </cell>
          <cell r="AX14">
            <v>15.07155</v>
          </cell>
          <cell r="AY14">
            <v>181.58724999999998</v>
          </cell>
          <cell r="AZ14">
            <v>1427.96225</v>
          </cell>
          <cell r="BA14">
            <v>103.8230375</v>
          </cell>
          <cell r="BB14">
            <v>111.00727083333334</v>
          </cell>
          <cell r="BC14">
            <v>222.01454166666667</v>
          </cell>
          <cell r="BD14">
            <v>436.84485000000001</v>
          </cell>
          <cell r="BE14">
            <v>1864.8071</v>
          </cell>
          <cell r="BF14">
            <v>233.1008875</v>
          </cell>
          <cell r="BG14">
            <v>607.82499999999993</v>
          </cell>
        </row>
        <row r="15">
          <cell r="A15">
            <v>7</v>
          </cell>
          <cell r="B15">
            <v>7</v>
          </cell>
          <cell r="C15" t="str">
            <v>ARRIETA GONZALES, Hugo</v>
          </cell>
          <cell r="D15" t="str">
            <v>AYUDANTE PERFORISTA</v>
          </cell>
          <cell r="E15">
            <v>38801</v>
          </cell>
          <cell r="H15" t="str">
            <v>04079136</v>
          </cell>
          <cell r="I15">
            <v>25.12</v>
          </cell>
          <cell r="J15">
            <v>3.14</v>
          </cell>
          <cell r="K15" t="str">
            <v>PROFUTURO</v>
          </cell>
          <cell r="L15">
            <v>21</v>
          </cell>
          <cell r="M15">
            <v>4.6000000000000005</v>
          </cell>
          <cell r="O15">
            <v>2</v>
          </cell>
          <cell r="P15">
            <v>46</v>
          </cell>
          <cell r="Q15">
            <v>527.52</v>
          </cell>
          <cell r="R15">
            <v>115.55200000000002</v>
          </cell>
          <cell r="S15">
            <v>0</v>
          </cell>
          <cell r="T15">
            <v>50.24</v>
          </cell>
          <cell r="U15">
            <v>180.55</v>
          </cell>
          <cell r="V15">
            <v>46.000000000000007</v>
          </cell>
          <cell r="AB15">
            <v>919.86200000000008</v>
          </cell>
          <cell r="AC15">
            <v>0</v>
          </cell>
          <cell r="AD15">
            <v>110.38344000000001</v>
          </cell>
          <cell r="AE15">
            <v>9.2906062000000009</v>
          </cell>
          <cell r="AF15">
            <v>18.213267599999998</v>
          </cell>
          <cell r="AH15">
            <v>137.88731380000002</v>
          </cell>
          <cell r="AJ15">
            <v>137.88731380000002</v>
          </cell>
          <cell r="AL15">
            <v>781.97468620000006</v>
          </cell>
          <cell r="AN15">
            <v>6.5</v>
          </cell>
          <cell r="AO15">
            <v>6.5</v>
          </cell>
          <cell r="AR15">
            <v>775.47468620000006</v>
          </cell>
          <cell r="AS15">
            <v>82.787580000000005</v>
          </cell>
          <cell r="AU15">
            <v>16.9254608</v>
          </cell>
          <cell r="AV15">
            <v>18.397240000000004</v>
          </cell>
          <cell r="AW15">
            <v>20.57328</v>
          </cell>
          <cell r="AX15">
            <v>9.8721600000000009</v>
          </cell>
          <cell r="AY15">
            <v>148.55572080000002</v>
          </cell>
          <cell r="AZ15">
            <v>1068.4177208000001</v>
          </cell>
          <cell r="BA15">
            <v>76.624504600000009</v>
          </cell>
          <cell r="BB15">
            <v>69.802310066666664</v>
          </cell>
          <cell r="BC15">
            <v>140.3112868</v>
          </cell>
          <cell r="BD15">
            <v>286.73810146666665</v>
          </cell>
          <cell r="BE15">
            <v>1355.1558222666667</v>
          </cell>
          <cell r="BF15">
            <v>64.531229631746029</v>
          </cell>
          <cell r="BG15">
            <v>256.89183770599533</v>
          </cell>
        </row>
        <row r="16">
          <cell r="A16">
            <v>8</v>
          </cell>
          <cell r="B16">
            <v>8</v>
          </cell>
          <cell r="C16" t="str">
            <v>AVALOS TUCTO, Romualdo</v>
          </cell>
          <cell r="D16" t="str">
            <v>PERFORISTA 1</v>
          </cell>
          <cell r="E16">
            <v>38833</v>
          </cell>
          <cell r="G16">
            <v>24875</v>
          </cell>
          <cell r="H16" t="str">
            <v>22485749</v>
          </cell>
          <cell r="I16">
            <v>35.700000000000003</v>
          </cell>
          <cell r="J16">
            <v>4.4625000000000004</v>
          </cell>
          <cell r="K16" t="str">
            <v>HORIZONTE</v>
          </cell>
          <cell r="L16">
            <v>18</v>
          </cell>
          <cell r="M16">
            <v>5</v>
          </cell>
          <cell r="N16">
            <v>4</v>
          </cell>
          <cell r="O16">
            <v>3</v>
          </cell>
          <cell r="P16">
            <v>42</v>
          </cell>
          <cell r="Q16">
            <v>642.6</v>
          </cell>
          <cell r="R16">
            <v>178.5</v>
          </cell>
          <cell r="S16">
            <v>142.80000000000001</v>
          </cell>
          <cell r="T16">
            <v>107.10000000000001</v>
          </cell>
          <cell r="U16">
            <v>234.28125</v>
          </cell>
          <cell r="AB16">
            <v>1305.28125</v>
          </cell>
          <cell r="AC16">
            <v>0</v>
          </cell>
          <cell r="AD16">
            <v>156.63374999999999</v>
          </cell>
          <cell r="AE16">
            <v>11.486475</v>
          </cell>
          <cell r="AF16">
            <v>25.452984375</v>
          </cell>
          <cell r="AH16">
            <v>193.573209375</v>
          </cell>
          <cell r="AJ16">
            <v>193.573209375</v>
          </cell>
          <cell r="AL16">
            <v>1111.708040625</v>
          </cell>
          <cell r="AO16">
            <v>0</v>
          </cell>
          <cell r="AR16">
            <v>1111.708040625</v>
          </cell>
          <cell r="AS16">
            <v>117.4753125</v>
          </cell>
          <cell r="AU16">
            <v>24.017174999999998</v>
          </cell>
          <cell r="AV16">
            <v>26.105625</v>
          </cell>
          <cell r="AW16">
            <v>29.238300000000002</v>
          </cell>
          <cell r="AX16">
            <v>14.030100000000001</v>
          </cell>
          <cell r="AY16">
            <v>210.86651250000003</v>
          </cell>
          <cell r="AZ16">
            <v>1516.1477625</v>
          </cell>
          <cell r="BA16">
            <v>108.729928125</v>
          </cell>
          <cell r="BB16">
            <v>97.897209375000003</v>
          </cell>
          <cell r="BC16">
            <v>213.64441875</v>
          </cell>
          <cell r="BD16">
            <v>420.27155625</v>
          </cell>
          <cell r="BE16">
            <v>1936.41931875</v>
          </cell>
          <cell r="BF16">
            <v>107.57885104166667</v>
          </cell>
          <cell r="BG16">
            <v>301.34131944444442</v>
          </cell>
        </row>
        <row r="17">
          <cell r="A17">
            <v>9</v>
          </cell>
          <cell r="B17">
            <v>9</v>
          </cell>
          <cell r="C17" t="str">
            <v>BARDALES MATIAS, WILDER JHONY</v>
          </cell>
          <cell r="D17" t="str">
            <v>CARGADOR/DISPARADOR 2</v>
          </cell>
          <cell r="E17">
            <v>38757</v>
          </cell>
          <cell r="H17" t="str">
            <v>04084082</v>
          </cell>
          <cell r="I17">
            <v>35.700000000000003</v>
          </cell>
          <cell r="J17">
            <v>4.4625000000000004</v>
          </cell>
          <cell r="K17" t="str">
            <v>ONP</v>
          </cell>
          <cell r="L17">
            <v>23</v>
          </cell>
          <cell r="M17">
            <v>5</v>
          </cell>
          <cell r="O17">
            <v>2</v>
          </cell>
          <cell r="P17">
            <v>50</v>
          </cell>
          <cell r="Q17">
            <v>821.1</v>
          </cell>
          <cell r="R17">
            <v>178.5</v>
          </cell>
          <cell r="S17">
            <v>0</v>
          </cell>
          <cell r="T17">
            <v>71.400000000000006</v>
          </cell>
          <cell r="U17">
            <v>278.90625000000006</v>
          </cell>
          <cell r="V17">
            <v>50</v>
          </cell>
          <cell r="AB17">
            <v>1399.90625</v>
          </cell>
          <cell r="AC17">
            <v>181.98781250000002</v>
          </cell>
          <cell r="AD17">
            <v>0</v>
          </cell>
          <cell r="AE17">
            <v>0</v>
          </cell>
          <cell r="AF17">
            <v>0</v>
          </cell>
          <cell r="AH17">
            <v>181.98781250000002</v>
          </cell>
          <cell r="AJ17">
            <v>181.98781250000002</v>
          </cell>
          <cell r="AL17">
            <v>1217.9184375</v>
          </cell>
          <cell r="AO17">
            <v>0</v>
          </cell>
          <cell r="AR17">
            <v>1217.9184375</v>
          </cell>
          <cell r="AS17">
            <v>125.9915625</v>
          </cell>
          <cell r="AU17">
            <v>25.758275000000001</v>
          </cell>
          <cell r="AV17">
            <v>0</v>
          </cell>
          <cell r="AW17">
            <v>29.238300000000002</v>
          </cell>
          <cell r="AX17">
            <v>14.030100000000001</v>
          </cell>
          <cell r="AY17">
            <v>195.01823750000003</v>
          </cell>
          <cell r="AZ17">
            <v>1594.9244874999999</v>
          </cell>
          <cell r="BA17">
            <v>116.612190625</v>
          </cell>
          <cell r="BB17">
            <v>103.71818645833332</v>
          </cell>
          <cell r="BC17">
            <v>211.00303958333333</v>
          </cell>
          <cell r="BD17">
            <v>431.33341666666661</v>
          </cell>
          <cell r="BE17">
            <v>2026.2579041666665</v>
          </cell>
          <cell r="BF17">
            <v>88.098169746376811</v>
          </cell>
          <cell r="BG17">
            <v>246.77358472374453</v>
          </cell>
        </row>
        <row r="18">
          <cell r="A18">
            <v>10</v>
          </cell>
          <cell r="B18">
            <v>10</v>
          </cell>
          <cell r="C18" t="str">
            <v xml:space="preserve">BARZOLA PIZARRO, Gerson </v>
          </cell>
          <cell r="D18" t="str">
            <v>CHOFER DE CAMION</v>
          </cell>
          <cell r="E18">
            <v>38869</v>
          </cell>
          <cell r="F18">
            <v>38880</v>
          </cell>
          <cell r="H18" t="str">
            <v>41708801</v>
          </cell>
          <cell r="I18">
            <v>25.12</v>
          </cell>
          <cell r="J18">
            <v>3.14</v>
          </cell>
          <cell r="K18" t="str">
            <v>ONP</v>
          </cell>
          <cell r="L18">
            <v>10</v>
          </cell>
          <cell r="M18">
            <v>2</v>
          </cell>
          <cell r="P18">
            <v>20</v>
          </cell>
          <cell r="Q18">
            <v>251.20000000000002</v>
          </cell>
          <cell r="R18">
            <v>50.24</v>
          </cell>
          <cell r="S18">
            <v>0</v>
          </cell>
          <cell r="T18">
            <v>0</v>
          </cell>
          <cell r="U18">
            <v>78.5</v>
          </cell>
          <cell r="AB18">
            <v>379.94</v>
          </cell>
          <cell r="AC18">
            <v>49.392200000000003</v>
          </cell>
          <cell r="AD18">
            <v>0</v>
          </cell>
          <cell r="AE18">
            <v>0</v>
          </cell>
          <cell r="AF18">
            <v>0</v>
          </cell>
          <cell r="AH18">
            <v>49.392200000000003</v>
          </cell>
          <cell r="AJ18">
            <v>49.392200000000003</v>
          </cell>
          <cell r="AL18">
            <v>330.5478</v>
          </cell>
          <cell r="AO18">
            <v>0</v>
          </cell>
          <cell r="AR18">
            <v>330.5478</v>
          </cell>
          <cell r="AS18">
            <v>34.194600000000001</v>
          </cell>
          <cell r="AU18">
            <v>6.9908960000000002</v>
          </cell>
          <cell r="AV18">
            <v>0</v>
          </cell>
          <cell r="AW18">
            <v>20.57328</v>
          </cell>
          <cell r="AX18">
            <v>9.8721600000000009</v>
          </cell>
          <cell r="AY18">
            <v>71.630935999999991</v>
          </cell>
          <cell r="AZ18">
            <v>451.57093599999996</v>
          </cell>
          <cell r="BA18">
            <v>31.649001999999999</v>
          </cell>
          <cell r="BB18">
            <v>31.089244666666662</v>
          </cell>
          <cell r="BC18">
            <v>62.178489333333324</v>
          </cell>
          <cell r="BD18">
            <v>124.91673599999999</v>
          </cell>
          <cell r="BE18">
            <v>576.48767199999998</v>
          </cell>
          <cell r="BF18">
            <v>57.648767199999995</v>
          </cell>
          <cell r="BG18">
            <v>229.49349999999998</v>
          </cell>
        </row>
        <row r="19">
          <cell r="A19">
            <v>11</v>
          </cell>
          <cell r="B19">
            <v>11</v>
          </cell>
          <cell r="C19" t="str">
            <v>BULLON ARIAS, Luis</v>
          </cell>
          <cell r="D19" t="str">
            <v>AYUDANTE PERFORISTA</v>
          </cell>
          <cell r="E19">
            <v>38876</v>
          </cell>
          <cell r="F19" t="str">
            <v>Nuevo</v>
          </cell>
          <cell r="H19" t="str">
            <v>80046152</v>
          </cell>
          <cell r="I19">
            <v>25.12</v>
          </cell>
          <cell r="J19">
            <v>3.14</v>
          </cell>
          <cell r="K19" t="str">
            <v>ONP</v>
          </cell>
          <cell r="L19">
            <v>19</v>
          </cell>
          <cell r="M19">
            <v>3.8000000000000003</v>
          </cell>
          <cell r="P19">
            <v>38</v>
          </cell>
          <cell r="Q19">
            <v>477.28000000000003</v>
          </cell>
          <cell r="R19">
            <v>95.456000000000017</v>
          </cell>
          <cell r="S19">
            <v>0</v>
          </cell>
          <cell r="T19">
            <v>0</v>
          </cell>
          <cell r="U19">
            <v>149.15</v>
          </cell>
          <cell r="AB19">
            <v>721.88600000000008</v>
          </cell>
          <cell r="AC19">
            <v>93.845180000000013</v>
          </cell>
          <cell r="AD19">
            <v>0</v>
          </cell>
          <cell r="AE19">
            <v>0</v>
          </cell>
          <cell r="AF19">
            <v>0</v>
          </cell>
          <cell r="AH19">
            <v>93.845180000000013</v>
          </cell>
          <cell r="AJ19">
            <v>93.845180000000013</v>
          </cell>
          <cell r="AL19">
            <v>628.04082000000005</v>
          </cell>
          <cell r="AO19">
            <v>0</v>
          </cell>
          <cell r="AR19">
            <v>628.04082000000005</v>
          </cell>
          <cell r="AS19">
            <v>64.969740000000002</v>
          </cell>
          <cell r="AU19">
            <v>13.282702400000002</v>
          </cell>
          <cell r="AV19">
            <v>0</v>
          </cell>
          <cell r="AW19">
            <v>20.57328</v>
          </cell>
          <cell r="AX19">
            <v>9.8721600000000009</v>
          </cell>
          <cell r="AY19">
            <v>108.6978824</v>
          </cell>
          <cell r="AZ19">
            <v>830.58388240000011</v>
          </cell>
          <cell r="BA19">
            <v>60.133103800000008</v>
          </cell>
          <cell r="BB19">
            <v>56.78615686666668</v>
          </cell>
          <cell r="BC19">
            <v>113.57231373333336</v>
          </cell>
          <cell r="BD19">
            <v>230.49157440000005</v>
          </cell>
          <cell r="BE19">
            <v>1061.0754568000002</v>
          </cell>
          <cell r="BF19">
            <v>55.846076673684223</v>
          </cell>
          <cell r="BG19">
            <v>222.31718421052636</v>
          </cell>
        </row>
        <row r="20">
          <cell r="A20">
            <v>12</v>
          </cell>
          <cell r="B20">
            <v>12</v>
          </cell>
          <cell r="C20" t="str">
            <v>CABELLO VENTOCILLA, Elias</v>
          </cell>
          <cell r="D20" t="str">
            <v xml:space="preserve">OPER. SCOOPTRAMS 1 </v>
          </cell>
          <cell r="E20">
            <v>38765</v>
          </cell>
          <cell r="H20" t="str">
            <v>04079838</v>
          </cell>
          <cell r="I20">
            <v>38.35</v>
          </cell>
          <cell r="J20">
            <v>4.7937500000000002</v>
          </cell>
          <cell r="K20" t="str">
            <v>PROFUTURO</v>
          </cell>
          <cell r="L20">
            <v>20</v>
          </cell>
          <cell r="M20">
            <v>4.6000000000000005</v>
          </cell>
          <cell r="O20">
            <v>3</v>
          </cell>
          <cell r="P20">
            <v>46</v>
          </cell>
          <cell r="Q20">
            <v>767</v>
          </cell>
          <cell r="R20">
            <v>176.41000000000003</v>
          </cell>
          <cell r="S20">
            <v>0</v>
          </cell>
          <cell r="T20">
            <v>115.05000000000001</v>
          </cell>
          <cell r="U20">
            <v>275.640625</v>
          </cell>
          <cell r="V20">
            <v>46.000000000000007</v>
          </cell>
          <cell r="AB20">
            <v>1380.100625</v>
          </cell>
          <cell r="AC20">
            <v>0</v>
          </cell>
          <cell r="AD20">
            <v>165.612075</v>
          </cell>
          <cell r="AE20">
            <v>13.9390163125</v>
          </cell>
          <cell r="AF20">
            <v>27.325992374999998</v>
          </cell>
          <cell r="AH20">
            <v>206.8770836875</v>
          </cell>
          <cell r="AJ20">
            <v>206.8770836875</v>
          </cell>
          <cell r="AL20">
            <v>1173.2235413124999</v>
          </cell>
          <cell r="AN20">
            <v>4.8</v>
          </cell>
          <cell r="AO20">
            <v>4.8</v>
          </cell>
          <cell r="AR20">
            <v>1168.4235413125</v>
          </cell>
          <cell r="AS20">
            <v>124.20905625</v>
          </cell>
          <cell r="AU20">
            <v>25.3938515</v>
          </cell>
          <cell r="AV20">
            <v>27.602012500000001</v>
          </cell>
          <cell r="AW20">
            <v>31.408650000000002</v>
          </cell>
          <cell r="AX20">
            <v>15.07155</v>
          </cell>
          <cell r="AY20">
            <v>223.68512025000001</v>
          </cell>
          <cell r="AZ20">
            <v>1603.78574525</v>
          </cell>
          <cell r="BA20">
            <v>114.9623820625</v>
          </cell>
          <cell r="BB20">
            <v>101.09126002083333</v>
          </cell>
          <cell r="BC20">
            <v>213.69085337499999</v>
          </cell>
          <cell r="BD20">
            <v>429.74449545833329</v>
          </cell>
          <cell r="BE20">
            <v>2033.5302407083332</v>
          </cell>
          <cell r="BF20">
            <v>101.67651203541666</v>
          </cell>
          <cell r="BG20">
            <v>265.12780191764449</v>
          </cell>
        </row>
        <row r="21">
          <cell r="A21">
            <v>13</v>
          </cell>
          <cell r="B21">
            <v>13</v>
          </cell>
          <cell r="C21" t="str">
            <v>CALDERON CHAMORRO, Alex</v>
          </cell>
          <cell r="D21" t="str">
            <v>BOMBERO/ELECTRICISTA</v>
          </cell>
          <cell r="E21">
            <v>38790</v>
          </cell>
          <cell r="F21">
            <v>38881</v>
          </cell>
          <cell r="H21" t="str">
            <v>42014236</v>
          </cell>
          <cell r="I21">
            <v>30.41</v>
          </cell>
          <cell r="J21">
            <v>3.80125</v>
          </cell>
          <cell r="K21" t="str">
            <v>ONP</v>
          </cell>
          <cell r="L21">
            <v>3</v>
          </cell>
          <cell r="M21">
            <v>2.4000000000000004</v>
          </cell>
          <cell r="O21">
            <v>9</v>
          </cell>
          <cell r="P21">
            <v>24</v>
          </cell>
          <cell r="Q21">
            <v>91.23</v>
          </cell>
          <cell r="R21">
            <v>72.984000000000009</v>
          </cell>
          <cell r="S21">
            <v>0</v>
          </cell>
          <cell r="T21">
            <v>273.69</v>
          </cell>
          <cell r="U21">
            <v>114.03750000000001</v>
          </cell>
          <cell r="AB21">
            <v>551.94150000000002</v>
          </cell>
          <cell r="AC21">
            <v>71.752395000000007</v>
          </cell>
          <cell r="AD21">
            <v>0</v>
          </cell>
          <cell r="AE21">
            <v>0</v>
          </cell>
          <cell r="AF21">
            <v>0</v>
          </cell>
          <cell r="AH21">
            <v>71.752395000000007</v>
          </cell>
          <cell r="AJ21">
            <v>71.752395000000007</v>
          </cell>
          <cell r="AL21">
            <v>480.18910500000004</v>
          </cell>
          <cell r="AN21">
            <v>14</v>
          </cell>
          <cell r="AO21">
            <v>14</v>
          </cell>
          <cell r="AR21">
            <v>466.18910500000004</v>
          </cell>
          <cell r="AS21">
            <v>49.674734999999998</v>
          </cell>
          <cell r="AU21">
            <v>10.1557236</v>
          </cell>
          <cell r="AV21">
            <v>0</v>
          </cell>
          <cell r="AW21">
            <v>24.90579</v>
          </cell>
          <cell r="AX21">
            <v>11.951129999999999</v>
          </cell>
          <cell r="AY21">
            <v>96.687378599999988</v>
          </cell>
          <cell r="AZ21">
            <v>648.62887860000001</v>
          </cell>
          <cell r="BA21">
            <v>45.97672695</v>
          </cell>
          <cell r="BB21">
            <v>21.741781549999999</v>
          </cell>
          <cell r="BC21">
            <v>89.098563099999993</v>
          </cell>
          <cell r="BD21">
            <v>156.81707159999999</v>
          </cell>
          <cell r="BE21">
            <v>805.44595019999997</v>
          </cell>
          <cell r="BF21">
            <v>268.48198339999999</v>
          </cell>
          <cell r="BG21">
            <v>882.87400000000002</v>
          </cell>
        </row>
        <row r="22">
          <cell r="A22">
            <v>14</v>
          </cell>
          <cell r="B22">
            <v>14</v>
          </cell>
          <cell r="C22" t="str">
            <v>CALZADA CASAS, Rolando</v>
          </cell>
          <cell r="D22" t="str">
            <v>PERFORISTA 1</v>
          </cell>
          <cell r="E22">
            <v>38790</v>
          </cell>
          <cell r="H22" t="str">
            <v>04041428</v>
          </cell>
          <cell r="I22">
            <v>35.700000000000003</v>
          </cell>
          <cell r="J22">
            <v>4.4625000000000004</v>
          </cell>
          <cell r="K22" t="str">
            <v>ONP</v>
          </cell>
          <cell r="L22">
            <v>24</v>
          </cell>
          <cell r="M22">
            <v>5</v>
          </cell>
          <cell r="O22">
            <v>1</v>
          </cell>
          <cell r="P22">
            <v>50</v>
          </cell>
          <cell r="Q22">
            <v>856.80000000000007</v>
          </cell>
          <cell r="R22">
            <v>178.5</v>
          </cell>
          <cell r="S22">
            <v>0</v>
          </cell>
          <cell r="T22">
            <v>35.700000000000003</v>
          </cell>
          <cell r="U22">
            <v>278.90625000000006</v>
          </cell>
          <cell r="AB22">
            <v>1349.9062500000002</v>
          </cell>
          <cell r="AC22">
            <v>175.48781250000005</v>
          </cell>
          <cell r="AD22">
            <v>0</v>
          </cell>
          <cell r="AE22">
            <v>0</v>
          </cell>
          <cell r="AF22">
            <v>0</v>
          </cell>
          <cell r="AH22">
            <v>175.48781250000005</v>
          </cell>
          <cell r="AJ22">
            <v>175.48781250000005</v>
          </cell>
          <cell r="AL22">
            <v>1174.4184375000002</v>
          </cell>
          <cell r="AN22">
            <v>5</v>
          </cell>
          <cell r="AO22">
            <v>5</v>
          </cell>
          <cell r="AR22">
            <v>1169.4184375000002</v>
          </cell>
          <cell r="AS22">
            <v>121.49156250000001</v>
          </cell>
          <cell r="AU22">
            <v>24.838275000000003</v>
          </cell>
          <cell r="AV22">
            <v>0</v>
          </cell>
          <cell r="AW22">
            <v>29.238300000000002</v>
          </cell>
          <cell r="AX22">
            <v>14.030100000000001</v>
          </cell>
          <cell r="AY22">
            <v>189.59823750000004</v>
          </cell>
          <cell r="AZ22">
            <v>1539.5044875000003</v>
          </cell>
          <cell r="BA22">
            <v>112.44719062500002</v>
          </cell>
          <cell r="BB22">
            <v>102.07485312500002</v>
          </cell>
          <cell r="BC22">
            <v>210.09970625000005</v>
          </cell>
          <cell r="BD22">
            <v>424.62175000000008</v>
          </cell>
          <cell r="BE22">
            <v>1964.1262375000003</v>
          </cell>
          <cell r="BF22">
            <v>81.838593229166676</v>
          </cell>
          <cell r="BG22">
            <v>229.23975694444448</v>
          </cell>
        </row>
        <row r="23">
          <cell r="A23">
            <v>15</v>
          </cell>
          <cell r="B23">
            <v>15</v>
          </cell>
          <cell r="C23" t="str">
            <v>CAMPOS BAUTISTA, Raul</v>
          </cell>
          <cell r="D23" t="str">
            <v>AYUDANTE SHOTCRETERO</v>
          </cell>
          <cell r="E23">
            <v>38894</v>
          </cell>
          <cell r="F23" t="str">
            <v>Nuevo</v>
          </cell>
          <cell r="H23">
            <v>80074643</v>
          </cell>
          <cell r="I23">
            <v>25.12</v>
          </cell>
          <cell r="J23">
            <v>3.14</v>
          </cell>
          <cell r="K23" t="str">
            <v>ONP</v>
          </cell>
          <cell r="L23">
            <v>4</v>
          </cell>
          <cell r="M23">
            <v>0.8</v>
          </cell>
          <cell r="P23">
            <v>8</v>
          </cell>
          <cell r="Q23">
            <v>100.48</v>
          </cell>
          <cell r="R23">
            <v>20.096000000000004</v>
          </cell>
          <cell r="S23">
            <v>0</v>
          </cell>
          <cell r="T23">
            <v>0</v>
          </cell>
          <cell r="U23">
            <v>31.400000000000002</v>
          </cell>
          <cell r="AB23">
            <v>151.976</v>
          </cell>
          <cell r="AC23">
            <v>19.756879999999999</v>
          </cell>
          <cell r="AD23">
            <v>0</v>
          </cell>
          <cell r="AE23">
            <v>0</v>
          </cell>
          <cell r="AF23">
            <v>0</v>
          </cell>
          <cell r="AH23">
            <v>19.756879999999999</v>
          </cell>
          <cell r="AJ23">
            <v>19.756879999999999</v>
          </cell>
          <cell r="AL23">
            <v>132.21912</v>
          </cell>
          <cell r="AO23">
            <v>0</v>
          </cell>
          <cell r="AR23">
            <v>132.21912</v>
          </cell>
          <cell r="AS23">
            <v>13.67784</v>
          </cell>
          <cell r="AU23">
            <v>2.7963583999999999</v>
          </cell>
          <cell r="AV23">
            <v>0</v>
          </cell>
          <cell r="AW23">
            <v>20.57328</v>
          </cell>
          <cell r="AX23">
            <v>9.8721600000000009</v>
          </cell>
          <cell r="AY23">
            <v>46.919638400000004</v>
          </cell>
          <cell r="AZ23">
            <v>198.8956384</v>
          </cell>
          <cell r="BA23">
            <v>12.6596008</v>
          </cell>
          <cell r="BB23">
            <v>13.957969866666668</v>
          </cell>
          <cell r="BC23">
            <v>27.915939733333335</v>
          </cell>
          <cell r="BD23">
            <v>54.533510399999997</v>
          </cell>
          <cell r="BE23">
            <v>253.42914880000001</v>
          </cell>
          <cell r="BF23">
            <v>63.357287200000002</v>
          </cell>
          <cell r="BG23">
            <v>252.21849999999998</v>
          </cell>
        </row>
        <row r="24">
          <cell r="A24">
            <v>16</v>
          </cell>
          <cell r="B24">
            <v>16</v>
          </cell>
          <cell r="C24" t="str">
            <v>CANTA CASALLO, Roberto</v>
          </cell>
          <cell r="D24" t="str">
            <v>PERFORISTA 2</v>
          </cell>
          <cell r="E24">
            <v>38796</v>
          </cell>
          <cell r="H24" t="str">
            <v>04220190</v>
          </cell>
          <cell r="I24">
            <v>30.41</v>
          </cell>
          <cell r="J24">
            <v>3.80125</v>
          </cell>
          <cell r="K24" t="str">
            <v>PROFUTURO</v>
          </cell>
          <cell r="L24">
            <v>21</v>
          </cell>
          <cell r="M24">
            <v>5</v>
          </cell>
          <cell r="N24">
            <v>2</v>
          </cell>
          <cell r="O24">
            <v>2</v>
          </cell>
          <cell r="P24">
            <v>46</v>
          </cell>
          <cell r="Q24">
            <v>638.61</v>
          </cell>
          <cell r="R24">
            <v>152.05000000000001</v>
          </cell>
          <cell r="S24">
            <v>60.82</v>
          </cell>
          <cell r="T24">
            <v>60.82</v>
          </cell>
          <cell r="U24">
            <v>218.57187499999998</v>
          </cell>
          <cell r="V24">
            <v>50</v>
          </cell>
          <cell r="AB24">
            <v>1180.8718750000003</v>
          </cell>
          <cell r="AC24">
            <v>0</v>
          </cell>
          <cell r="AD24">
            <v>141.70462500000002</v>
          </cell>
          <cell r="AE24">
            <v>11.926805937500003</v>
          </cell>
          <cell r="AF24">
            <v>23.381263125000004</v>
          </cell>
          <cell r="AH24">
            <v>177.01269406250003</v>
          </cell>
          <cell r="AJ24">
            <v>177.01269406250003</v>
          </cell>
          <cell r="AL24">
            <v>1003.8591809375002</v>
          </cell>
          <cell r="AO24">
            <v>0</v>
          </cell>
          <cell r="AR24">
            <v>1003.8591809375002</v>
          </cell>
          <cell r="AS24">
            <v>106.27846875000002</v>
          </cell>
          <cell r="AU24">
            <v>21.728042500000004</v>
          </cell>
          <cell r="AV24">
            <v>23.617437500000005</v>
          </cell>
          <cell r="AW24">
            <v>24.90579</v>
          </cell>
          <cell r="AX24">
            <v>11.951129999999999</v>
          </cell>
          <cell r="AY24">
            <v>188.48086875000001</v>
          </cell>
          <cell r="AZ24">
            <v>1369.3527437500002</v>
          </cell>
          <cell r="BA24">
            <v>98.366627187500015</v>
          </cell>
          <cell r="BB24">
            <v>90.830072395833341</v>
          </cell>
          <cell r="BC24">
            <v>183.46347812500002</v>
          </cell>
          <cell r="BD24">
            <v>372.66017770833338</v>
          </cell>
          <cell r="BE24">
            <v>1742.0129214583335</v>
          </cell>
          <cell r="BF24">
            <v>82.952996259920639</v>
          </cell>
          <cell r="BG24">
            <v>272.78196731312278</v>
          </cell>
        </row>
        <row r="25">
          <cell r="A25">
            <v>17</v>
          </cell>
          <cell r="B25">
            <v>17</v>
          </cell>
          <cell r="C25" t="str">
            <v>CARLOS SANTOS JUVEL</v>
          </cell>
          <cell r="D25" t="str">
            <v>AYUDANTE PERFORISTA</v>
          </cell>
          <cell r="E25">
            <v>38808</v>
          </cell>
          <cell r="G25">
            <v>28745</v>
          </cell>
          <cell r="H25" t="str">
            <v>80660606</v>
          </cell>
          <cell r="I25">
            <v>25.12</v>
          </cell>
          <cell r="J25">
            <v>3.14</v>
          </cell>
          <cell r="K25" t="str">
            <v>ONP</v>
          </cell>
          <cell r="L25">
            <v>22</v>
          </cell>
          <cell r="M25">
            <v>4.8000000000000007</v>
          </cell>
          <cell r="O25">
            <v>2</v>
          </cell>
          <cell r="P25">
            <v>48</v>
          </cell>
          <cell r="Q25">
            <v>552.64</v>
          </cell>
          <cell r="R25">
            <v>120.57600000000002</v>
          </cell>
          <cell r="S25">
            <v>0</v>
          </cell>
          <cell r="T25">
            <v>50.24</v>
          </cell>
          <cell r="U25">
            <v>188.4</v>
          </cell>
          <cell r="AB25">
            <v>911.85599999999999</v>
          </cell>
          <cell r="AC25">
            <v>118.54128</v>
          </cell>
          <cell r="AD25">
            <v>0</v>
          </cell>
          <cell r="AE25">
            <v>0</v>
          </cell>
          <cell r="AF25">
            <v>0</v>
          </cell>
          <cell r="AH25">
            <v>118.54128</v>
          </cell>
          <cell r="AJ25">
            <v>118.54128</v>
          </cell>
          <cell r="AL25">
            <v>793.31471999999997</v>
          </cell>
          <cell r="AO25">
            <v>0</v>
          </cell>
          <cell r="AR25">
            <v>793.31471999999997</v>
          </cell>
          <cell r="AS25">
            <v>82.067039999999992</v>
          </cell>
          <cell r="AU25">
            <v>16.778150400000001</v>
          </cell>
          <cell r="AV25">
            <v>0</v>
          </cell>
          <cell r="AW25">
            <v>20.57328</v>
          </cell>
          <cell r="AX25">
            <v>9.8721600000000009</v>
          </cell>
          <cell r="AY25">
            <v>129.2906304</v>
          </cell>
          <cell r="AZ25">
            <v>1041.1466304</v>
          </cell>
          <cell r="BA25">
            <v>75.957604799999999</v>
          </cell>
          <cell r="BB25">
            <v>66.875552533333334</v>
          </cell>
          <cell r="BC25">
            <v>142.1244384</v>
          </cell>
          <cell r="BD25">
            <v>284.95759573333333</v>
          </cell>
          <cell r="BE25">
            <v>1326.1042261333334</v>
          </cell>
          <cell r="BF25">
            <v>60.277464824242429</v>
          </cell>
          <cell r="BG25">
            <v>239.9580606060606</v>
          </cell>
        </row>
        <row r="26">
          <cell r="A26">
            <v>18</v>
          </cell>
          <cell r="B26">
            <v>18</v>
          </cell>
          <cell r="C26" t="str">
            <v>CASALLO CASTRO, Edwin</v>
          </cell>
          <cell r="D26" t="str">
            <v>CHOFER</v>
          </cell>
          <cell r="E26">
            <v>38827</v>
          </cell>
          <cell r="G26">
            <v>24390</v>
          </cell>
          <cell r="H26" t="str">
            <v>04073375</v>
          </cell>
          <cell r="I26">
            <v>30.41</v>
          </cell>
          <cell r="J26">
            <v>3.80125</v>
          </cell>
          <cell r="K26" t="str">
            <v>ONP</v>
          </cell>
          <cell r="L26">
            <v>22</v>
          </cell>
          <cell r="M26">
            <v>5</v>
          </cell>
          <cell r="O26">
            <v>3</v>
          </cell>
          <cell r="P26">
            <v>50</v>
          </cell>
          <cell r="Q26">
            <v>669.02</v>
          </cell>
          <cell r="R26">
            <v>152.05000000000001</v>
          </cell>
          <cell r="S26">
            <v>0</v>
          </cell>
          <cell r="T26">
            <v>91.23</v>
          </cell>
          <cell r="U26">
            <v>237.578125</v>
          </cell>
          <cell r="V26">
            <v>50</v>
          </cell>
          <cell r="AB26">
            <v>1199.878125</v>
          </cell>
          <cell r="AC26">
            <v>155.98415625000001</v>
          </cell>
          <cell r="AD26">
            <v>0</v>
          </cell>
          <cell r="AE26">
            <v>0</v>
          </cell>
          <cell r="AF26">
            <v>0</v>
          </cell>
          <cell r="AH26">
            <v>155.98415625000001</v>
          </cell>
          <cell r="AJ26">
            <v>155.98415625000001</v>
          </cell>
          <cell r="AL26">
            <v>1043.8939687499999</v>
          </cell>
          <cell r="AN26">
            <v>15</v>
          </cell>
          <cell r="AO26">
            <v>15</v>
          </cell>
          <cell r="AR26">
            <v>1028.8939687499999</v>
          </cell>
          <cell r="AS26">
            <v>107.98903125</v>
          </cell>
          <cell r="AU26">
            <v>22.077757499999997</v>
          </cell>
          <cell r="AV26">
            <v>0</v>
          </cell>
          <cell r="AW26">
            <v>24.90579</v>
          </cell>
          <cell r="AX26">
            <v>11.951129999999999</v>
          </cell>
          <cell r="AY26">
            <v>166.92370875</v>
          </cell>
          <cell r="AZ26">
            <v>1366.80183375</v>
          </cell>
          <cell r="BA26">
            <v>99.949847812499996</v>
          </cell>
          <cell r="BB26">
            <v>86.499475729166662</v>
          </cell>
          <cell r="BC26">
            <v>179.87061812499999</v>
          </cell>
          <cell r="BD26">
            <v>366.31994166666664</v>
          </cell>
          <cell r="BE26">
            <v>1733.1217754166667</v>
          </cell>
          <cell r="BF26">
            <v>78.7782625189394</v>
          </cell>
          <cell r="BG26">
            <v>259.05380637599274</v>
          </cell>
        </row>
        <row r="27">
          <cell r="A27">
            <v>19</v>
          </cell>
          <cell r="B27">
            <v>19</v>
          </cell>
          <cell r="C27" t="str">
            <v>CHAMBI ESTOFANERO, Aurelio</v>
          </cell>
          <cell r="D27" t="str">
            <v>OPER. JUMBO 2</v>
          </cell>
          <cell r="E27">
            <v>38757</v>
          </cell>
          <cell r="H27" t="str">
            <v>02436314</v>
          </cell>
          <cell r="I27">
            <v>40.99</v>
          </cell>
          <cell r="J27">
            <v>5.1237500000000002</v>
          </cell>
          <cell r="K27" t="str">
            <v>UNION</v>
          </cell>
          <cell r="L27">
            <v>19</v>
          </cell>
          <cell r="M27">
            <v>3.8000000000000003</v>
          </cell>
          <cell r="P27">
            <v>38</v>
          </cell>
          <cell r="Q27">
            <v>778.81000000000006</v>
          </cell>
          <cell r="R27">
            <v>155.76200000000003</v>
          </cell>
          <cell r="S27">
            <v>0</v>
          </cell>
          <cell r="T27">
            <v>0</v>
          </cell>
          <cell r="U27">
            <v>243.37812500000001</v>
          </cell>
          <cell r="V27">
            <v>38</v>
          </cell>
          <cell r="AB27">
            <v>1215.9501250000001</v>
          </cell>
          <cell r="AC27">
            <v>0</v>
          </cell>
          <cell r="AD27">
            <v>145.91401500000001</v>
          </cell>
          <cell r="AE27">
            <v>10.943551125000003</v>
          </cell>
          <cell r="AF27">
            <v>23.589432425000002</v>
          </cell>
          <cell r="AH27">
            <v>180.44699855000002</v>
          </cell>
          <cell r="AJ27">
            <v>180.44699855000002</v>
          </cell>
          <cell r="AL27">
            <v>1035.5031264500001</v>
          </cell>
          <cell r="AO27">
            <v>0</v>
          </cell>
          <cell r="AR27">
            <v>1035.5031264500001</v>
          </cell>
          <cell r="AS27">
            <v>109.43551125</v>
          </cell>
          <cell r="AU27">
            <v>22.373482299999999</v>
          </cell>
          <cell r="AV27">
            <v>24.319002500000003</v>
          </cell>
          <cell r="AW27">
            <v>33.570810000000002</v>
          </cell>
          <cell r="AX27">
            <v>16.109070000000003</v>
          </cell>
          <cell r="AY27">
            <v>205.80787605</v>
          </cell>
          <cell r="AZ27">
            <v>1421.7580010500001</v>
          </cell>
          <cell r="BA27">
            <v>101.2886454125</v>
          </cell>
          <cell r="BB27">
            <v>98.198323004166681</v>
          </cell>
          <cell r="BC27">
            <v>190.06331267500002</v>
          </cell>
          <cell r="BD27">
            <v>389.5502810916667</v>
          </cell>
          <cell r="BE27">
            <v>1811.3082821416667</v>
          </cell>
          <cell r="BF27">
            <v>95.332014849561403</v>
          </cell>
          <cell r="BG27">
            <v>232.57383471471434</v>
          </cell>
        </row>
        <row r="28">
          <cell r="A28">
            <v>20</v>
          </cell>
          <cell r="B28">
            <v>20</v>
          </cell>
          <cell r="C28" t="str">
            <v>CHICO SANCHEZ, Alvino</v>
          </cell>
          <cell r="D28" t="str">
            <v>Ayte. Shotcretero</v>
          </cell>
          <cell r="E28">
            <v>38775</v>
          </cell>
          <cell r="H28" t="str">
            <v>04069214</v>
          </cell>
          <cell r="I28">
            <v>25.12</v>
          </cell>
          <cell r="J28">
            <v>3.14</v>
          </cell>
          <cell r="K28" t="str">
            <v>INTEGRA</v>
          </cell>
          <cell r="L28">
            <v>13</v>
          </cell>
          <cell r="M28">
            <v>3.2</v>
          </cell>
          <cell r="O28">
            <v>3</v>
          </cell>
          <cell r="P28">
            <v>32</v>
          </cell>
          <cell r="Q28">
            <v>326.56</v>
          </cell>
          <cell r="R28">
            <v>80.384000000000015</v>
          </cell>
          <cell r="S28">
            <v>0</v>
          </cell>
          <cell r="T28">
            <v>75.36</v>
          </cell>
          <cell r="U28">
            <v>125.60000000000001</v>
          </cell>
          <cell r="V28">
            <v>32</v>
          </cell>
          <cell r="AB28">
            <v>639.904</v>
          </cell>
          <cell r="AC28">
            <v>0</v>
          </cell>
          <cell r="AD28">
            <v>76.788479999999993</v>
          </cell>
          <cell r="AE28">
            <v>5.6311552000000002</v>
          </cell>
          <cell r="AF28">
            <v>11.518272000000001</v>
          </cell>
          <cell r="AH28">
            <v>93.937907199999984</v>
          </cell>
          <cell r="AJ28">
            <v>93.937907199999984</v>
          </cell>
          <cell r="AL28">
            <v>545.96609280000007</v>
          </cell>
          <cell r="AN28">
            <v>16</v>
          </cell>
          <cell r="AO28">
            <v>16</v>
          </cell>
          <cell r="AP28">
            <v>250</v>
          </cell>
          <cell r="AR28">
            <v>279.96609280000007</v>
          </cell>
          <cell r="AS28">
            <v>57.591359999999995</v>
          </cell>
          <cell r="AU28">
            <v>11.774233600000001</v>
          </cell>
          <cell r="AV28">
            <v>12.798080000000001</v>
          </cell>
          <cell r="AW28">
            <v>20.57328</v>
          </cell>
          <cell r="AX28">
            <v>9.8721600000000009</v>
          </cell>
          <cell r="AY28">
            <v>112.6091136</v>
          </cell>
          <cell r="AZ28">
            <v>752.5131136</v>
          </cell>
          <cell r="BA28">
            <v>53.304003199999997</v>
          </cell>
          <cell r="BB28">
            <v>45.962759466666661</v>
          </cell>
          <cell r="BC28">
            <v>99.15218560000001</v>
          </cell>
          <cell r="BD28">
            <v>198.41894826666669</v>
          </cell>
          <cell r="BE28">
            <v>950.93206186666669</v>
          </cell>
          <cell r="BF28">
            <v>73.148620143589739</v>
          </cell>
          <cell r="BG28">
            <v>291.19673624040502</v>
          </cell>
        </row>
        <row r="29">
          <cell r="A29">
            <v>21</v>
          </cell>
          <cell r="B29">
            <v>21</v>
          </cell>
          <cell r="C29" t="str">
            <v>CRUZ ZEVALLOS, Rolando Abel</v>
          </cell>
          <cell r="D29" t="str">
            <v>AYUDANTE PERFORISTA</v>
          </cell>
          <cell r="E29">
            <v>38883</v>
          </cell>
          <cell r="F29" t="str">
            <v>Nuevo</v>
          </cell>
          <cell r="H29" t="str">
            <v>20899463</v>
          </cell>
          <cell r="I29">
            <v>25.12</v>
          </cell>
          <cell r="J29">
            <v>3.14</v>
          </cell>
          <cell r="K29" t="str">
            <v>HORIZONTE</v>
          </cell>
          <cell r="L29">
            <v>13</v>
          </cell>
          <cell r="M29">
            <v>2.6</v>
          </cell>
          <cell r="P29">
            <v>26</v>
          </cell>
          <cell r="Q29">
            <v>326.56</v>
          </cell>
          <cell r="R29">
            <v>65.312000000000012</v>
          </cell>
          <cell r="S29">
            <v>0</v>
          </cell>
          <cell r="T29">
            <v>0</v>
          </cell>
          <cell r="U29">
            <v>102.05</v>
          </cell>
          <cell r="AB29">
            <v>493.92200000000003</v>
          </cell>
          <cell r="AC29">
            <v>0</v>
          </cell>
          <cell r="AD29">
            <v>59.27064</v>
          </cell>
          <cell r="AE29">
            <v>4.3465136000000006</v>
          </cell>
          <cell r="AF29">
            <v>9.6314790000000006</v>
          </cell>
          <cell r="AH29">
            <v>73.248632600000008</v>
          </cell>
          <cell r="AJ29">
            <v>73.248632600000008</v>
          </cell>
          <cell r="AL29">
            <v>420.67336740000002</v>
          </cell>
          <cell r="AN29">
            <v>67</v>
          </cell>
          <cell r="AO29">
            <v>67</v>
          </cell>
          <cell r="AR29">
            <v>353.67336740000002</v>
          </cell>
          <cell r="AS29">
            <v>44.452980000000004</v>
          </cell>
          <cell r="AU29">
            <v>9.0881647999999995</v>
          </cell>
          <cell r="AV29">
            <v>9.8784400000000012</v>
          </cell>
          <cell r="AW29">
            <v>20.57328</v>
          </cell>
          <cell r="AX29">
            <v>9.8721600000000009</v>
          </cell>
          <cell r="AY29">
            <v>93.865024800000015</v>
          </cell>
          <cell r="AZ29">
            <v>587.78702480000004</v>
          </cell>
          <cell r="BA29">
            <v>41.143702600000005</v>
          </cell>
          <cell r="BB29">
            <v>40.478085400000005</v>
          </cell>
          <cell r="BC29">
            <v>80.95617080000001</v>
          </cell>
          <cell r="BD29">
            <v>162.57795880000003</v>
          </cell>
          <cell r="BE29">
            <v>750.36498360000007</v>
          </cell>
          <cell r="BF29">
            <v>57.720383353846159</v>
          </cell>
          <cell r="BG29">
            <v>229.77859615384614</v>
          </cell>
        </row>
        <row r="30">
          <cell r="A30">
            <v>22</v>
          </cell>
          <cell r="B30">
            <v>22</v>
          </cell>
          <cell r="C30" t="str">
            <v>CUEVA RIVERA, Miguel Angel</v>
          </cell>
          <cell r="D30" t="str">
            <v>ALMACENERO</v>
          </cell>
          <cell r="E30">
            <v>38863</v>
          </cell>
          <cell r="H30" t="str">
            <v>41319765</v>
          </cell>
          <cell r="I30">
            <v>27.77</v>
          </cell>
          <cell r="J30">
            <v>3.4712499999999999</v>
          </cell>
          <cell r="K30" t="str">
            <v>PROFUTURO</v>
          </cell>
          <cell r="L30">
            <v>23</v>
          </cell>
          <cell r="M30">
            <v>5</v>
          </cell>
          <cell r="N30">
            <v>2</v>
          </cell>
          <cell r="P30">
            <v>46</v>
          </cell>
          <cell r="Q30">
            <v>638.71</v>
          </cell>
          <cell r="R30">
            <v>138.85</v>
          </cell>
          <cell r="S30">
            <v>55.54</v>
          </cell>
          <cell r="T30">
            <v>0</v>
          </cell>
          <cell r="U30">
            <v>199.59687500000001</v>
          </cell>
          <cell r="AB30">
            <v>1032.6968750000001</v>
          </cell>
          <cell r="AC30">
            <v>0</v>
          </cell>
          <cell r="AD30">
            <v>123.923625</v>
          </cell>
          <cell r="AE30">
            <v>10.4302384375</v>
          </cell>
          <cell r="AF30">
            <v>20.447398124999999</v>
          </cell>
          <cell r="AH30">
            <v>154.8012615625</v>
          </cell>
          <cell r="AJ30">
            <v>154.8012615625</v>
          </cell>
          <cell r="AL30">
            <v>877.89561343750006</v>
          </cell>
          <cell r="AN30">
            <v>250</v>
          </cell>
          <cell r="AO30">
            <v>250</v>
          </cell>
          <cell r="AR30">
            <v>627.89561343750006</v>
          </cell>
          <cell r="AS30">
            <v>92.942718750000012</v>
          </cell>
          <cell r="AU30">
            <v>19.0016225</v>
          </cell>
          <cell r="AV30">
            <v>20.653937500000001</v>
          </cell>
          <cell r="AW30">
            <v>22.743630000000003</v>
          </cell>
          <cell r="AX30">
            <v>10.91361</v>
          </cell>
          <cell r="AY30">
            <v>166.25551875000002</v>
          </cell>
          <cell r="AZ30">
            <v>1198.9523937500001</v>
          </cell>
          <cell r="BA30">
            <v>86.023649687500011</v>
          </cell>
          <cell r="BB30">
            <v>83.279626562500013</v>
          </cell>
          <cell r="BC30">
            <v>166.55925312500003</v>
          </cell>
          <cell r="BD30">
            <v>335.86252937500001</v>
          </cell>
          <cell r="BE30">
            <v>1534.814923125</v>
          </cell>
          <cell r="BF30">
            <v>66.731083614130426</v>
          </cell>
          <cell r="BG30">
            <v>240.29918478260868</v>
          </cell>
        </row>
        <row r="31">
          <cell r="A31">
            <v>23</v>
          </cell>
          <cell r="B31">
            <v>23</v>
          </cell>
          <cell r="C31" t="str">
            <v>DEUDOR LOPEZ, Gilmar Saturnino</v>
          </cell>
          <cell r="D31" t="str">
            <v xml:space="preserve">OPER. SCOOPTRAMS 2 </v>
          </cell>
          <cell r="E31">
            <v>38757</v>
          </cell>
          <cell r="H31" t="str">
            <v>04045160</v>
          </cell>
          <cell r="I31">
            <v>35.700000000000003</v>
          </cell>
          <cell r="J31">
            <v>4.4625000000000004</v>
          </cell>
          <cell r="K31" t="str">
            <v>INTEGRA</v>
          </cell>
          <cell r="L31">
            <v>22</v>
          </cell>
          <cell r="M31">
            <v>5</v>
          </cell>
          <cell r="O31">
            <v>3</v>
          </cell>
          <cell r="P31">
            <v>50</v>
          </cell>
          <cell r="Q31">
            <v>785.40000000000009</v>
          </cell>
          <cell r="R31">
            <v>178.5</v>
          </cell>
          <cell r="S31">
            <v>0</v>
          </cell>
          <cell r="T31">
            <v>107.10000000000001</v>
          </cell>
          <cell r="U31">
            <v>278.90625000000006</v>
          </cell>
          <cell r="V31">
            <v>50</v>
          </cell>
          <cell r="AB31">
            <v>1399.90625</v>
          </cell>
          <cell r="AC31">
            <v>0</v>
          </cell>
          <cell r="AD31">
            <v>167.98874999999998</v>
          </cell>
          <cell r="AE31">
            <v>12.319175000000001</v>
          </cell>
          <cell r="AF31">
            <v>25.198312500000004</v>
          </cell>
          <cell r="AH31">
            <v>205.5062375</v>
          </cell>
          <cell r="AJ31">
            <v>205.5062375</v>
          </cell>
          <cell r="AL31">
            <v>1194.4000125</v>
          </cell>
          <cell r="AN31">
            <v>6.5</v>
          </cell>
          <cell r="AO31">
            <v>6.5</v>
          </cell>
          <cell r="AR31">
            <v>1187.9000125</v>
          </cell>
          <cell r="AS31">
            <v>125.9915625</v>
          </cell>
          <cell r="AU31">
            <v>25.758275000000001</v>
          </cell>
          <cell r="AV31">
            <v>27.998125000000002</v>
          </cell>
          <cell r="AW31">
            <v>29.238300000000002</v>
          </cell>
          <cell r="AX31">
            <v>14.030100000000001</v>
          </cell>
          <cell r="AY31">
            <v>223.01636250000004</v>
          </cell>
          <cell r="AZ31">
            <v>1622.9226125</v>
          </cell>
          <cell r="BA31">
            <v>116.612190625</v>
          </cell>
          <cell r="BB31">
            <v>103.07636354166668</v>
          </cell>
          <cell r="BC31">
            <v>215.66939375000001</v>
          </cell>
          <cell r="BD31">
            <v>435.35794791666672</v>
          </cell>
          <cell r="BE31">
            <v>2058.280560416667</v>
          </cell>
          <cell r="BF31">
            <v>93.558207291666676</v>
          </cell>
          <cell r="BG31">
            <v>262.06780753968258</v>
          </cell>
        </row>
        <row r="32">
          <cell r="A32">
            <v>24</v>
          </cell>
          <cell r="B32">
            <v>24</v>
          </cell>
          <cell r="C32" t="str">
            <v>ESPINOZA ROBLES, Walter</v>
          </cell>
          <cell r="D32" t="str">
            <v>AYUDANTE PERFORISTA</v>
          </cell>
          <cell r="E32">
            <v>38789</v>
          </cell>
          <cell r="H32" t="str">
            <v>04044646</v>
          </cell>
          <cell r="I32">
            <v>25.12</v>
          </cell>
          <cell r="J32">
            <v>3.14</v>
          </cell>
          <cell r="K32" t="str">
            <v>INTEGRA</v>
          </cell>
          <cell r="L32">
            <v>22</v>
          </cell>
          <cell r="M32">
            <v>5</v>
          </cell>
          <cell r="O32">
            <v>3</v>
          </cell>
          <cell r="P32">
            <v>50</v>
          </cell>
          <cell r="Q32">
            <v>552.64</v>
          </cell>
          <cell r="R32">
            <v>125.60000000000001</v>
          </cell>
          <cell r="S32">
            <v>0</v>
          </cell>
          <cell r="T32">
            <v>75.36</v>
          </cell>
          <cell r="U32">
            <v>196.25</v>
          </cell>
          <cell r="V32">
            <v>50</v>
          </cell>
          <cell r="AB32">
            <v>999.85</v>
          </cell>
          <cell r="AC32">
            <v>0</v>
          </cell>
          <cell r="AD32">
            <v>119.982</v>
          </cell>
          <cell r="AE32">
            <v>8.7986800000000009</v>
          </cell>
          <cell r="AF32">
            <v>17.997300000000003</v>
          </cell>
          <cell r="AH32">
            <v>146.77797999999999</v>
          </cell>
          <cell r="AJ32">
            <v>146.77797999999999</v>
          </cell>
          <cell r="AL32">
            <v>853.07202000000007</v>
          </cell>
          <cell r="AN32">
            <v>2.5</v>
          </cell>
          <cell r="AO32">
            <v>2.5</v>
          </cell>
          <cell r="AR32">
            <v>850.57202000000007</v>
          </cell>
          <cell r="AS32">
            <v>89.986499999999992</v>
          </cell>
          <cell r="AU32">
            <v>18.39724</v>
          </cell>
          <cell r="AV32">
            <v>19.997</v>
          </cell>
          <cell r="AW32">
            <v>20.57328</v>
          </cell>
          <cell r="AX32">
            <v>9.8721600000000009</v>
          </cell>
          <cell r="AY32">
            <v>158.82618000000002</v>
          </cell>
          <cell r="AZ32">
            <v>1158.6761799999999</v>
          </cell>
          <cell r="BA32">
            <v>83.287504999999996</v>
          </cell>
          <cell r="BB32">
            <v>73.922181666666674</v>
          </cell>
          <cell r="BC32">
            <v>152.07103000000001</v>
          </cell>
          <cell r="BD32">
            <v>309.28071666666665</v>
          </cell>
          <cell r="BE32">
            <v>1467.9568966666666</v>
          </cell>
          <cell r="BF32">
            <v>66.725313484848485</v>
          </cell>
          <cell r="BG32">
            <v>265.62624794923761</v>
          </cell>
        </row>
        <row r="33">
          <cell r="A33">
            <v>25</v>
          </cell>
          <cell r="B33">
            <v>25</v>
          </cell>
          <cell r="C33" t="str">
            <v>ESPINOZA VARILLAS, Roberth</v>
          </cell>
          <cell r="D33" t="str">
            <v>CHOFER DE VOLQUETE</v>
          </cell>
          <cell r="E33">
            <v>38881</v>
          </cell>
          <cell r="F33" t="str">
            <v>Nuevo</v>
          </cell>
          <cell r="H33" t="str">
            <v>16297398</v>
          </cell>
          <cell r="I33">
            <v>33.06</v>
          </cell>
          <cell r="J33">
            <v>4.1325000000000003</v>
          </cell>
          <cell r="K33" t="str">
            <v>INTEGRA</v>
          </cell>
          <cell r="L33">
            <v>15</v>
          </cell>
          <cell r="M33">
            <v>3</v>
          </cell>
          <cell r="P33">
            <v>30</v>
          </cell>
          <cell r="Q33">
            <v>495.90000000000003</v>
          </cell>
          <cell r="R33">
            <v>99.18</v>
          </cell>
          <cell r="S33">
            <v>0</v>
          </cell>
          <cell r="T33">
            <v>0</v>
          </cell>
          <cell r="U33">
            <v>154.96875</v>
          </cell>
          <cell r="AB33">
            <v>750.04875000000004</v>
          </cell>
          <cell r="AC33">
            <v>0</v>
          </cell>
          <cell r="AD33">
            <v>90.005849999999995</v>
          </cell>
          <cell r="AE33">
            <v>6.600429000000001</v>
          </cell>
          <cell r="AF33">
            <v>13.500877500000003</v>
          </cell>
          <cell r="AH33">
            <v>110.1071565</v>
          </cell>
          <cell r="AJ33">
            <v>110.1071565</v>
          </cell>
          <cell r="AL33">
            <v>639.94159350000007</v>
          </cell>
          <cell r="AO33">
            <v>0</v>
          </cell>
          <cell r="AR33">
            <v>639.94159350000007</v>
          </cell>
          <cell r="AS33">
            <v>67.504387500000007</v>
          </cell>
          <cell r="AU33">
            <v>13.800897000000001</v>
          </cell>
          <cell r="AV33">
            <v>15.000975</v>
          </cell>
          <cell r="AW33">
            <v>27.076140000000002</v>
          </cell>
          <cell r="AX33">
            <v>12.992580000000002</v>
          </cell>
          <cell r="AY33">
            <v>136.37497950000002</v>
          </cell>
          <cell r="AZ33">
            <v>886.42372950000004</v>
          </cell>
          <cell r="BA33">
            <v>62.479060875000002</v>
          </cell>
          <cell r="BB33">
            <v>60.954581625000003</v>
          </cell>
          <cell r="BC33">
            <v>121.90916325000001</v>
          </cell>
          <cell r="BD33">
            <v>245.34280575000003</v>
          </cell>
          <cell r="BE33">
            <v>1131.7665352500001</v>
          </cell>
          <cell r="BF33">
            <v>75.451102349999999</v>
          </cell>
          <cell r="BG33">
            <v>228.22475</v>
          </cell>
        </row>
        <row r="34">
          <cell r="A34">
            <v>26</v>
          </cell>
          <cell r="B34">
            <v>26</v>
          </cell>
          <cell r="C34" t="str">
            <v>ESTRADA MINAYA Francisco</v>
          </cell>
          <cell r="D34" t="str">
            <v>AYUDANTE SHOTCRETERO</v>
          </cell>
          <cell r="E34">
            <v>38813</v>
          </cell>
          <cell r="G34">
            <v>25634</v>
          </cell>
          <cell r="H34" t="str">
            <v>04213997</v>
          </cell>
          <cell r="I34">
            <v>25.12</v>
          </cell>
          <cell r="J34">
            <v>3.14</v>
          </cell>
          <cell r="K34" t="str">
            <v>PROFUTURO</v>
          </cell>
          <cell r="L34">
            <v>20</v>
          </cell>
          <cell r="M34">
            <v>5</v>
          </cell>
          <cell r="O34">
            <v>5</v>
          </cell>
          <cell r="P34">
            <v>50</v>
          </cell>
          <cell r="Q34">
            <v>502.40000000000003</v>
          </cell>
          <cell r="R34">
            <v>125.60000000000001</v>
          </cell>
          <cell r="S34">
            <v>0</v>
          </cell>
          <cell r="T34">
            <v>125.60000000000001</v>
          </cell>
          <cell r="U34">
            <v>196.25</v>
          </cell>
          <cell r="V34">
            <v>50</v>
          </cell>
          <cell r="AB34">
            <v>999.85</v>
          </cell>
          <cell r="AC34">
            <v>0</v>
          </cell>
          <cell r="AD34">
            <v>119.982</v>
          </cell>
          <cell r="AE34">
            <v>10.098485</v>
          </cell>
          <cell r="AF34">
            <v>19.797029999999999</v>
          </cell>
          <cell r="AH34">
            <v>149.87751500000002</v>
          </cell>
          <cell r="AJ34">
            <v>149.87751500000002</v>
          </cell>
          <cell r="AL34">
            <v>849.97248500000001</v>
          </cell>
          <cell r="AN34">
            <v>3</v>
          </cell>
          <cell r="AO34">
            <v>3</v>
          </cell>
          <cell r="AR34">
            <v>846.97248500000001</v>
          </cell>
          <cell r="AS34">
            <v>89.986499999999992</v>
          </cell>
          <cell r="AU34">
            <v>18.39724</v>
          </cell>
          <cell r="AV34">
            <v>19.997</v>
          </cell>
          <cell r="AW34">
            <v>20.57328</v>
          </cell>
          <cell r="AX34">
            <v>9.8721600000000009</v>
          </cell>
          <cell r="AY34">
            <v>158.82618000000002</v>
          </cell>
          <cell r="AZ34">
            <v>1158.6761799999999</v>
          </cell>
          <cell r="BA34">
            <v>83.287504999999996</v>
          </cell>
          <cell r="BB34">
            <v>69.735515000000007</v>
          </cell>
          <cell r="BC34">
            <v>152.07103000000001</v>
          </cell>
          <cell r="BD34">
            <v>305.09405000000004</v>
          </cell>
          <cell r="BE34">
            <v>1463.7702300000001</v>
          </cell>
          <cell r="BF34">
            <v>73.188511500000004</v>
          </cell>
          <cell r="BG34">
            <v>291.35553941082804</v>
          </cell>
        </row>
        <row r="35">
          <cell r="A35">
            <v>27</v>
          </cell>
          <cell r="B35">
            <v>27</v>
          </cell>
          <cell r="C35" t="str">
            <v>FLORES HUAMAN, Juan</v>
          </cell>
          <cell r="D35" t="str">
            <v>AYUDANTE PERFORISTA</v>
          </cell>
          <cell r="E35">
            <v>38808</v>
          </cell>
          <cell r="G35">
            <v>29698</v>
          </cell>
          <cell r="H35" t="str">
            <v>40881154</v>
          </cell>
          <cell r="I35">
            <v>25.12</v>
          </cell>
          <cell r="J35">
            <v>3.14</v>
          </cell>
          <cell r="K35" t="str">
            <v>UNION</v>
          </cell>
          <cell r="L35">
            <v>21</v>
          </cell>
          <cell r="M35">
            <v>5</v>
          </cell>
          <cell r="O35">
            <v>4</v>
          </cell>
          <cell r="P35">
            <v>50</v>
          </cell>
          <cell r="Q35">
            <v>527.52</v>
          </cell>
          <cell r="R35">
            <v>125.60000000000001</v>
          </cell>
          <cell r="S35">
            <v>0</v>
          </cell>
          <cell r="T35">
            <v>100.48</v>
          </cell>
          <cell r="U35">
            <v>196.25</v>
          </cell>
          <cell r="V35">
            <v>50</v>
          </cell>
          <cell r="AB35">
            <v>999.85</v>
          </cell>
          <cell r="AC35">
            <v>0</v>
          </cell>
          <cell r="AD35">
            <v>119.982</v>
          </cell>
          <cell r="AE35">
            <v>8.9986500000000014</v>
          </cell>
          <cell r="AF35">
            <v>19.397090000000002</v>
          </cell>
          <cell r="AH35">
            <v>148.37773999999999</v>
          </cell>
          <cell r="AJ35">
            <v>148.37773999999999</v>
          </cell>
          <cell r="AL35">
            <v>851.47226000000001</v>
          </cell>
          <cell r="AN35">
            <v>41</v>
          </cell>
          <cell r="AO35">
            <v>41</v>
          </cell>
          <cell r="AR35">
            <v>810.47226000000001</v>
          </cell>
          <cell r="AS35">
            <v>89.986499999999992</v>
          </cell>
          <cell r="AU35">
            <v>18.39724</v>
          </cell>
          <cell r="AV35">
            <v>19.997</v>
          </cell>
          <cell r="AW35">
            <v>20.57328</v>
          </cell>
          <cell r="AX35">
            <v>9.8721600000000009</v>
          </cell>
          <cell r="AY35">
            <v>158.82618000000002</v>
          </cell>
          <cell r="AZ35">
            <v>1158.6761799999999</v>
          </cell>
          <cell r="BA35">
            <v>83.287504999999996</v>
          </cell>
          <cell r="BB35">
            <v>71.82884833333334</v>
          </cell>
          <cell r="BC35">
            <v>152.07103000000001</v>
          </cell>
          <cell r="BD35">
            <v>307.18738333333334</v>
          </cell>
          <cell r="BE35">
            <v>1465.8635633333333</v>
          </cell>
          <cell r="BF35">
            <v>69.803026825396827</v>
          </cell>
          <cell r="BG35">
            <v>277.87829150237593</v>
          </cell>
        </row>
        <row r="36">
          <cell r="A36">
            <v>28</v>
          </cell>
          <cell r="B36">
            <v>28</v>
          </cell>
          <cell r="C36" t="str">
            <v>FRANCHI INGA, Richard  Alex</v>
          </cell>
          <cell r="D36" t="str">
            <v>CARGADOR/DISPARADOR 1</v>
          </cell>
          <cell r="E36">
            <v>38757</v>
          </cell>
          <cell r="H36" t="str">
            <v>04070275</v>
          </cell>
          <cell r="I36">
            <v>40.99</v>
          </cell>
          <cell r="J36">
            <v>5.1237500000000002</v>
          </cell>
          <cell r="K36" t="str">
            <v>ONP</v>
          </cell>
          <cell r="L36">
            <v>17</v>
          </cell>
          <cell r="M36">
            <v>4.2</v>
          </cell>
          <cell r="N36">
            <v>4</v>
          </cell>
          <cell r="P36">
            <v>34</v>
          </cell>
          <cell r="Q36">
            <v>696.83</v>
          </cell>
          <cell r="R36">
            <v>172.15800000000002</v>
          </cell>
          <cell r="S36">
            <v>163.96</v>
          </cell>
          <cell r="T36">
            <v>0</v>
          </cell>
          <cell r="U36">
            <v>217.75937500000001</v>
          </cell>
          <cell r="V36">
            <v>42</v>
          </cell>
          <cell r="AB36">
            <v>1292.7073750000002</v>
          </cell>
          <cell r="AC36">
            <v>168.05195875000004</v>
          </cell>
          <cell r="AD36">
            <v>0</v>
          </cell>
          <cell r="AE36">
            <v>0</v>
          </cell>
          <cell r="AF36">
            <v>0</v>
          </cell>
          <cell r="AH36">
            <v>168.05195875000004</v>
          </cell>
          <cell r="AJ36">
            <v>168.05195875000004</v>
          </cell>
          <cell r="AL36">
            <v>1124.6554162500001</v>
          </cell>
          <cell r="AN36">
            <v>90</v>
          </cell>
          <cell r="AO36">
            <v>90</v>
          </cell>
          <cell r="AR36">
            <v>1034.6554162500001</v>
          </cell>
          <cell r="AS36">
            <v>116.34366375000002</v>
          </cell>
          <cell r="AU36">
            <v>23.785815700000004</v>
          </cell>
          <cell r="AV36">
            <v>0</v>
          </cell>
          <cell r="AW36">
            <v>33.570810000000002</v>
          </cell>
          <cell r="AX36">
            <v>16.109070000000003</v>
          </cell>
          <cell r="AY36">
            <v>189.80935945000002</v>
          </cell>
          <cell r="AZ36">
            <v>1482.5167344500003</v>
          </cell>
          <cell r="BA36">
            <v>107.68252433750001</v>
          </cell>
          <cell r="BB36">
            <v>105.39644662083334</v>
          </cell>
          <cell r="BC36">
            <v>203.79289324166669</v>
          </cell>
          <cell r="BD36">
            <v>416.8718642</v>
          </cell>
          <cell r="BE36">
            <v>1899.3885986500004</v>
          </cell>
          <cell r="BF36">
            <v>111.72874109705884</v>
          </cell>
          <cell r="BG36">
            <v>272.57560648221232</v>
          </cell>
        </row>
        <row r="37">
          <cell r="A37">
            <v>29</v>
          </cell>
          <cell r="B37">
            <v>29</v>
          </cell>
          <cell r="C37" t="str">
            <v>GALVAN CONDOR, Cesar</v>
          </cell>
          <cell r="D37" t="str">
            <v>PERFORISTA 2</v>
          </cell>
          <cell r="E37">
            <v>38874</v>
          </cell>
          <cell r="F37" t="str">
            <v>Nuevo</v>
          </cell>
          <cell r="H37" t="str">
            <v>41538281</v>
          </cell>
          <cell r="I37">
            <v>30.41</v>
          </cell>
          <cell r="J37">
            <v>3.80125</v>
          </cell>
          <cell r="K37" t="str">
            <v>UNION</v>
          </cell>
          <cell r="L37">
            <v>21</v>
          </cell>
          <cell r="M37">
            <v>4.2</v>
          </cell>
          <cell r="P37">
            <v>42</v>
          </cell>
          <cell r="Q37">
            <v>638.61</v>
          </cell>
          <cell r="R37">
            <v>127.72200000000001</v>
          </cell>
          <cell r="S37">
            <v>0</v>
          </cell>
          <cell r="T37">
            <v>0</v>
          </cell>
          <cell r="U37">
            <v>199.56562500000001</v>
          </cell>
          <cell r="AB37">
            <v>965.89762500000006</v>
          </cell>
          <cell r="AC37">
            <v>0</v>
          </cell>
          <cell r="AD37">
            <v>115.907715</v>
          </cell>
          <cell r="AE37">
            <v>8.6930786250000018</v>
          </cell>
          <cell r="AF37">
            <v>18.738413925000003</v>
          </cell>
          <cell r="AH37">
            <v>143.33920755</v>
          </cell>
          <cell r="AJ37">
            <v>143.33920755</v>
          </cell>
          <cell r="AL37">
            <v>822.55841745000009</v>
          </cell>
          <cell r="AN37">
            <v>4</v>
          </cell>
          <cell r="AO37">
            <v>4</v>
          </cell>
          <cell r="AR37">
            <v>818.55841745000009</v>
          </cell>
          <cell r="AS37">
            <v>86.930786249999997</v>
          </cell>
          <cell r="AU37">
            <v>17.772516299999999</v>
          </cell>
          <cell r="AV37">
            <v>19.317952500000001</v>
          </cell>
          <cell r="AW37">
            <v>24.90579</v>
          </cell>
          <cell r="AX37">
            <v>11.951129999999999</v>
          </cell>
          <cell r="AY37">
            <v>160.87817505000001</v>
          </cell>
          <cell r="AZ37">
            <v>1126.77580005</v>
          </cell>
          <cell r="BA37">
            <v>80.4592721625</v>
          </cell>
          <cell r="BB37">
            <v>77.267514587500003</v>
          </cell>
          <cell r="BC37">
            <v>154.53502917500001</v>
          </cell>
          <cell r="BD37">
            <v>312.26181592500001</v>
          </cell>
          <cell r="BE37">
            <v>1439.0376159750001</v>
          </cell>
          <cell r="BF37">
            <v>68.525600760714298</v>
          </cell>
          <cell r="BG37">
            <v>225.33903571428576</v>
          </cell>
        </row>
        <row r="38">
          <cell r="A38">
            <v>30</v>
          </cell>
          <cell r="B38">
            <v>30</v>
          </cell>
          <cell r="C38" t="str">
            <v>GALVEZ HUAMAN, Sabino</v>
          </cell>
          <cell r="D38" t="str">
            <v>CAPATAZ</v>
          </cell>
          <cell r="E38">
            <v>38756</v>
          </cell>
          <cell r="H38" t="str">
            <v>04013263</v>
          </cell>
          <cell r="I38">
            <v>46.28</v>
          </cell>
          <cell r="J38">
            <v>5.7850000000000001</v>
          </cell>
          <cell r="K38" t="str">
            <v>UNION</v>
          </cell>
          <cell r="L38">
            <v>17</v>
          </cell>
          <cell r="M38">
            <v>5</v>
          </cell>
          <cell r="O38">
            <v>8</v>
          </cell>
          <cell r="P38">
            <v>50</v>
          </cell>
          <cell r="Q38">
            <v>786.76</v>
          </cell>
          <cell r="R38">
            <v>231.4</v>
          </cell>
          <cell r="S38">
            <v>0</v>
          </cell>
          <cell r="T38">
            <v>370.24</v>
          </cell>
          <cell r="U38">
            <v>361.5625</v>
          </cell>
          <cell r="AB38">
            <v>1749.9625000000001</v>
          </cell>
          <cell r="AC38">
            <v>0</v>
          </cell>
          <cell r="AD38">
            <v>209.99549999999999</v>
          </cell>
          <cell r="AE38">
            <v>15.749662500000003</v>
          </cell>
          <cell r="AF38">
            <v>33.949272499999999</v>
          </cell>
          <cell r="AH38">
            <v>259.694435</v>
          </cell>
          <cell r="AJ38">
            <v>259.694435</v>
          </cell>
          <cell r="AL38">
            <v>1490.2680650000002</v>
          </cell>
          <cell r="AN38">
            <v>14</v>
          </cell>
          <cell r="AO38">
            <v>14</v>
          </cell>
          <cell r="AR38">
            <v>1476.2680650000002</v>
          </cell>
          <cell r="AS38">
            <v>157.49662499999999</v>
          </cell>
          <cell r="AU38">
            <v>32.199310000000004</v>
          </cell>
          <cell r="AV38">
            <v>34.999250000000004</v>
          </cell>
          <cell r="AW38">
            <v>37.903320000000008</v>
          </cell>
          <cell r="AX38">
            <v>18.188040000000001</v>
          </cell>
          <cell r="AY38">
            <v>280.78654499999999</v>
          </cell>
          <cell r="AZ38">
            <v>2030.749045</v>
          </cell>
          <cell r="BA38">
            <v>145.77187625000002</v>
          </cell>
          <cell r="BB38">
            <v>108.24554541666667</v>
          </cell>
          <cell r="BC38">
            <v>278.19775750000002</v>
          </cell>
          <cell r="BD38">
            <v>532.21517916666676</v>
          </cell>
          <cell r="BE38">
            <v>2562.964224166667</v>
          </cell>
          <cell r="BF38">
            <v>150.76260142156866</v>
          </cell>
          <cell r="BG38">
            <v>325.76188725490198</v>
          </cell>
        </row>
        <row r="39">
          <cell r="A39">
            <v>31</v>
          </cell>
          <cell r="B39">
            <v>31</v>
          </cell>
          <cell r="C39" t="str">
            <v>GARAY SUAREZ, Cesar Augusto</v>
          </cell>
          <cell r="D39" t="str">
            <v>ELECTRICISTA 1</v>
          </cell>
          <cell r="E39">
            <v>38757</v>
          </cell>
          <cell r="H39" t="str">
            <v>04074524</v>
          </cell>
          <cell r="I39">
            <v>35.700000000000003</v>
          </cell>
          <cell r="J39">
            <v>4.4625000000000004</v>
          </cell>
          <cell r="K39" t="str">
            <v>PROFUTURO</v>
          </cell>
          <cell r="L39">
            <v>22</v>
          </cell>
          <cell r="M39">
            <v>5</v>
          </cell>
          <cell r="O39">
            <v>3</v>
          </cell>
          <cell r="P39">
            <v>50</v>
          </cell>
          <cell r="Q39">
            <v>785.40000000000009</v>
          </cell>
          <cell r="R39">
            <v>178.5</v>
          </cell>
          <cell r="S39">
            <v>0</v>
          </cell>
          <cell r="T39">
            <v>107.10000000000001</v>
          </cell>
          <cell r="U39">
            <v>278.90625000000006</v>
          </cell>
          <cell r="V39">
            <v>50</v>
          </cell>
          <cell r="AB39">
            <v>1399.90625</v>
          </cell>
          <cell r="AC39">
            <v>0</v>
          </cell>
          <cell r="AD39">
            <v>167.98874999999998</v>
          </cell>
          <cell r="AE39">
            <v>14.139053125</v>
          </cell>
          <cell r="AF39">
            <v>27.718143749999996</v>
          </cell>
          <cell r="AH39">
            <v>209.84594687499998</v>
          </cell>
          <cell r="AJ39">
            <v>209.84594687499998</v>
          </cell>
          <cell r="AL39">
            <v>1190.060303125</v>
          </cell>
          <cell r="AN39">
            <v>22</v>
          </cell>
          <cell r="AO39">
            <v>22</v>
          </cell>
          <cell r="AR39">
            <v>1168.060303125</v>
          </cell>
          <cell r="AS39">
            <v>125.9915625</v>
          </cell>
          <cell r="AU39">
            <v>25.758275000000001</v>
          </cell>
          <cell r="AV39">
            <v>27.998125000000002</v>
          </cell>
          <cell r="AW39">
            <v>29.238300000000002</v>
          </cell>
          <cell r="AX39">
            <v>14.030100000000001</v>
          </cell>
          <cell r="AY39">
            <v>223.01636250000004</v>
          </cell>
          <cell r="AZ39">
            <v>1622.9226125</v>
          </cell>
          <cell r="BA39">
            <v>116.612190625</v>
          </cell>
          <cell r="BB39">
            <v>103.07636354166668</v>
          </cell>
          <cell r="BC39">
            <v>215.66939375000001</v>
          </cell>
          <cell r="BD39">
            <v>435.35794791666672</v>
          </cell>
          <cell r="BE39">
            <v>2058.280560416667</v>
          </cell>
          <cell r="BF39">
            <v>93.558207291666676</v>
          </cell>
          <cell r="BG39">
            <v>262.06780753968258</v>
          </cell>
        </row>
        <row r="40">
          <cell r="A40">
            <v>32</v>
          </cell>
          <cell r="B40">
            <v>32</v>
          </cell>
          <cell r="C40" t="str">
            <v>GARCIA GOMEZ, Wilson Smit</v>
          </cell>
          <cell r="D40" t="str">
            <v>TEC. MECANICO PERFORAD.</v>
          </cell>
          <cell r="E40">
            <v>38765</v>
          </cell>
          <cell r="H40" t="str">
            <v>41772995</v>
          </cell>
          <cell r="I40">
            <v>30.41</v>
          </cell>
          <cell r="J40">
            <v>3.80125</v>
          </cell>
          <cell r="K40" t="str">
            <v>ONP</v>
          </cell>
          <cell r="L40">
            <v>16</v>
          </cell>
          <cell r="M40">
            <v>4</v>
          </cell>
          <cell r="O40">
            <v>4</v>
          </cell>
          <cell r="P40">
            <v>40</v>
          </cell>
          <cell r="Q40">
            <v>486.56</v>
          </cell>
          <cell r="R40">
            <v>121.64</v>
          </cell>
          <cell r="S40">
            <v>0</v>
          </cell>
          <cell r="T40">
            <v>121.64</v>
          </cell>
          <cell r="U40">
            <v>190.0625</v>
          </cell>
          <cell r="AB40">
            <v>919.90250000000003</v>
          </cell>
          <cell r="AC40">
            <v>119.58732500000001</v>
          </cell>
          <cell r="AD40">
            <v>0</v>
          </cell>
          <cell r="AE40">
            <v>0</v>
          </cell>
          <cell r="AF40">
            <v>0</v>
          </cell>
          <cell r="AH40">
            <v>119.58732500000001</v>
          </cell>
          <cell r="AJ40">
            <v>119.58732500000001</v>
          </cell>
          <cell r="AL40">
            <v>800.31517500000007</v>
          </cell>
          <cell r="AN40">
            <v>3</v>
          </cell>
          <cell r="AO40">
            <v>3</v>
          </cell>
          <cell r="AR40">
            <v>797.31517500000007</v>
          </cell>
          <cell r="AS40">
            <v>82.791224999999997</v>
          </cell>
          <cell r="AU40">
            <v>16.926206000000001</v>
          </cell>
          <cell r="AV40">
            <v>0</v>
          </cell>
          <cell r="AW40">
            <v>24.90579</v>
          </cell>
          <cell r="AX40">
            <v>11.951129999999999</v>
          </cell>
          <cell r="AY40">
            <v>136.57435100000001</v>
          </cell>
          <cell r="AZ40">
            <v>1056.4768510000001</v>
          </cell>
          <cell r="BA40">
            <v>76.627878249999995</v>
          </cell>
          <cell r="BB40">
            <v>62.06452925</v>
          </cell>
          <cell r="BC40">
            <v>144.40239183333333</v>
          </cell>
          <cell r="BD40">
            <v>283.0947993333333</v>
          </cell>
          <cell r="BE40">
            <v>1339.5716503333333</v>
          </cell>
          <cell r="BF40">
            <v>83.723228145833332</v>
          </cell>
          <cell r="BG40">
            <v>275.31479166666668</v>
          </cell>
        </row>
        <row r="41">
          <cell r="A41">
            <v>33</v>
          </cell>
          <cell r="B41">
            <v>33</v>
          </cell>
          <cell r="C41" t="str">
            <v>GONZALES UNTIVEROS, Eduardo</v>
          </cell>
          <cell r="D41" t="str">
            <v>ALMACENERO</v>
          </cell>
          <cell r="E41">
            <v>38808</v>
          </cell>
          <cell r="G41">
            <v>29267</v>
          </cell>
          <cell r="H41" t="str">
            <v>41084425</v>
          </cell>
          <cell r="I41">
            <v>27.77</v>
          </cell>
          <cell r="J41">
            <v>3.4712499999999999</v>
          </cell>
          <cell r="K41" t="str">
            <v>INTEGRA</v>
          </cell>
          <cell r="L41">
            <v>16</v>
          </cell>
          <cell r="M41">
            <v>3.2</v>
          </cell>
          <cell r="P41">
            <v>32</v>
          </cell>
          <cell r="Q41">
            <v>444.32</v>
          </cell>
          <cell r="R41">
            <v>88.864000000000004</v>
          </cell>
          <cell r="S41">
            <v>0</v>
          </cell>
          <cell r="T41">
            <v>0</v>
          </cell>
          <cell r="U41">
            <v>138.85</v>
          </cell>
          <cell r="V41">
            <v>32</v>
          </cell>
          <cell r="AB41">
            <v>704.03399999999999</v>
          </cell>
          <cell r="AC41">
            <v>0</v>
          </cell>
          <cell r="AD41">
            <v>84.484079999999992</v>
          </cell>
          <cell r="AE41">
            <v>6.1954992000000004</v>
          </cell>
          <cell r="AF41">
            <v>12.672612000000001</v>
          </cell>
          <cell r="AH41">
            <v>103.35219119999999</v>
          </cell>
          <cell r="AJ41">
            <v>103.35219119999999</v>
          </cell>
          <cell r="AL41">
            <v>600.6818088</v>
          </cell>
          <cell r="AO41">
            <v>0</v>
          </cell>
          <cell r="AR41">
            <v>600.6818088</v>
          </cell>
          <cell r="AS41">
            <v>63.363059999999997</v>
          </cell>
          <cell r="AU41">
            <v>12.954225599999999</v>
          </cell>
          <cell r="AV41">
            <v>14.080680000000001</v>
          </cell>
          <cell r="AW41">
            <v>22.743630000000003</v>
          </cell>
          <cell r="AX41">
            <v>10.91361</v>
          </cell>
          <cell r="AY41">
            <v>124.05520559999999</v>
          </cell>
          <cell r="AZ41">
            <v>828.08920560000001</v>
          </cell>
          <cell r="BA41">
            <v>58.646032200000001</v>
          </cell>
          <cell r="BB41">
            <v>57.436600466666668</v>
          </cell>
          <cell r="BC41">
            <v>109.53986759999999</v>
          </cell>
          <cell r="BD41">
            <v>225.62250026666666</v>
          </cell>
          <cell r="BE41">
            <v>1053.7117058666668</v>
          </cell>
          <cell r="BF41">
            <v>65.856981616666673</v>
          </cell>
          <cell r="BG41">
            <v>237.15153625015009</v>
          </cell>
        </row>
        <row r="42">
          <cell r="A42">
            <v>34</v>
          </cell>
          <cell r="B42">
            <v>34</v>
          </cell>
          <cell r="C42" t="str">
            <v>GONZALES VELASQUEZ, Dionicio</v>
          </cell>
          <cell r="D42" t="str">
            <v>AYUDANTE PERFORISTA</v>
          </cell>
          <cell r="E42">
            <v>38765</v>
          </cell>
          <cell r="H42" t="str">
            <v>04210015</v>
          </cell>
          <cell r="I42">
            <v>25.12</v>
          </cell>
          <cell r="J42">
            <v>3.14</v>
          </cell>
          <cell r="K42" t="str">
            <v>INTEGRA</v>
          </cell>
          <cell r="L42">
            <v>20</v>
          </cell>
          <cell r="M42">
            <v>4.6000000000000005</v>
          </cell>
          <cell r="O42">
            <v>3</v>
          </cell>
          <cell r="P42">
            <v>46</v>
          </cell>
          <cell r="Q42">
            <v>502.40000000000003</v>
          </cell>
          <cell r="R42">
            <v>115.55200000000002</v>
          </cell>
          <cell r="S42">
            <v>0</v>
          </cell>
          <cell r="T42">
            <v>75.36</v>
          </cell>
          <cell r="U42">
            <v>180.55</v>
          </cell>
          <cell r="V42">
            <v>46.000000000000007</v>
          </cell>
          <cell r="AB42">
            <v>919.86200000000008</v>
          </cell>
          <cell r="AC42">
            <v>0</v>
          </cell>
          <cell r="AD42">
            <v>110.38344000000001</v>
          </cell>
          <cell r="AE42">
            <v>8.0947856000000016</v>
          </cell>
          <cell r="AF42">
            <v>16.557516000000003</v>
          </cell>
          <cell r="AH42">
            <v>135.03574159999999</v>
          </cell>
          <cell r="AJ42">
            <v>135.03574159999999</v>
          </cell>
          <cell r="AL42">
            <v>784.82625840000014</v>
          </cell>
          <cell r="AO42">
            <v>0</v>
          </cell>
          <cell r="AR42">
            <v>784.82625840000014</v>
          </cell>
          <cell r="AS42">
            <v>82.787580000000005</v>
          </cell>
          <cell r="AU42">
            <v>16.9254608</v>
          </cell>
          <cell r="AV42">
            <v>18.397240000000004</v>
          </cell>
          <cell r="AW42">
            <v>20.57328</v>
          </cell>
          <cell r="AX42">
            <v>9.8721600000000009</v>
          </cell>
          <cell r="AY42">
            <v>148.55572080000002</v>
          </cell>
          <cell r="AZ42">
            <v>1068.4177208000001</v>
          </cell>
          <cell r="BA42">
            <v>76.624504600000009</v>
          </cell>
          <cell r="BB42">
            <v>67.70897673333333</v>
          </cell>
          <cell r="BC42">
            <v>140.3112868</v>
          </cell>
          <cell r="BD42">
            <v>284.64476813333334</v>
          </cell>
          <cell r="BE42">
            <v>1353.0624889333335</v>
          </cell>
          <cell r="BF42">
            <v>67.653124446666681</v>
          </cell>
          <cell r="BG42">
            <v>269.31976292462849</v>
          </cell>
        </row>
        <row r="43">
          <cell r="A43">
            <v>35</v>
          </cell>
          <cell r="B43">
            <v>35</v>
          </cell>
          <cell r="C43" t="str">
            <v>GOÑE HUALLPA, Hugo</v>
          </cell>
          <cell r="D43" t="str">
            <v>AYUDANTE PERFORISTA</v>
          </cell>
          <cell r="E43">
            <v>38783</v>
          </cell>
          <cell r="H43" t="str">
            <v>22672947</v>
          </cell>
          <cell r="I43">
            <v>25.12</v>
          </cell>
          <cell r="J43">
            <v>3.14</v>
          </cell>
          <cell r="K43" t="str">
            <v>UNION</v>
          </cell>
          <cell r="L43">
            <v>22</v>
          </cell>
          <cell r="M43">
            <v>5</v>
          </cell>
          <cell r="O43">
            <v>3</v>
          </cell>
          <cell r="P43">
            <v>50</v>
          </cell>
          <cell r="Q43">
            <v>552.64</v>
          </cell>
          <cell r="R43">
            <v>125.60000000000001</v>
          </cell>
          <cell r="S43">
            <v>0</v>
          </cell>
          <cell r="T43">
            <v>75.36</v>
          </cell>
          <cell r="U43">
            <v>196.25</v>
          </cell>
          <cell r="V43">
            <v>50</v>
          </cell>
          <cell r="AB43">
            <v>999.85</v>
          </cell>
          <cell r="AC43">
            <v>0</v>
          </cell>
          <cell r="AD43">
            <v>119.982</v>
          </cell>
          <cell r="AE43">
            <v>8.9986500000000014</v>
          </cell>
          <cell r="AF43">
            <v>19.397090000000002</v>
          </cell>
          <cell r="AH43">
            <v>148.37773999999999</v>
          </cell>
          <cell r="AJ43">
            <v>148.37773999999999</v>
          </cell>
          <cell r="AL43">
            <v>851.47226000000001</v>
          </cell>
          <cell r="AO43">
            <v>0</v>
          </cell>
          <cell r="AR43">
            <v>851.47226000000001</v>
          </cell>
          <cell r="AS43">
            <v>89.986499999999992</v>
          </cell>
          <cell r="AU43">
            <v>18.39724</v>
          </cell>
          <cell r="AV43">
            <v>19.997</v>
          </cell>
          <cell r="AW43">
            <v>20.57328</v>
          </cell>
          <cell r="AX43">
            <v>9.8721600000000009</v>
          </cell>
          <cell r="AY43">
            <v>158.82618000000002</v>
          </cell>
          <cell r="AZ43">
            <v>1158.6761799999999</v>
          </cell>
          <cell r="BA43">
            <v>83.287504999999996</v>
          </cell>
          <cell r="BB43">
            <v>73.922181666666674</v>
          </cell>
          <cell r="BC43">
            <v>152.07103000000001</v>
          </cell>
          <cell r="BD43">
            <v>309.28071666666665</v>
          </cell>
          <cell r="BE43">
            <v>1467.9568966666666</v>
          </cell>
          <cell r="BF43">
            <v>66.725313484848485</v>
          </cell>
          <cell r="BG43">
            <v>265.62624794923761</v>
          </cell>
        </row>
        <row r="44">
          <cell r="A44">
            <v>36</v>
          </cell>
          <cell r="B44">
            <v>36</v>
          </cell>
          <cell r="C44" t="str">
            <v>HUACARPUMA CHUCTAYA MARCELINO</v>
          </cell>
          <cell r="D44" t="str">
            <v>PERFORISTA 1</v>
          </cell>
          <cell r="E44">
            <v>38766</v>
          </cell>
          <cell r="H44" t="str">
            <v>29483250</v>
          </cell>
          <cell r="I44">
            <v>38.35</v>
          </cell>
          <cell r="J44">
            <v>4.7937500000000002</v>
          </cell>
          <cell r="K44" t="str">
            <v>PROFUTURO</v>
          </cell>
          <cell r="L44">
            <v>25</v>
          </cell>
          <cell r="M44">
            <v>5</v>
          </cell>
          <cell r="P44">
            <v>50</v>
          </cell>
          <cell r="Q44">
            <v>958.75</v>
          </cell>
          <cell r="R44">
            <v>191.75</v>
          </cell>
          <cell r="S44">
            <v>0</v>
          </cell>
          <cell r="T44">
            <v>0</v>
          </cell>
          <cell r="U44">
            <v>299.609375</v>
          </cell>
          <cell r="V44">
            <v>50</v>
          </cell>
          <cell r="AB44">
            <v>1500.109375</v>
          </cell>
          <cell r="AC44">
            <v>0</v>
          </cell>
          <cell r="AD44">
            <v>180.013125</v>
          </cell>
          <cell r="AE44">
            <v>15.1511046875</v>
          </cell>
          <cell r="AF44">
            <v>29.702165624999996</v>
          </cell>
          <cell r="AH44">
            <v>224.8663953125</v>
          </cell>
          <cell r="AJ44">
            <v>224.8663953125</v>
          </cell>
          <cell r="AL44">
            <v>1275.2429796874999</v>
          </cell>
          <cell r="AN44">
            <v>233.5</v>
          </cell>
          <cell r="AO44">
            <v>233.5</v>
          </cell>
          <cell r="AR44">
            <v>1041.7429796874999</v>
          </cell>
          <cell r="AS44">
            <v>135.00984374999999</v>
          </cell>
          <cell r="AU44">
            <v>27.602012500000001</v>
          </cell>
          <cell r="AV44">
            <v>30.002187500000002</v>
          </cell>
          <cell r="AW44">
            <v>31.408650000000002</v>
          </cell>
          <cell r="AX44">
            <v>15.07155</v>
          </cell>
          <cell r="AY44">
            <v>239.09424374999998</v>
          </cell>
          <cell r="AZ44">
            <v>1739.20361875</v>
          </cell>
          <cell r="BA44">
            <v>124.9591109375</v>
          </cell>
          <cell r="BB44">
            <v>119.96618697916666</v>
          </cell>
          <cell r="BC44">
            <v>231.59904062500001</v>
          </cell>
          <cell r="BD44">
            <v>476.52433854166668</v>
          </cell>
          <cell r="BE44">
            <v>2215.7279572916668</v>
          </cell>
          <cell r="BF44">
            <v>88.629118291666671</v>
          </cell>
          <cell r="BG44">
            <v>231.10591471099525</v>
          </cell>
        </row>
        <row r="45">
          <cell r="A45">
            <v>37</v>
          </cell>
          <cell r="B45">
            <v>37</v>
          </cell>
          <cell r="C45" t="str">
            <v>HUANUQUEÑO ARREDONDO, Jonas</v>
          </cell>
          <cell r="D45" t="str">
            <v>AYUDANTE PERFORISTA</v>
          </cell>
          <cell r="E45">
            <v>38792</v>
          </cell>
          <cell r="H45" t="str">
            <v>16173615</v>
          </cell>
          <cell r="I45">
            <v>25.12</v>
          </cell>
          <cell r="J45">
            <v>3.14</v>
          </cell>
          <cell r="K45" t="str">
            <v>PROFUTURO</v>
          </cell>
          <cell r="L45">
            <v>22</v>
          </cell>
          <cell r="M45">
            <v>5</v>
          </cell>
          <cell r="O45">
            <v>3</v>
          </cell>
          <cell r="P45">
            <v>50</v>
          </cell>
          <cell r="Q45">
            <v>552.64</v>
          </cell>
          <cell r="R45">
            <v>125.60000000000001</v>
          </cell>
          <cell r="S45">
            <v>0</v>
          </cell>
          <cell r="T45">
            <v>75.36</v>
          </cell>
          <cell r="U45">
            <v>196.25</v>
          </cell>
          <cell r="V45">
            <v>50</v>
          </cell>
          <cell r="AB45">
            <v>999.85</v>
          </cell>
          <cell r="AC45">
            <v>0</v>
          </cell>
          <cell r="AD45">
            <v>119.982</v>
          </cell>
          <cell r="AE45">
            <v>10.098485</v>
          </cell>
          <cell r="AF45">
            <v>19.797029999999999</v>
          </cell>
          <cell r="AH45">
            <v>149.87751500000002</v>
          </cell>
          <cell r="AJ45">
            <v>149.87751500000002</v>
          </cell>
          <cell r="AL45">
            <v>849.97248500000001</v>
          </cell>
          <cell r="AO45">
            <v>0</v>
          </cell>
          <cell r="AR45">
            <v>849.97248500000001</v>
          </cell>
          <cell r="AS45">
            <v>89.986499999999992</v>
          </cell>
          <cell r="AU45">
            <v>18.39724</v>
          </cell>
          <cell r="AV45">
            <v>19.997</v>
          </cell>
          <cell r="AW45">
            <v>20.57328</v>
          </cell>
          <cell r="AX45">
            <v>9.8721600000000009</v>
          </cell>
          <cell r="AY45">
            <v>158.82618000000002</v>
          </cell>
          <cell r="AZ45">
            <v>1158.6761799999999</v>
          </cell>
          <cell r="BA45">
            <v>83.287504999999996</v>
          </cell>
          <cell r="BB45">
            <v>73.922181666666674</v>
          </cell>
          <cell r="BC45">
            <v>152.07103000000001</v>
          </cell>
          <cell r="BD45">
            <v>309.28071666666665</v>
          </cell>
          <cell r="BE45">
            <v>1467.9568966666666</v>
          </cell>
          <cell r="BF45">
            <v>66.725313484848485</v>
          </cell>
          <cell r="BG45">
            <v>265.62624794923761</v>
          </cell>
        </row>
        <row r="46">
          <cell r="A46">
            <v>38</v>
          </cell>
          <cell r="B46">
            <v>38</v>
          </cell>
          <cell r="C46" t="str">
            <v>HUASCO OLIVARES, Antonio</v>
          </cell>
          <cell r="D46" t="str">
            <v xml:space="preserve">CAPATAZ </v>
          </cell>
          <cell r="E46">
            <v>38861</v>
          </cell>
          <cell r="H46" t="str">
            <v>31174358</v>
          </cell>
          <cell r="I46">
            <v>46.28</v>
          </cell>
          <cell r="J46">
            <v>5.7850000000000001</v>
          </cell>
          <cell r="K46" t="str">
            <v>UNION</v>
          </cell>
          <cell r="L46">
            <v>25</v>
          </cell>
          <cell r="M46">
            <v>5</v>
          </cell>
          <cell r="P46">
            <v>50</v>
          </cell>
          <cell r="Q46">
            <v>1157</v>
          </cell>
          <cell r="R46">
            <v>231.4</v>
          </cell>
          <cell r="S46">
            <v>0</v>
          </cell>
          <cell r="T46">
            <v>0</v>
          </cell>
          <cell r="U46">
            <v>361.5625</v>
          </cell>
          <cell r="AB46">
            <v>1749.9625000000001</v>
          </cell>
          <cell r="AC46">
            <v>0</v>
          </cell>
          <cell r="AD46">
            <v>209.99549999999999</v>
          </cell>
          <cell r="AE46">
            <v>15.749662500000003</v>
          </cell>
          <cell r="AF46">
            <v>33.949272499999999</v>
          </cell>
          <cell r="AH46">
            <v>259.694435</v>
          </cell>
          <cell r="AJ46">
            <v>259.694435</v>
          </cell>
          <cell r="AL46">
            <v>1490.2680650000002</v>
          </cell>
          <cell r="AO46">
            <v>0</v>
          </cell>
          <cell r="AR46">
            <v>1490.2680650000002</v>
          </cell>
          <cell r="AS46">
            <v>157.49662499999999</v>
          </cell>
          <cell r="AU46">
            <v>32.199310000000004</v>
          </cell>
          <cell r="AV46">
            <v>34.999250000000004</v>
          </cell>
          <cell r="AW46">
            <v>37.903320000000008</v>
          </cell>
          <cell r="AX46">
            <v>18.188040000000001</v>
          </cell>
          <cell r="AY46">
            <v>280.78654499999999</v>
          </cell>
          <cell r="AZ46">
            <v>2030.749045</v>
          </cell>
          <cell r="BA46">
            <v>145.77187625000002</v>
          </cell>
          <cell r="BB46">
            <v>139.09887875000001</v>
          </cell>
          <cell r="BC46">
            <v>278.19775750000002</v>
          </cell>
          <cell r="BD46">
            <v>563.0685125</v>
          </cell>
          <cell r="BE46">
            <v>2593.8175575</v>
          </cell>
          <cell r="BF46">
            <v>103.7527023</v>
          </cell>
          <cell r="BG46">
            <v>224.18475000000001</v>
          </cell>
        </row>
        <row r="47">
          <cell r="A47">
            <v>39</v>
          </cell>
          <cell r="B47">
            <v>39</v>
          </cell>
          <cell r="C47" t="str">
            <v>JANAMPA VILLANUEVA, Brigido Marcelo</v>
          </cell>
          <cell r="D47" t="str">
            <v>CAPATAZ SHOTCRET</v>
          </cell>
          <cell r="E47">
            <v>38757</v>
          </cell>
          <cell r="H47" t="str">
            <v>04046709</v>
          </cell>
          <cell r="I47">
            <v>46.28</v>
          </cell>
          <cell r="J47">
            <v>5.7850000000000001</v>
          </cell>
          <cell r="K47" t="str">
            <v>PROFUTURO</v>
          </cell>
          <cell r="L47">
            <v>16</v>
          </cell>
          <cell r="M47">
            <v>4.4000000000000004</v>
          </cell>
          <cell r="N47">
            <v>6</v>
          </cell>
          <cell r="P47">
            <v>32</v>
          </cell>
          <cell r="Q47">
            <v>740.48</v>
          </cell>
          <cell r="R47">
            <v>203.63200000000003</v>
          </cell>
          <cell r="S47">
            <v>277.68</v>
          </cell>
          <cell r="T47">
            <v>0</v>
          </cell>
          <cell r="U47">
            <v>231.4</v>
          </cell>
          <cell r="V47">
            <v>44</v>
          </cell>
          <cell r="AB47">
            <v>1497.1920000000002</v>
          </cell>
          <cell r="AC47">
            <v>0</v>
          </cell>
          <cell r="AD47">
            <v>179.66304000000002</v>
          </cell>
          <cell r="AE47">
            <v>15.121639200000002</v>
          </cell>
          <cell r="AF47">
            <v>29.644401600000002</v>
          </cell>
          <cell r="AH47">
            <v>224.42908080000004</v>
          </cell>
          <cell r="AJ47">
            <v>224.42908080000004</v>
          </cell>
          <cell r="AL47">
            <v>1272.7629192000002</v>
          </cell>
          <cell r="AN47">
            <v>17</v>
          </cell>
          <cell r="AO47">
            <v>17</v>
          </cell>
          <cell r="AR47">
            <v>1255.7629192000002</v>
          </cell>
          <cell r="AS47">
            <v>134.74728000000002</v>
          </cell>
          <cell r="AU47">
            <v>27.548332800000004</v>
          </cell>
          <cell r="AV47">
            <v>29.943840000000005</v>
          </cell>
          <cell r="AW47">
            <v>37.903320000000008</v>
          </cell>
          <cell r="AX47">
            <v>18.188040000000001</v>
          </cell>
          <cell r="AY47">
            <v>248.33081280000002</v>
          </cell>
          <cell r="AZ47">
            <v>1745.5228128000003</v>
          </cell>
          <cell r="BA47">
            <v>124.71609360000002</v>
          </cell>
          <cell r="BB47">
            <v>126.17690106666669</v>
          </cell>
          <cell r="BC47">
            <v>245.02046880000003</v>
          </cell>
          <cell r="BD47">
            <v>495.91346346666671</v>
          </cell>
          <cell r="BE47">
            <v>2241.4362762666669</v>
          </cell>
          <cell r="BF47">
            <v>140.08976726666668</v>
          </cell>
          <cell r="BG47">
            <v>302.7004478536445</v>
          </cell>
        </row>
        <row r="48">
          <cell r="A48">
            <v>40</v>
          </cell>
          <cell r="B48">
            <v>40</v>
          </cell>
          <cell r="C48" t="str">
            <v>JANAMPA VILLANUEVA, Raul Hector</v>
          </cell>
          <cell r="D48" t="str">
            <v>PERFORISTA DTH</v>
          </cell>
          <cell r="E48">
            <v>38756</v>
          </cell>
          <cell r="H48" t="str">
            <v>04060489</v>
          </cell>
          <cell r="I48">
            <v>40.99</v>
          </cell>
          <cell r="J48">
            <v>5.1237500000000002</v>
          </cell>
          <cell r="K48" t="str">
            <v>ONP</v>
          </cell>
          <cell r="L48">
            <v>18</v>
          </cell>
          <cell r="M48">
            <v>4</v>
          </cell>
          <cell r="O48">
            <v>2</v>
          </cell>
          <cell r="P48">
            <v>40</v>
          </cell>
          <cell r="Q48">
            <v>737.82</v>
          </cell>
          <cell r="R48">
            <v>163.96</v>
          </cell>
          <cell r="S48">
            <v>0</v>
          </cell>
          <cell r="T48">
            <v>81.98</v>
          </cell>
          <cell r="U48">
            <v>256.1875</v>
          </cell>
          <cell r="V48">
            <v>40</v>
          </cell>
          <cell r="AB48">
            <v>1279.9475000000002</v>
          </cell>
          <cell r="AC48">
            <v>166.39317500000004</v>
          </cell>
          <cell r="AD48">
            <v>0</v>
          </cell>
          <cell r="AE48">
            <v>0</v>
          </cell>
          <cell r="AF48">
            <v>0</v>
          </cell>
          <cell r="AH48">
            <v>166.39317500000004</v>
          </cell>
          <cell r="AJ48">
            <v>166.39317500000004</v>
          </cell>
          <cell r="AL48">
            <v>1113.5543250000001</v>
          </cell>
          <cell r="AO48">
            <v>0</v>
          </cell>
          <cell r="AR48">
            <v>1113.5543250000001</v>
          </cell>
          <cell r="AS48">
            <v>115.19527500000001</v>
          </cell>
          <cell r="AU48">
            <v>23.551034000000005</v>
          </cell>
          <cell r="AV48">
            <v>0</v>
          </cell>
          <cell r="AW48">
            <v>33.570810000000002</v>
          </cell>
          <cell r="AX48">
            <v>16.109070000000003</v>
          </cell>
          <cell r="AY48">
            <v>188.42618900000002</v>
          </cell>
          <cell r="AZ48">
            <v>1468.3736890000002</v>
          </cell>
          <cell r="BA48">
            <v>106.61962675000002</v>
          </cell>
          <cell r="BB48">
            <v>94.183849083333328</v>
          </cell>
          <cell r="BC48">
            <v>195.36436483333333</v>
          </cell>
          <cell r="BD48">
            <v>396.16784066666668</v>
          </cell>
          <cell r="BE48">
            <v>1864.541529666667</v>
          </cell>
          <cell r="BF48">
            <v>103.58564053703705</v>
          </cell>
          <cell r="BG48">
            <v>252.70954022209574</v>
          </cell>
        </row>
        <row r="49">
          <cell r="A49">
            <v>41</v>
          </cell>
          <cell r="B49">
            <v>41</v>
          </cell>
          <cell r="C49" t="str">
            <v>JAVIER ARENAS WILLIAM JOHNY</v>
          </cell>
          <cell r="D49" t="str">
            <v>OPERADOR SCOOP 2</v>
          </cell>
          <cell r="E49">
            <v>38773</v>
          </cell>
          <cell r="H49" t="str">
            <v>41282226</v>
          </cell>
          <cell r="I49">
            <v>35.700000000000003</v>
          </cell>
          <cell r="J49">
            <v>4.4625000000000004</v>
          </cell>
          <cell r="K49" t="str">
            <v>PROFUTURO</v>
          </cell>
          <cell r="L49">
            <v>19</v>
          </cell>
          <cell r="M49">
            <v>4.4000000000000004</v>
          </cell>
          <cell r="O49">
            <v>3</v>
          </cell>
          <cell r="P49">
            <v>44</v>
          </cell>
          <cell r="Q49">
            <v>678.30000000000007</v>
          </cell>
          <cell r="R49">
            <v>157.08000000000001</v>
          </cell>
          <cell r="S49">
            <v>0</v>
          </cell>
          <cell r="T49">
            <v>107.10000000000001</v>
          </cell>
          <cell r="U49">
            <v>245.43750000000003</v>
          </cell>
          <cell r="AB49">
            <v>1187.9175000000002</v>
          </cell>
          <cell r="AC49">
            <v>0</v>
          </cell>
          <cell r="AD49">
            <v>142.55010000000001</v>
          </cell>
          <cell r="AE49">
            <v>11.997966750000002</v>
          </cell>
          <cell r="AF49">
            <v>23.520766500000004</v>
          </cell>
          <cell r="AH49">
            <v>178.06883325000001</v>
          </cell>
          <cell r="AJ49">
            <v>178.06883325000001</v>
          </cell>
          <cell r="AL49">
            <v>1009.8486667500002</v>
          </cell>
          <cell r="AO49">
            <v>0</v>
          </cell>
          <cell r="AR49">
            <v>1009.8486667500002</v>
          </cell>
          <cell r="AS49">
            <v>106.91257500000002</v>
          </cell>
          <cell r="AU49">
            <v>21.857682000000004</v>
          </cell>
          <cell r="AV49">
            <v>23.758350000000004</v>
          </cell>
          <cell r="AW49">
            <v>29.238300000000002</v>
          </cell>
          <cell r="AX49">
            <v>14.030100000000001</v>
          </cell>
          <cell r="AY49">
            <v>195.79700700000004</v>
          </cell>
          <cell r="AZ49">
            <v>1383.7145070000004</v>
          </cell>
          <cell r="BA49">
            <v>98.953527750000021</v>
          </cell>
          <cell r="BB49">
            <v>85.931417250000024</v>
          </cell>
          <cell r="BC49">
            <v>189.71283450000001</v>
          </cell>
          <cell r="BD49">
            <v>374.59777950000006</v>
          </cell>
          <cell r="BE49">
            <v>1758.3122865000005</v>
          </cell>
          <cell r="BF49">
            <v>92.542751921052655</v>
          </cell>
          <cell r="BG49">
            <v>259.22339473684218</v>
          </cell>
        </row>
        <row r="50">
          <cell r="A50">
            <v>42</v>
          </cell>
          <cell r="B50">
            <v>42</v>
          </cell>
          <cell r="C50" t="str">
            <v>LEON MEJORADA, Carlos</v>
          </cell>
          <cell r="D50" t="str">
            <v>ABASTECEDOR</v>
          </cell>
          <cell r="E50">
            <v>38758</v>
          </cell>
          <cell r="H50" t="str">
            <v>04086005</v>
          </cell>
          <cell r="I50">
            <v>25.12</v>
          </cell>
          <cell r="J50">
            <v>3.14</v>
          </cell>
          <cell r="K50" t="str">
            <v>ONP</v>
          </cell>
          <cell r="L50">
            <v>18</v>
          </cell>
          <cell r="M50">
            <v>3.8000000000000003</v>
          </cell>
          <cell r="O50">
            <v>1</v>
          </cell>
          <cell r="P50">
            <v>38</v>
          </cell>
          <cell r="Q50">
            <v>452.16</v>
          </cell>
          <cell r="R50">
            <v>95.456000000000017</v>
          </cell>
          <cell r="S50">
            <v>0</v>
          </cell>
          <cell r="T50">
            <v>25.12</v>
          </cell>
          <cell r="U50">
            <v>149.15</v>
          </cell>
          <cell r="AB50">
            <v>721.88599999999997</v>
          </cell>
          <cell r="AC50">
            <v>93.845179999999999</v>
          </cell>
          <cell r="AD50">
            <v>0</v>
          </cell>
          <cell r="AE50">
            <v>0</v>
          </cell>
          <cell r="AF50">
            <v>0</v>
          </cell>
          <cell r="AH50">
            <v>93.845179999999999</v>
          </cell>
          <cell r="AJ50">
            <v>93.845179999999999</v>
          </cell>
          <cell r="AL50">
            <v>628.04081999999994</v>
          </cell>
          <cell r="AO50">
            <v>0</v>
          </cell>
          <cell r="AR50">
            <v>628.04081999999994</v>
          </cell>
          <cell r="AS50">
            <v>64.969740000000002</v>
          </cell>
          <cell r="AU50">
            <v>13.2827024</v>
          </cell>
          <cell r="AV50">
            <v>0</v>
          </cell>
          <cell r="AW50">
            <v>20.57328</v>
          </cell>
          <cell r="AX50">
            <v>9.8721600000000009</v>
          </cell>
          <cell r="AY50">
            <v>108.6978824</v>
          </cell>
          <cell r="AZ50">
            <v>830.58388239999999</v>
          </cell>
          <cell r="BA50">
            <v>60.133103799999994</v>
          </cell>
          <cell r="BB50">
            <v>54.692823533333332</v>
          </cell>
          <cell r="BC50">
            <v>113.57231373333333</v>
          </cell>
          <cell r="BD50">
            <v>228.39824106666666</v>
          </cell>
          <cell r="BE50">
            <v>1058.9821234666667</v>
          </cell>
          <cell r="BF50">
            <v>58.832340192592596</v>
          </cell>
          <cell r="BG50">
            <v>234.20517592592591</v>
          </cell>
        </row>
        <row r="51">
          <cell r="A51">
            <v>43</v>
          </cell>
          <cell r="B51">
            <v>43</v>
          </cell>
          <cell r="C51" t="str">
            <v>LIMAYLLA ALANYA, Leandro Timoteo</v>
          </cell>
          <cell r="D51" t="str">
            <v>CARGADOR/DISPARADOR 1</v>
          </cell>
          <cell r="E51">
            <v>38756</v>
          </cell>
          <cell r="H51" t="str">
            <v>19845909</v>
          </cell>
          <cell r="I51">
            <v>35.700000000000003</v>
          </cell>
          <cell r="J51">
            <v>4.4625000000000004</v>
          </cell>
          <cell r="K51" t="str">
            <v>HORIZONTE</v>
          </cell>
          <cell r="L51">
            <v>20</v>
          </cell>
          <cell r="M51">
            <v>4.6000000000000005</v>
          </cell>
          <cell r="O51">
            <v>3</v>
          </cell>
          <cell r="P51">
            <v>46</v>
          </cell>
          <cell r="Q51">
            <v>714</v>
          </cell>
          <cell r="R51">
            <v>164.22000000000003</v>
          </cell>
          <cell r="S51">
            <v>0</v>
          </cell>
          <cell r="T51">
            <v>107.10000000000001</v>
          </cell>
          <cell r="U51">
            <v>256.59375</v>
          </cell>
          <cell r="V51">
            <v>46.000000000000007</v>
          </cell>
          <cell r="AB51">
            <v>1287.9137500000002</v>
          </cell>
          <cell r="AC51">
            <v>0</v>
          </cell>
          <cell r="AD51">
            <v>154.54965000000001</v>
          </cell>
          <cell r="AE51">
            <v>11.333641000000002</v>
          </cell>
          <cell r="AF51">
            <v>25.114318125000004</v>
          </cell>
          <cell r="AH51">
            <v>190.99760912500003</v>
          </cell>
          <cell r="AJ51">
            <v>190.99760912500003</v>
          </cell>
          <cell r="AL51">
            <v>1096.9161408750001</v>
          </cell>
          <cell r="AO51">
            <v>0</v>
          </cell>
          <cell r="AR51">
            <v>1096.9161408750001</v>
          </cell>
          <cell r="AS51">
            <v>115.9122375</v>
          </cell>
          <cell r="AU51">
            <v>23.697613000000004</v>
          </cell>
          <cell r="AV51">
            <v>25.758275000000005</v>
          </cell>
          <cell r="AW51">
            <v>29.238300000000002</v>
          </cell>
          <cell r="AX51">
            <v>14.030100000000001</v>
          </cell>
          <cell r="AY51">
            <v>208.6365255</v>
          </cell>
          <cell r="AZ51">
            <v>1496.5502755000002</v>
          </cell>
          <cell r="BA51">
            <v>107.28321537500001</v>
          </cell>
          <cell r="BB51">
            <v>94.404710458333341</v>
          </cell>
          <cell r="BC51">
            <v>198.99275424999999</v>
          </cell>
          <cell r="BD51">
            <v>400.6806800833333</v>
          </cell>
          <cell r="BE51">
            <v>1897.2309555833335</v>
          </cell>
          <cell r="BF51">
            <v>94.861547779166671</v>
          </cell>
          <cell r="BG51">
            <v>265.7186212301587</v>
          </cell>
        </row>
        <row r="52">
          <cell r="A52">
            <v>44</v>
          </cell>
          <cell r="B52">
            <v>44</v>
          </cell>
          <cell r="C52" t="str">
            <v>LIZARGA TOVALINO, Walter Antonio</v>
          </cell>
          <cell r="D52" t="str">
            <v>PERFORISTA 2</v>
          </cell>
          <cell r="E52">
            <v>38758</v>
          </cell>
          <cell r="H52" t="str">
            <v>20894138</v>
          </cell>
          <cell r="I52">
            <v>30.41</v>
          </cell>
          <cell r="J52">
            <v>3.80125</v>
          </cell>
          <cell r="K52" t="str">
            <v>ONP</v>
          </cell>
          <cell r="L52">
            <v>24</v>
          </cell>
          <cell r="M52">
            <v>5</v>
          </cell>
          <cell r="O52">
            <v>1</v>
          </cell>
          <cell r="P52">
            <v>50</v>
          </cell>
          <cell r="Q52">
            <v>729.84</v>
          </cell>
          <cell r="R52">
            <v>152.05000000000001</v>
          </cell>
          <cell r="S52">
            <v>0</v>
          </cell>
          <cell r="T52">
            <v>30.41</v>
          </cell>
          <cell r="U52">
            <v>237.578125</v>
          </cell>
          <cell r="V52">
            <v>50</v>
          </cell>
          <cell r="AB52">
            <v>1199.8781250000002</v>
          </cell>
          <cell r="AC52">
            <v>155.98415625000004</v>
          </cell>
          <cell r="AD52">
            <v>0</v>
          </cell>
          <cell r="AE52">
            <v>0</v>
          </cell>
          <cell r="AF52">
            <v>0</v>
          </cell>
          <cell r="AH52">
            <v>155.98415625000004</v>
          </cell>
          <cell r="AJ52">
            <v>155.98415625000004</v>
          </cell>
          <cell r="AL52">
            <v>1043.8939687500001</v>
          </cell>
          <cell r="AO52">
            <v>0</v>
          </cell>
          <cell r="AR52">
            <v>1043.8939687500001</v>
          </cell>
          <cell r="AS52">
            <v>107.98903125000001</v>
          </cell>
          <cell r="AU52">
            <v>22.077757500000004</v>
          </cell>
          <cell r="AV52">
            <v>0</v>
          </cell>
          <cell r="AW52">
            <v>24.90579</v>
          </cell>
          <cell r="AX52">
            <v>11.951129999999999</v>
          </cell>
          <cell r="AY52">
            <v>166.92370875</v>
          </cell>
          <cell r="AZ52">
            <v>1366.8018337500002</v>
          </cell>
          <cell r="BA52">
            <v>99.94984781250001</v>
          </cell>
          <cell r="BB52">
            <v>91.567809062500018</v>
          </cell>
          <cell r="BC52">
            <v>179.87061812499999</v>
          </cell>
          <cell r="BD52">
            <v>371.38827500000002</v>
          </cell>
          <cell r="BE52">
            <v>1738.1901087500003</v>
          </cell>
          <cell r="BF52">
            <v>72.424587864583344</v>
          </cell>
          <cell r="BG52">
            <v>238.16043362243784</v>
          </cell>
        </row>
        <row r="53">
          <cell r="A53">
            <v>45</v>
          </cell>
          <cell r="B53">
            <v>45</v>
          </cell>
          <cell r="C53" t="str">
            <v>LOPEZ PIO, Rafaeil</v>
          </cell>
          <cell r="D53" t="str">
            <v>Ayudante Mecanico</v>
          </cell>
          <cell r="E53">
            <v>38838</v>
          </cell>
          <cell r="H53" t="str">
            <v>40456071</v>
          </cell>
          <cell r="I53">
            <v>25.12</v>
          </cell>
          <cell r="J53">
            <v>3.14</v>
          </cell>
          <cell r="K53" t="str">
            <v>ONP</v>
          </cell>
          <cell r="L53">
            <v>22</v>
          </cell>
          <cell r="M53">
            <v>4.4000000000000004</v>
          </cell>
          <cell r="P53">
            <v>44</v>
          </cell>
          <cell r="Q53">
            <v>552.64</v>
          </cell>
          <cell r="R53">
            <v>110.52800000000002</v>
          </cell>
          <cell r="S53">
            <v>0</v>
          </cell>
          <cell r="T53">
            <v>0</v>
          </cell>
          <cell r="U53">
            <v>172.7</v>
          </cell>
          <cell r="AB53">
            <v>835.86799999999994</v>
          </cell>
          <cell r="AC53">
            <v>108.66284</v>
          </cell>
          <cell r="AD53">
            <v>0</v>
          </cell>
          <cell r="AE53">
            <v>0</v>
          </cell>
          <cell r="AF53">
            <v>0</v>
          </cell>
          <cell r="AH53">
            <v>108.66284</v>
          </cell>
          <cell r="AJ53">
            <v>108.66284</v>
          </cell>
          <cell r="AL53">
            <v>727.20515999999998</v>
          </cell>
          <cell r="AO53">
            <v>0</v>
          </cell>
          <cell r="AR53">
            <v>727.20515999999998</v>
          </cell>
          <cell r="AS53">
            <v>75.22811999999999</v>
          </cell>
          <cell r="AU53">
            <v>15.379971199999998</v>
          </cell>
          <cell r="AV53">
            <v>0</v>
          </cell>
          <cell r="AW53">
            <v>20.57328</v>
          </cell>
          <cell r="AX53">
            <v>9.8721600000000009</v>
          </cell>
          <cell r="AY53">
            <v>121.05353119999998</v>
          </cell>
          <cell r="AZ53">
            <v>956.92153119999989</v>
          </cell>
          <cell r="BA53">
            <v>69.627804399999988</v>
          </cell>
          <cell r="BB53">
            <v>65.351794266666658</v>
          </cell>
          <cell r="BC53">
            <v>130.70358853333332</v>
          </cell>
          <cell r="BD53">
            <v>265.68318719999996</v>
          </cell>
          <cell r="BE53">
            <v>1222.6047183999999</v>
          </cell>
          <cell r="BF53">
            <v>55.572941745454543</v>
          </cell>
          <cell r="BG53">
            <v>221.2298636363636</v>
          </cell>
        </row>
        <row r="54">
          <cell r="A54">
            <v>46</v>
          </cell>
          <cell r="B54">
            <v>46</v>
          </cell>
          <cell r="C54" t="str">
            <v>MARCELO HUERTA ROY</v>
          </cell>
          <cell r="D54" t="str">
            <v>CHOFER DE CAMION</v>
          </cell>
          <cell r="E54">
            <v>38869</v>
          </cell>
          <cell r="G54">
            <v>38869</v>
          </cell>
          <cell r="H54" t="str">
            <v>80218317</v>
          </cell>
          <cell r="I54">
            <v>25.12</v>
          </cell>
          <cell r="J54">
            <v>3.14</v>
          </cell>
          <cell r="K54" t="str">
            <v>PROFUTURO</v>
          </cell>
          <cell r="L54">
            <v>21</v>
          </cell>
          <cell r="M54">
            <v>4.2</v>
          </cell>
          <cell r="P54">
            <v>42</v>
          </cell>
          <cell r="Q54">
            <v>527.52</v>
          </cell>
          <cell r="R54">
            <v>105.504</v>
          </cell>
          <cell r="S54">
            <v>0</v>
          </cell>
          <cell r="T54">
            <v>0</v>
          </cell>
          <cell r="U54">
            <v>164.85</v>
          </cell>
          <cell r="V54">
            <v>42</v>
          </cell>
          <cell r="AB54">
            <v>839.87400000000002</v>
          </cell>
          <cell r="AC54">
            <v>0</v>
          </cell>
          <cell r="AD54">
            <v>100.78488</v>
          </cell>
          <cell r="AE54">
            <v>8.4827273999999999</v>
          </cell>
          <cell r="AF54">
            <v>16.629505200000001</v>
          </cell>
          <cell r="AH54">
            <v>125.8971126</v>
          </cell>
          <cell r="AJ54">
            <v>125.8971126</v>
          </cell>
          <cell r="AL54">
            <v>713.97688740000001</v>
          </cell>
          <cell r="AN54">
            <v>25</v>
          </cell>
          <cell r="AO54">
            <v>25</v>
          </cell>
          <cell r="AR54">
            <v>688.97688740000001</v>
          </cell>
          <cell r="AS54">
            <v>75.588660000000004</v>
          </cell>
          <cell r="AU54">
            <v>15.453681599999999</v>
          </cell>
          <cell r="AV54">
            <v>16.79748</v>
          </cell>
          <cell r="AW54">
            <v>20.57328</v>
          </cell>
          <cell r="AX54">
            <v>9.8721600000000009</v>
          </cell>
          <cell r="AY54">
            <v>138.28526160000001</v>
          </cell>
          <cell r="AZ54">
            <v>978.15926160000004</v>
          </cell>
          <cell r="BA54">
            <v>69.961504200000007</v>
          </cell>
          <cell r="BB54">
            <v>67.775771800000001</v>
          </cell>
          <cell r="BC54">
            <v>128.5515436</v>
          </cell>
          <cell r="BD54">
            <v>266.28881960000001</v>
          </cell>
          <cell r="BE54">
            <v>1244.4480812000002</v>
          </cell>
          <cell r="BF54">
            <v>59.259432438095246</v>
          </cell>
          <cell r="BG54">
            <v>235.90538390961484</v>
          </cell>
        </row>
        <row r="55">
          <cell r="A55">
            <v>47</v>
          </cell>
          <cell r="B55">
            <v>47</v>
          </cell>
          <cell r="C55" t="str">
            <v>MATEO SOLIS, Jose Alejandro</v>
          </cell>
          <cell r="D55" t="str">
            <v>CAPATAZ</v>
          </cell>
          <cell r="E55">
            <v>38768</v>
          </cell>
          <cell r="H55" t="str">
            <v>20685786</v>
          </cell>
          <cell r="I55">
            <v>46.28</v>
          </cell>
          <cell r="J55">
            <v>5.7850000000000001</v>
          </cell>
          <cell r="K55" t="str">
            <v>HORIZONTE</v>
          </cell>
          <cell r="L55">
            <v>20</v>
          </cell>
          <cell r="M55">
            <v>5</v>
          </cell>
          <cell r="O55">
            <v>5</v>
          </cell>
          <cell r="P55">
            <v>50</v>
          </cell>
          <cell r="Q55">
            <v>925.6</v>
          </cell>
          <cell r="R55">
            <v>231.4</v>
          </cell>
          <cell r="S55">
            <v>0</v>
          </cell>
          <cell r="T55">
            <v>231.4</v>
          </cell>
          <cell r="U55">
            <v>361.5625</v>
          </cell>
          <cell r="V55">
            <v>50</v>
          </cell>
          <cell r="AB55">
            <v>1799.9625000000001</v>
          </cell>
          <cell r="AC55">
            <v>0</v>
          </cell>
          <cell r="AD55">
            <v>215.99549999999999</v>
          </cell>
          <cell r="AE55">
            <v>15.839670000000002</v>
          </cell>
          <cell r="AF55">
            <v>35.09926875</v>
          </cell>
          <cell r="AH55">
            <v>266.93443875000003</v>
          </cell>
          <cell r="AJ55">
            <v>266.93443875000003</v>
          </cell>
          <cell r="AL55">
            <v>1533.0280612500001</v>
          </cell>
          <cell r="AN55">
            <v>106.5</v>
          </cell>
          <cell r="AO55">
            <v>106.5</v>
          </cell>
          <cell r="AR55">
            <v>1426.5280612500001</v>
          </cell>
          <cell r="AS55">
            <v>161.99662499999999</v>
          </cell>
          <cell r="AU55">
            <v>33.119309999999999</v>
          </cell>
          <cell r="AV55">
            <v>35.999250000000004</v>
          </cell>
          <cell r="AW55">
            <v>37.903320000000008</v>
          </cell>
          <cell r="AX55">
            <v>18.188040000000001</v>
          </cell>
          <cell r="AY55">
            <v>287.20654500000001</v>
          </cell>
          <cell r="AZ55">
            <v>2087.1690450000001</v>
          </cell>
          <cell r="BA55">
            <v>149.93687625000001</v>
          </cell>
          <cell r="BB55">
            <v>124.51721208333333</v>
          </cell>
          <cell r="BC55">
            <v>279.26775750000002</v>
          </cell>
          <cell r="BD55">
            <v>553.72184583333342</v>
          </cell>
          <cell r="BE55">
            <v>2640.8908908333333</v>
          </cell>
          <cell r="BF55">
            <v>132.04454454166665</v>
          </cell>
          <cell r="BG55">
            <v>285.31664766997983</v>
          </cell>
        </row>
        <row r="56">
          <cell r="A56">
            <v>48</v>
          </cell>
          <cell r="B56">
            <v>48</v>
          </cell>
          <cell r="C56" t="str">
            <v>MAYTA ANDRADE, Francisco</v>
          </cell>
          <cell r="D56" t="str">
            <v>AYUDANTE SHOTCRETERO</v>
          </cell>
          <cell r="E56">
            <v>38783</v>
          </cell>
          <cell r="H56" t="str">
            <v>04203566</v>
          </cell>
          <cell r="I56">
            <v>25.12</v>
          </cell>
          <cell r="J56">
            <v>3.14</v>
          </cell>
          <cell r="K56" t="str">
            <v>UNION</v>
          </cell>
          <cell r="L56">
            <v>22</v>
          </cell>
          <cell r="M56">
            <v>5</v>
          </cell>
          <cell r="O56">
            <v>3</v>
          </cell>
          <cell r="P56">
            <v>50</v>
          </cell>
          <cell r="Q56">
            <v>552.64</v>
          </cell>
          <cell r="R56">
            <v>125.60000000000001</v>
          </cell>
          <cell r="S56">
            <v>0</v>
          </cell>
          <cell r="T56">
            <v>75.36</v>
          </cell>
          <cell r="U56">
            <v>196.25</v>
          </cell>
          <cell r="V56">
            <v>50</v>
          </cell>
          <cell r="AB56">
            <v>999.85</v>
          </cell>
          <cell r="AC56">
            <v>0</v>
          </cell>
          <cell r="AD56">
            <v>119.982</v>
          </cell>
          <cell r="AE56">
            <v>8.9986500000000014</v>
          </cell>
          <cell r="AF56">
            <v>19.397090000000002</v>
          </cell>
          <cell r="AH56">
            <v>148.37773999999999</v>
          </cell>
          <cell r="AJ56">
            <v>148.37773999999999</v>
          </cell>
          <cell r="AL56">
            <v>851.47226000000001</v>
          </cell>
          <cell r="AN56">
            <v>3.5</v>
          </cell>
          <cell r="AO56">
            <v>3.5</v>
          </cell>
          <cell r="AR56">
            <v>847.97226000000001</v>
          </cell>
          <cell r="AS56">
            <v>89.986499999999992</v>
          </cell>
          <cell r="AU56">
            <v>18.39724</v>
          </cell>
          <cell r="AV56">
            <v>19.997</v>
          </cell>
          <cell r="AW56">
            <v>20.57328</v>
          </cell>
          <cell r="AX56">
            <v>9.8721600000000009</v>
          </cell>
          <cell r="AY56">
            <v>158.82618000000002</v>
          </cell>
          <cell r="AZ56">
            <v>1158.6761799999999</v>
          </cell>
          <cell r="BA56">
            <v>83.287504999999996</v>
          </cell>
          <cell r="BB56">
            <v>73.922181666666674</v>
          </cell>
          <cell r="BC56">
            <v>152.07103000000001</v>
          </cell>
          <cell r="BD56">
            <v>309.28071666666665</v>
          </cell>
          <cell r="BE56">
            <v>1467.9568966666666</v>
          </cell>
          <cell r="BF56">
            <v>66.725313484848485</v>
          </cell>
          <cell r="BG56">
            <v>265.62624794923761</v>
          </cell>
        </row>
        <row r="57">
          <cell r="A57">
            <v>49</v>
          </cell>
          <cell r="B57">
            <v>49</v>
          </cell>
          <cell r="C57" t="str">
            <v>MAYTA BARZOLA, Luis German</v>
          </cell>
          <cell r="D57" t="str">
            <v>AYUDANTE JUMBERO</v>
          </cell>
          <cell r="E57">
            <v>38757</v>
          </cell>
          <cell r="H57" t="str">
            <v>40374554</v>
          </cell>
          <cell r="I57">
            <v>30.41</v>
          </cell>
          <cell r="J57">
            <v>3.80125</v>
          </cell>
          <cell r="K57" t="str">
            <v>PROFUTURO</v>
          </cell>
          <cell r="L57">
            <v>18</v>
          </cell>
          <cell r="M57">
            <v>5</v>
          </cell>
          <cell r="O57">
            <v>7</v>
          </cell>
          <cell r="P57">
            <v>50</v>
          </cell>
          <cell r="Q57">
            <v>547.38</v>
          </cell>
          <cell r="R57">
            <v>152.05000000000001</v>
          </cell>
          <cell r="S57">
            <v>0</v>
          </cell>
          <cell r="T57">
            <v>212.87</v>
          </cell>
          <cell r="U57">
            <v>237.578125</v>
          </cell>
          <cell r="V57">
            <v>50</v>
          </cell>
          <cell r="AB57">
            <v>1199.8781250000002</v>
          </cell>
          <cell r="AC57">
            <v>0</v>
          </cell>
          <cell r="AD57">
            <v>143.985375</v>
          </cell>
          <cell r="AE57">
            <v>12.118769062500002</v>
          </cell>
          <cell r="AF57">
            <v>23.757586875000001</v>
          </cell>
          <cell r="AH57">
            <v>179.8617309375</v>
          </cell>
          <cell r="AJ57">
            <v>179.8617309375</v>
          </cell>
          <cell r="AL57">
            <v>1020.0163940625002</v>
          </cell>
          <cell r="AN57">
            <v>7</v>
          </cell>
          <cell r="AO57">
            <v>7</v>
          </cell>
          <cell r="AR57">
            <v>1013.0163940625002</v>
          </cell>
          <cell r="AS57">
            <v>107.98903125000001</v>
          </cell>
          <cell r="AU57">
            <v>22.077757500000004</v>
          </cell>
          <cell r="AV57">
            <v>23.997562500000004</v>
          </cell>
          <cell r="AW57">
            <v>24.90579</v>
          </cell>
          <cell r="AX57">
            <v>11.951129999999999</v>
          </cell>
          <cell r="AY57">
            <v>190.92127125000002</v>
          </cell>
          <cell r="AZ57">
            <v>1390.7993962500002</v>
          </cell>
          <cell r="BA57">
            <v>99.94984781250001</v>
          </cell>
          <cell r="BB57">
            <v>78.362605937500007</v>
          </cell>
          <cell r="BC57">
            <v>183.870211875</v>
          </cell>
          <cell r="BD57">
            <v>362.18266562500003</v>
          </cell>
          <cell r="BE57">
            <v>1752.9820618750002</v>
          </cell>
          <cell r="BF57">
            <v>97.387892326388908</v>
          </cell>
          <cell r="BG57">
            <v>320.24956371716178</v>
          </cell>
        </row>
        <row r="58">
          <cell r="A58">
            <v>50</v>
          </cell>
          <cell r="B58">
            <v>50</v>
          </cell>
          <cell r="C58" t="str">
            <v>MEDRANO SUAREZ, Ruben</v>
          </cell>
          <cell r="D58" t="str">
            <v>AYUDANTE PERFORISTA</v>
          </cell>
          <cell r="E58">
            <v>38783</v>
          </cell>
          <cell r="F58">
            <v>38870</v>
          </cell>
          <cell r="H58" t="str">
            <v>40652032</v>
          </cell>
          <cell r="I58">
            <v>25.12</v>
          </cell>
          <cell r="J58">
            <v>3.14</v>
          </cell>
          <cell r="K58" t="str">
            <v>ONP</v>
          </cell>
          <cell r="L58">
            <v>2</v>
          </cell>
          <cell r="M58">
            <v>0</v>
          </cell>
          <cell r="P58">
            <v>4</v>
          </cell>
          <cell r="Q58">
            <v>50.24</v>
          </cell>
          <cell r="R58">
            <v>0</v>
          </cell>
          <cell r="S58">
            <v>0</v>
          </cell>
          <cell r="T58">
            <v>0</v>
          </cell>
          <cell r="U58">
            <v>15.700000000000001</v>
          </cell>
          <cell r="V58">
            <v>3.3333333333333335</v>
          </cell>
          <cell r="AB58">
            <v>69.273333333333326</v>
          </cell>
          <cell r="AC58">
            <v>9.0055333333333323</v>
          </cell>
          <cell r="AD58">
            <v>0</v>
          </cell>
          <cell r="AE58">
            <v>0</v>
          </cell>
          <cell r="AF58">
            <v>0</v>
          </cell>
          <cell r="AH58">
            <v>9.0055333333333323</v>
          </cell>
          <cell r="AJ58">
            <v>9.0055333333333323</v>
          </cell>
          <cell r="AL58">
            <v>60.267799999999994</v>
          </cell>
          <cell r="AO58">
            <v>0</v>
          </cell>
          <cell r="AR58">
            <v>60.267799999999994</v>
          </cell>
          <cell r="AS58">
            <v>6.2345999999999995</v>
          </cell>
          <cell r="AU58">
            <v>1.2746293333333332</v>
          </cell>
          <cell r="AV58">
            <v>0</v>
          </cell>
          <cell r="AW58">
            <v>20.57328</v>
          </cell>
          <cell r="AX58">
            <v>9.8721600000000009</v>
          </cell>
          <cell r="AY58">
            <v>37.954669333333335</v>
          </cell>
          <cell r="AZ58">
            <v>107.22800266666667</v>
          </cell>
          <cell r="BA58">
            <v>5.770468666666666</v>
          </cell>
          <cell r="BB58">
            <v>7.6273335555555564</v>
          </cell>
          <cell r="BC58">
            <v>14.699111555555556</v>
          </cell>
          <cell r="BD58">
            <v>28.096913777777779</v>
          </cell>
          <cell r="BE58">
            <v>135.32491644444445</v>
          </cell>
          <cell r="BF58">
            <v>67.662458222222227</v>
          </cell>
          <cell r="BG58">
            <v>269.35691967445155</v>
          </cell>
        </row>
        <row r="59">
          <cell r="A59">
            <v>51</v>
          </cell>
          <cell r="B59">
            <v>51</v>
          </cell>
          <cell r="C59" t="str">
            <v>MEZA HUAYANAY, Carlos</v>
          </cell>
          <cell r="D59" t="str">
            <v>PERFORISTA 1</v>
          </cell>
          <cell r="E59">
            <v>38761</v>
          </cell>
          <cell r="F59">
            <v>38883</v>
          </cell>
          <cell r="H59" t="str">
            <v>04066885</v>
          </cell>
          <cell r="I59">
            <v>35.700000000000003</v>
          </cell>
          <cell r="J59">
            <v>4.4625000000000004</v>
          </cell>
          <cell r="K59" t="str">
            <v>ONP</v>
          </cell>
          <cell r="L59">
            <v>5</v>
          </cell>
          <cell r="M59">
            <v>1.8</v>
          </cell>
          <cell r="O59">
            <v>4</v>
          </cell>
          <cell r="P59">
            <v>18</v>
          </cell>
          <cell r="Q59">
            <v>178.5</v>
          </cell>
          <cell r="R59">
            <v>64.260000000000005</v>
          </cell>
          <cell r="S59">
            <v>0</v>
          </cell>
          <cell r="T59">
            <v>142.80000000000001</v>
          </cell>
          <cell r="U59">
            <v>100.40625</v>
          </cell>
          <cell r="AB59">
            <v>485.96625</v>
          </cell>
          <cell r="AC59">
            <v>63.1756125</v>
          </cell>
          <cell r="AD59">
            <v>0</v>
          </cell>
          <cell r="AE59">
            <v>0</v>
          </cell>
          <cell r="AF59">
            <v>0</v>
          </cell>
          <cell r="AH59">
            <v>63.1756125</v>
          </cell>
          <cell r="AJ59">
            <v>63.1756125</v>
          </cell>
          <cell r="AL59">
            <v>422.7906375</v>
          </cell>
          <cell r="AN59">
            <v>7</v>
          </cell>
          <cell r="AO59">
            <v>7</v>
          </cell>
          <cell r="AR59">
            <v>415.7906375</v>
          </cell>
          <cell r="AS59">
            <v>43.736962499999997</v>
          </cell>
          <cell r="AU59">
            <v>8.9417790000000004</v>
          </cell>
          <cell r="AV59">
            <v>0</v>
          </cell>
          <cell r="AW59">
            <v>29.238300000000002</v>
          </cell>
          <cell r="AX59">
            <v>14.030100000000001</v>
          </cell>
          <cell r="AY59">
            <v>95.947141500000015</v>
          </cell>
          <cell r="AZ59">
            <v>581.91339149999999</v>
          </cell>
          <cell r="BA59">
            <v>40.480988625000002</v>
          </cell>
          <cell r="BB59">
            <v>28.225595125000002</v>
          </cell>
          <cell r="BC59">
            <v>80.251190249999993</v>
          </cell>
          <cell r="BD59">
            <v>148.957774</v>
          </cell>
          <cell r="BE59">
            <v>730.87116549999996</v>
          </cell>
          <cell r="BF59">
            <v>146.17423309999998</v>
          </cell>
          <cell r="BG59">
            <v>409.45163333333323</v>
          </cell>
        </row>
        <row r="60">
          <cell r="A60">
            <v>52</v>
          </cell>
          <cell r="B60">
            <v>52</v>
          </cell>
          <cell r="C60" t="str">
            <v>MIRANDA ROBLES, Ruben</v>
          </cell>
          <cell r="D60" t="str">
            <v>OPERADOR RAPTOR</v>
          </cell>
          <cell r="E60">
            <v>38857</v>
          </cell>
          <cell r="H60" t="str">
            <v>40117962</v>
          </cell>
          <cell r="I60">
            <v>40.99</v>
          </cell>
          <cell r="J60">
            <v>5.1237500000000002</v>
          </cell>
          <cell r="K60" t="str">
            <v>PROFUTURO</v>
          </cell>
          <cell r="L60">
            <v>16</v>
          </cell>
          <cell r="M60">
            <v>3.2</v>
          </cell>
          <cell r="O60">
            <v>0</v>
          </cell>
          <cell r="P60">
            <v>32</v>
          </cell>
          <cell r="Q60">
            <v>655.84</v>
          </cell>
          <cell r="R60">
            <v>131.16800000000001</v>
          </cell>
          <cell r="S60">
            <v>0</v>
          </cell>
          <cell r="T60">
            <v>0</v>
          </cell>
          <cell r="U60">
            <v>204.95000000000002</v>
          </cell>
          <cell r="AB60">
            <v>991.95800000000008</v>
          </cell>
          <cell r="AC60">
            <v>0</v>
          </cell>
          <cell r="AD60">
            <v>119.03496000000001</v>
          </cell>
          <cell r="AE60">
            <v>10.0187758</v>
          </cell>
          <cell r="AF60">
            <v>19.640768399999999</v>
          </cell>
          <cell r="AH60">
            <v>148.69450420000004</v>
          </cell>
          <cell r="AJ60">
            <v>148.69450420000004</v>
          </cell>
          <cell r="AL60">
            <v>843.2634958000001</v>
          </cell>
          <cell r="AN60">
            <v>140.5</v>
          </cell>
          <cell r="AO60">
            <v>140.5</v>
          </cell>
          <cell r="AR60">
            <v>702.7634958000001</v>
          </cell>
          <cell r="AS60">
            <v>89.276220000000009</v>
          </cell>
          <cell r="AU60">
            <v>18.252027200000001</v>
          </cell>
          <cell r="AV60">
            <v>19.839160000000003</v>
          </cell>
          <cell r="AW60">
            <v>33.570810000000002</v>
          </cell>
          <cell r="AX60">
            <v>16.109070000000003</v>
          </cell>
          <cell r="AY60">
            <v>177.04728720000003</v>
          </cell>
          <cell r="AZ60">
            <v>1169.0052872000001</v>
          </cell>
          <cell r="BA60">
            <v>82.630101400000001</v>
          </cell>
          <cell r="BB60">
            <v>80.33794060000001</v>
          </cell>
          <cell r="BC60">
            <v>160.67588120000002</v>
          </cell>
          <cell r="BD60">
            <v>323.64392320000002</v>
          </cell>
          <cell r="BE60">
            <v>1492.6492104000001</v>
          </cell>
          <cell r="BF60">
            <v>93.290575650000008</v>
          </cell>
          <cell r="BG60">
            <v>227.59350000000001</v>
          </cell>
        </row>
        <row r="61">
          <cell r="A61">
            <v>53</v>
          </cell>
          <cell r="B61">
            <v>53</v>
          </cell>
          <cell r="C61" t="str">
            <v>NOLASCO CRUZ, Daulin</v>
          </cell>
          <cell r="D61" t="str">
            <v>SHOTCRETERO</v>
          </cell>
          <cell r="E61">
            <v>38789</v>
          </cell>
          <cell r="H61" t="str">
            <v>40852666</v>
          </cell>
          <cell r="I61">
            <v>38.35</v>
          </cell>
          <cell r="J61">
            <v>4.7937500000000002</v>
          </cell>
          <cell r="K61" t="str">
            <v>ONP</v>
          </cell>
          <cell r="L61">
            <v>18</v>
          </cell>
          <cell r="M61">
            <v>4.4000000000000004</v>
          </cell>
          <cell r="O61">
            <v>4</v>
          </cell>
          <cell r="P61">
            <v>44</v>
          </cell>
          <cell r="Q61">
            <v>690.30000000000007</v>
          </cell>
          <cell r="R61">
            <v>168.74</v>
          </cell>
          <cell r="S61">
            <v>0</v>
          </cell>
          <cell r="T61">
            <v>153.4</v>
          </cell>
          <cell r="U61">
            <v>263.65625</v>
          </cell>
          <cell r="V61">
            <v>44</v>
          </cell>
          <cell r="AB61">
            <v>1320.0962500000001</v>
          </cell>
          <cell r="AC61">
            <v>171.61251250000001</v>
          </cell>
          <cell r="AD61">
            <v>0</v>
          </cell>
          <cell r="AE61">
            <v>0</v>
          </cell>
          <cell r="AF61">
            <v>0</v>
          </cell>
          <cell r="AH61">
            <v>171.61251250000001</v>
          </cell>
          <cell r="AJ61">
            <v>171.61251250000001</v>
          </cell>
          <cell r="AL61">
            <v>1148.4837375</v>
          </cell>
          <cell r="AN61">
            <v>23.5</v>
          </cell>
          <cell r="AO61">
            <v>23.5</v>
          </cell>
          <cell r="AR61">
            <v>1124.9837375</v>
          </cell>
          <cell r="AS61">
            <v>118.8086625</v>
          </cell>
          <cell r="AU61">
            <v>24.289771000000002</v>
          </cell>
          <cell r="AV61">
            <v>0</v>
          </cell>
          <cell r="AW61">
            <v>31.408650000000002</v>
          </cell>
          <cell r="AX61">
            <v>15.07155</v>
          </cell>
          <cell r="AY61">
            <v>189.5786335</v>
          </cell>
          <cell r="AZ61">
            <v>1509.6748835000001</v>
          </cell>
          <cell r="BA61">
            <v>109.964017625</v>
          </cell>
          <cell r="BB61">
            <v>91.051552791666666</v>
          </cell>
          <cell r="BC61">
            <v>200.33643891666668</v>
          </cell>
          <cell r="BD61">
            <v>401.35200933333334</v>
          </cell>
          <cell r="BE61">
            <v>1911.0268928333335</v>
          </cell>
          <cell r="BF61">
            <v>106.16816071296297</v>
          </cell>
          <cell r="BG61">
            <v>276.84005401033369</v>
          </cell>
        </row>
        <row r="62">
          <cell r="A62">
            <v>54</v>
          </cell>
          <cell r="B62">
            <v>54</v>
          </cell>
          <cell r="C62" t="str">
            <v>OLAZO BLAS, Julio Cesar</v>
          </cell>
          <cell r="D62" t="str">
            <v>AYUDANTE CARGADOR</v>
          </cell>
          <cell r="E62">
            <v>38762</v>
          </cell>
          <cell r="H62" t="str">
            <v>41373086</v>
          </cell>
          <cell r="I62">
            <v>25.12</v>
          </cell>
          <cell r="J62">
            <v>3.14</v>
          </cell>
          <cell r="K62" t="str">
            <v>ONP</v>
          </cell>
          <cell r="L62">
            <v>22</v>
          </cell>
          <cell r="M62">
            <v>5</v>
          </cell>
          <cell r="O62">
            <v>3</v>
          </cell>
          <cell r="P62">
            <v>50</v>
          </cell>
          <cell r="Q62">
            <v>552.64</v>
          </cell>
          <cell r="R62">
            <v>125.60000000000001</v>
          </cell>
          <cell r="S62">
            <v>0</v>
          </cell>
          <cell r="T62">
            <v>75.36</v>
          </cell>
          <cell r="U62">
            <v>196.25</v>
          </cell>
          <cell r="AB62">
            <v>949.85</v>
          </cell>
          <cell r="AC62">
            <v>123.48050000000001</v>
          </cell>
          <cell r="AD62">
            <v>0</v>
          </cell>
          <cell r="AE62">
            <v>0</v>
          </cell>
          <cell r="AF62">
            <v>0</v>
          </cell>
          <cell r="AH62">
            <v>123.48050000000001</v>
          </cell>
          <cell r="AJ62">
            <v>123.48050000000001</v>
          </cell>
          <cell r="AL62">
            <v>826.36950000000002</v>
          </cell>
          <cell r="AO62">
            <v>0</v>
          </cell>
          <cell r="AR62">
            <v>826.36950000000002</v>
          </cell>
          <cell r="AS62">
            <v>85.486499999999992</v>
          </cell>
          <cell r="AU62">
            <v>17.477240000000002</v>
          </cell>
          <cell r="AV62">
            <v>0</v>
          </cell>
          <cell r="AW62">
            <v>20.57328</v>
          </cell>
          <cell r="AX62">
            <v>9.8721600000000009</v>
          </cell>
          <cell r="AY62">
            <v>133.40917999999999</v>
          </cell>
          <cell r="AZ62">
            <v>1083.25918</v>
          </cell>
          <cell r="BA62">
            <v>79.122505000000004</v>
          </cell>
          <cell r="BB62">
            <v>67.637431666666672</v>
          </cell>
          <cell r="BC62">
            <v>147.83486333333335</v>
          </cell>
          <cell r="BD62">
            <v>294.59480000000002</v>
          </cell>
          <cell r="BE62">
            <v>1377.8539800000001</v>
          </cell>
          <cell r="BF62">
            <v>62.629726363636365</v>
          </cell>
          <cell r="BG62">
            <v>249.32215909090905</v>
          </cell>
        </row>
        <row r="63">
          <cell r="A63">
            <v>55</v>
          </cell>
          <cell r="B63">
            <v>55</v>
          </cell>
          <cell r="C63" t="str">
            <v>ORTEGA MAZGO, Martin</v>
          </cell>
          <cell r="D63" t="str">
            <v>PERFORISTA 1</v>
          </cell>
          <cell r="E63">
            <v>38765</v>
          </cell>
          <cell r="H63" t="str">
            <v>04082607</v>
          </cell>
          <cell r="I63">
            <v>35.700000000000003</v>
          </cell>
          <cell r="J63">
            <v>4.4625000000000004</v>
          </cell>
          <cell r="K63" t="str">
            <v>PROFUTURO</v>
          </cell>
          <cell r="L63">
            <v>6</v>
          </cell>
          <cell r="M63">
            <v>1</v>
          </cell>
          <cell r="N63">
            <v>23</v>
          </cell>
          <cell r="P63">
            <v>12</v>
          </cell>
          <cell r="Q63">
            <v>214.20000000000002</v>
          </cell>
          <cell r="R63">
            <v>35.700000000000003</v>
          </cell>
          <cell r="S63">
            <v>821.1</v>
          </cell>
          <cell r="T63">
            <v>0</v>
          </cell>
          <cell r="U63">
            <v>66.9375</v>
          </cell>
          <cell r="V63">
            <v>50</v>
          </cell>
          <cell r="AB63">
            <v>1187.9375</v>
          </cell>
          <cell r="AC63">
            <v>0</v>
          </cell>
          <cell r="AD63">
            <v>142.55249999999998</v>
          </cell>
          <cell r="AE63">
            <v>11.99816875</v>
          </cell>
          <cell r="AF63">
            <v>23.521162499999999</v>
          </cell>
          <cell r="AH63">
            <v>178.07183124999997</v>
          </cell>
          <cell r="AJ63">
            <v>178.07183124999997</v>
          </cell>
          <cell r="AL63">
            <v>1009.8656687500001</v>
          </cell>
          <cell r="AO63">
            <v>0</v>
          </cell>
          <cell r="AR63">
            <v>1009.8656687500001</v>
          </cell>
          <cell r="AS63">
            <v>106.91437499999999</v>
          </cell>
          <cell r="AU63">
            <v>21.858049999999999</v>
          </cell>
          <cell r="AV63">
            <v>23.758749999999999</v>
          </cell>
          <cell r="AW63">
            <v>29.238300000000002</v>
          </cell>
          <cell r="AX63">
            <v>14.030100000000001</v>
          </cell>
          <cell r="AY63">
            <v>195.799575</v>
          </cell>
          <cell r="AZ63">
            <v>1383.737075</v>
          </cell>
          <cell r="BA63">
            <v>98.955193749999992</v>
          </cell>
          <cell r="BB63">
            <v>109.73329791666667</v>
          </cell>
          <cell r="BC63">
            <v>211.1332625</v>
          </cell>
          <cell r="BD63">
            <v>419.82175416666666</v>
          </cell>
          <cell r="BE63">
            <v>1803.5588291666668</v>
          </cell>
          <cell r="BF63">
            <v>300.59313819444446</v>
          </cell>
          <cell r="BG63">
            <v>841.99758597883601</v>
          </cell>
        </row>
        <row r="64">
          <cell r="A64">
            <v>56</v>
          </cell>
          <cell r="B64">
            <v>56</v>
          </cell>
          <cell r="C64" t="str">
            <v>PARRA VARGAS, Cesar</v>
          </cell>
          <cell r="D64" t="str">
            <v>AYUDANTE PERFORISTA</v>
          </cell>
          <cell r="E64">
            <v>38796</v>
          </cell>
          <cell r="H64" t="str">
            <v>04067442</v>
          </cell>
          <cell r="I64">
            <v>25.12</v>
          </cell>
          <cell r="J64">
            <v>3.14</v>
          </cell>
          <cell r="K64" t="str">
            <v>ONP</v>
          </cell>
          <cell r="L64">
            <v>22</v>
          </cell>
          <cell r="M64">
            <v>5</v>
          </cell>
          <cell r="O64">
            <v>3</v>
          </cell>
          <cell r="P64">
            <v>50</v>
          </cell>
          <cell r="Q64">
            <v>552.64</v>
          </cell>
          <cell r="R64">
            <v>125.60000000000001</v>
          </cell>
          <cell r="S64">
            <v>0</v>
          </cell>
          <cell r="T64">
            <v>75.36</v>
          </cell>
          <cell r="U64">
            <v>196.25</v>
          </cell>
          <cell r="V64">
            <v>50</v>
          </cell>
          <cell r="AB64">
            <v>999.85</v>
          </cell>
          <cell r="AC64">
            <v>129.98050000000001</v>
          </cell>
          <cell r="AD64">
            <v>0</v>
          </cell>
          <cell r="AE64">
            <v>0</v>
          </cell>
          <cell r="AF64">
            <v>0</v>
          </cell>
          <cell r="AH64">
            <v>129.98050000000001</v>
          </cell>
          <cell r="AJ64">
            <v>129.98050000000001</v>
          </cell>
          <cell r="AL64">
            <v>869.86950000000002</v>
          </cell>
          <cell r="AN64">
            <v>38.6</v>
          </cell>
          <cell r="AO64">
            <v>38.6</v>
          </cell>
          <cell r="AR64">
            <v>831.26949999999999</v>
          </cell>
          <cell r="AS64">
            <v>89.986499999999992</v>
          </cell>
          <cell r="AU64">
            <v>18.39724</v>
          </cell>
          <cell r="AV64">
            <v>0</v>
          </cell>
          <cell r="AW64">
            <v>20.57328</v>
          </cell>
          <cell r="AX64">
            <v>9.8721600000000009</v>
          </cell>
          <cell r="AY64">
            <v>138.82918000000001</v>
          </cell>
          <cell r="AZ64">
            <v>1138.6791800000001</v>
          </cell>
          <cell r="BA64">
            <v>83.287504999999996</v>
          </cell>
          <cell r="BB64">
            <v>72.255764999999997</v>
          </cell>
          <cell r="BC64">
            <v>148.73819666666668</v>
          </cell>
          <cell r="BD64">
            <v>304.28146666666669</v>
          </cell>
          <cell r="BE64">
            <v>1442.9606466666669</v>
          </cell>
          <cell r="BF64">
            <v>65.589120303030313</v>
          </cell>
          <cell r="BG64">
            <v>261.10318591970668</v>
          </cell>
        </row>
        <row r="65">
          <cell r="A65">
            <v>57</v>
          </cell>
          <cell r="B65">
            <v>57</v>
          </cell>
          <cell r="C65" t="str">
            <v>PARRA VARGAS, Eduardo</v>
          </cell>
          <cell r="D65" t="str">
            <v>PERFORISTA 2</v>
          </cell>
          <cell r="E65">
            <v>38783</v>
          </cell>
          <cell r="H65" t="str">
            <v>04034938</v>
          </cell>
          <cell r="I65">
            <v>35.700000000000003</v>
          </cell>
          <cell r="J65">
            <v>4.4625000000000004</v>
          </cell>
          <cell r="K65" t="str">
            <v>PROFUTURO</v>
          </cell>
          <cell r="L65">
            <v>23</v>
          </cell>
          <cell r="M65">
            <v>5</v>
          </cell>
          <cell r="O65">
            <v>2</v>
          </cell>
          <cell r="P65">
            <v>50</v>
          </cell>
          <cell r="Q65">
            <v>821.1</v>
          </cell>
          <cell r="R65">
            <v>178.5</v>
          </cell>
          <cell r="S65">
            <v>0</v>
          </cell>
          <cell r="T65">
            <v>71.400000000000006</v>
          </cell>
          <cell r="U65">
            <v>278.90625000000006</v>
          </cell>
          <cell r="V65">
            <v>50</v>
          </cell>
          <cell r="AB65">
            <v>1399.90625</v>
          </cell>
          <cell r="AC65">
            <v>0</v>
          </cell>
          <cell r="AD65">
            <v>167.98874999999998</v>
          </cell>
          <cell r="AE65">
            <v>14.139053125</v>
          </cell>
          <cell r="AF65">
            <v>27.718143749999996</v>
          </cell>
          <cell r="AH65">
            <v>209.84594687499998</v>
          </cell>
          <cell r="AJ65">
            <v>209.84594687499998</v>
          </cell>
          <cell r="AL65">
            <v>1190.060303125</v>
          </cell>
          <cell r="AN65">
            <v>20.5</v>
          </cell>
          <cell r="AO65">
            <v>20.5</v>
          </cell>
          <cell r="AR65">
            <v>1169.560303125</v>
          </cell>
          <cell r="AS65">
            <v>125.9915625</v>
          </cell>
          <cell r="AU65">
            <v>25.758275000000001</v>
          </cell>
          <cell r="AV65">
            <v>27.998125000000002</v>
          </cell>
          <cell r="AW65">
            <v>29.238300000000002</v>
          </cell>
          <cell r="AX65">
            <v>14.030100000000001</v>
          </cell>
          <cell r="AY65">
            <v>223.01636250000004</v>
          </cell>
          <cell r="AZ65">
            <v>1622.9226125</v>
          </cell>
          <cell r="BA65">
            <v>116.612190625</v>
          </cell>
          <cell r="BB65">
            <v>106.05136354166666</v>
          </cell>
          <cell r="BC65">
            <v>215.66939375000001</v>
          </cell>
          <cell r="BD65">
            <v>438.33294791666663</v>
          </cell>
          <cell r="BE65">
            <v>2061.2555604166664</v>
          </cell>
          <cell r="BF65">
            <v>89.619806974637669</v>
          </cell>
          <cell r="BG65">
            <v>251.03587387853685</v>
          </cell>
        </row>
        <row r="66">
          <cell r="A66">
            <v>58</v>
          </cell>
          <cell r="B66">
            <v>58</v>
          </cell>
          <cell r="C66" t="str">
            <v>PAULINO VILLOGAS, Leonidas Leonardo</v>
          </cell>
          <cell r="D66" t="str">
            <v>OPERADOR SCOOPTRAMS 2</v>
          </cell>
          <cell r="E66">
            <v>38761</v>
          </cell>
          <cell r="H66" t="str">
            <v>04040951</v>
          </cell>
          <cell r="I66">
            <v>35.700000000000003</v>
          </cell>
          <cell r="J66">
            <v>4.4625000000000004</v>
          </cell>
          <cell r="K66" t="str">
            <v>UNION</v>
          </cell>
          <cell r="L66">
            <v>19</v>
          </cell>
          <cell r="M66">
            <v>5</v>
          </cell>
          <cell r="O66">
            <v>6</v>
          </cell>
          <cell r="P66">
            <v>50</v>
          </cell>
          <cell r="Q66">
            <v>678.30000000000007</v>
          </cell>
          <cell r="R66">
            <v>178.5</v>
          </cell>
          <cell r="S66">
            <v>0</v>
          </cell>
          <cell r="T66">
            <v>214.20000000000002</v>
          </cell>
          <cell r="U66">
            <v>278.90625000000006</v>
          </cell>
          <cell r="V66">
            <v>50</v>
          </cell>
          <cell r="AB66">
            <v>1399.90625</v>
          </cell>
          <cell r="AC66">
            <v>0</v>
          </cell>
          <cell r="AD66">
            <v>167.98874999999998</v>
          </cell>
          <cell r="AE66">
            <v>12.599156250000002</v>
          </cell>
          <cell r="AF66">
            <v>27.158181250000002</v>
          </cell>
          <cell r="AH66">
            <v>207.74608749999999</v>
          </cell>
          <cell r="AJ66">
            <v>207.74608749999999</v>
          </cell>
          <cell r="AL66">
            <v>1192.1601625000001</v>
          </cell>
          <cell r="AN66">
            <v>5</v>
          </cell>
          <cell r="AO66">
            <v>5</v>
          </cell>
          <cell r="AR66">
            <v>1187.1601625000001</v>
          </cell>
          <cell r="AS66">
            <v>125.9915625</v>
          </cell>
          <cell r="AU66">
            <v>25.758275000000001</v>
          </cell>
          <cell r="AV66">
            <v>27.998125000000002</v>
          </cell>
          <cell r="AW66">
            <v>29.238300000000002</v>
          </cell>
          <cell r="AX66">
            <v>14.030100000000001</v>
          </cell>
          <cell r="AY66">
            <v>223.01636250000004</v>
          </cell>
          <cell r="AZ66">
            <v>1622.9226125</v>
          </cell>
          <cell r="BA66">
            <v>116.612190625</v>
          </cell>
          <cell r="BB66">
            <v>94.151363541666683</v>
          </cell>
          <cell r="BC66">
            <v>215.66939375000001</v>
          </cell>
          <cell r="BD66">
            <v>426.43294791666665</v>
          </cell>
          <cell r="BE66">
            <v>2049.3555604166668</v>
          </cell>
          <cell r="BF66">
            <v>107.86081896929825</v>
          </cell>
          <cell r="BG66">
            <v>302.13114557226402</v>
          </cell>
        </row>
        <row r="67">
          <cell r="A67">
            <v>59</v>
          </cell>
          <cell r="B67">
            <v>59</v>
          </cell>
          <cell r="C67" t="str">
            <v>PECHO VASQUEZ, Diego</v>
          </cell>
          <cell r="D67" t="str">
            <v>AYUDANTE PERFORISTA</v>
          </cell>
          <cell r="E67">
            <v>38796</v>
          </cell>
          <cell r="H67" t="str">
            <v>42781237</v>
          </cell>
          <cell r="I67">
            <v>25.12</v>
          </cell>
          <cell r="J67">
            <v>3.14</v>
          </cell>
          <cell r="K67" t="str">
            <v>ONP</v>
          </cell>
          <cell r="L67">
            <v>22</v>
          </cell>
          <cell r="M67">
            <v>5</v>
          </cell>
          <cell r="O67">
            <v>3</v>
          </cell>
          <cell r="P67">
            <v>50</v>
          </cell>
          <cell r="Q67">
            <v>552.64</v>
          </cell>
          <cell r="R67">
            <v>125.60000000000001</v>
          </cell>
          <cell r="S67">
            <v>0</v>
          </cell>
          <cell r="T67">
            <v>75.36</v>
          </cell>
          <cell r="U67">
            <v>196.25</v>
          </cell>
          <cell r="V67">
            <v>50</v>
          </cell>
          <cell r="AB67">
            <v>999.85</v>
          </cell>
          <cell r="AC67">
            <v>129.98050000000001</v>
          </cell>
          <cell r="AD67">
            <v>0</v>
          </cell>
          <cell r="AE67">
            <v>0</v>
          </cell>
          <cell r="AF67">
            <v>0</v>
          </cell>
          <cell r="AH67">
            <v>129.98050000000001</v>
          </cell>
          <cell r="AJ67">
            <v>129.98050000000001</v>
          </cell>
          <cell r="AL67">
            <v>869.86950000000002</v>
          </cell>
          <cell r="AO67">
            <v>0</v>
          </cell>
          <cell r="AR67">
            <v>869.86950000000002</v>
          </cell>
          <cell r="AS67">
            <v>89.986499999999992</v>
          </cell>
          <cell r="AU67">
            <v>18.39724</v>
          </cell>
          <cell r="AV67">
            <v>0</v>
          </cell>
          <cell r="AW67">
            <v>20.57328</v>
          </cell>
          <cell r="AX67">
            <v>9.8721600000000009</v>
          </cell>
          <cell r="AY67">
            <v>138.82918000000001</v>
          </cell>
          <cell r="AZ67">
            <v>1138.6791800000001</v>
          </cell>
          <cell r="BA67">
            <v>83.287504999999996</v>
          </cell>
          <cell r="BB67">
            <v>72.255764999999997</v>
          </cell>
          <cell r="BC67">
            <v>148.73819666666668</v>
          </cell>
          <cell r="BD67">
            <v>304.28146666666669</v>
          </cell>
          <cell r="BE67">
            <v>1442.9606466666669</v>
          </cell>
          <cell r="BF67">
            <v>65.589120303030313</v>
          </cell>
          <cell r="BG67">
            <v>261.10318591970668</v>
          </cell>
        </row>
        <row r="68">
          <cell r="A68">
            <v>60</v>
          </cell>
          <cell r="B68">
            <v>60</v>
          </cell>
          <cell r="C68" t="str">
            <v>PEÑA BALDEON, Julio Jose</v>
          </cell>
          <cell r="D68" t="str">
            <v>MAESTRO  SHOTCRETERO</v>
          </cell>
          <cell r="E68">
            <v>38763</v>
          </cell>
          <cell r="H68" t="str">
            <v>10508831</v>
          </cell>
          <cell r="I68">
            <v>38.35</v>
          </cell>
          <cell r="J68">
            <v>4.7937500000000002</v>
          </cell>
          <cell r="K68" t="str">
            <v>UNION</v>
          </cell>
          <cell r="L68">
            <v>18</v>
          </cell>
          <cell r="M68">
            <v>4.2</v>
          </cell>
          <cell r="O68">
            <v>3</v>
          </cell>
          <cell r="P68">
            <v>42</v>
          </cell>
          <cell r="Q68">
            <v>690.30000000000007</v>
          </cell>
          <cell r="R68">
            <v>161.07000000000002</v>
          </cell>
          <cell r="S68">
            <v>0</v>
          </cell>
          <cell r="T68">
            <v>115.05000000000001</v>
          </cell>
          <cell r="U68">
            <v>251.671875</v>
          </cell>
          <cell r="V68">
            <v>42</v>
          </cell>
          <cell r="AB68">
            <v>1260.0918750000001</v>
          </cell>
          <cell r="AC68">
            <v>0</v>
          </cell>
          <cell r="AD68">
            <v>151.21102500000001</v>
          </cell>
          <cell r="AE68">
            <v>11.340826875000001</v>
          </cell>
          <cell r="AF68">
            <v>24.445782375000004</v>
          </cell>
          <cell r="AH68">
            <v>186.99763425</v>
          </cell>
          <cell r="AJ68">
            <v>186.99763425</v>
          </cell>
          <cell r="AL68">
            <v>1073.0942407500002</v>
          </cell>
          <cell r="AN68">
            <v>7</v>
          </cell>
          <cell r="AO68">
            <v>7</v>
          </cell>
          <cell r="AR68">
            <v>1066.0942407500002</v>
          </cell>
          <cell r="AS68">
            <v>113.40826875</v>
          </cell>
          <cell r="AU68">
            <v>23.1856905</v>
          </cell>
          <cell r="AV68">
            <v>25.201837500000003</v>
          </cell>
          <cell r="AW68">
            <v>31.408650000000002</v>
          </cell>
          <cell r="AX68">
            <v>15.07155</v>
          </cell>
          <cell r="AY68">
            <v>208.27599675000002</v>
          </cell>
          <cell r="AZ68">
            <v>1468.3678717500002</v>
          </cell>
          <cell r="BA68">
            <v>104.96565318750001</v>
          </cell>
          <cell r="BB68">
            <v>91.803833062500019</v>
          </cell>
          <cell r="BC68">
            <v>195.78266612500002</v>
          </cell>
          <cell r="BD68">
            <v>392.55215237500005</v>
          </cell>
          <cell r="BE68">
            <v>1860.9200241250003</v>
          </cell>
          <cell r="BF68">
            <v>103.38444578472223</v>
          </cell>
          <cell r="BG68">
            <v>269.5813449406055</v>
          </cell>
        </row>
        <row r="69">
          <cell r="A69">
            <v>61</v>
          </cell>
          <cell r="B69">
            <v>61</v>
          </cell>
          <cell r="C69" t="str">
            <v>PUENTE HUARICAPCHA, Carlos</v>
          </cell>
          <cell r="D69" t="str">
            <v>AYUDANTE SHOTCRETERO</v>
          </cell>
          <cell r="E69">
            <v>38797</v>
          </cell>
          <cell r="H69" t="str">
            <v>04068769</v>
          </cell>
          <cell r="I69">
            <v>25.12</v>
          </cell>
          <cell r="J69">
            <v>3.14</v>
          </cell>
          <cell r="K69" t="str">
            <v>PROFUTURO</v>
          </cell>
          <cell r="L69">
            <v>21</v>
          </cell>
          <cell r="M69">
            <v>5</v>
          </cell>
          <cell r="O69">
            <v>4</v>
          </cell>
          <cell r="P69">
            <v>50</v>
          </cell>
          <cell r="Q69">
            <v>527.52</v>
          </cell>
          <cell r="R69">
            <v>125.60000000000001</v>
          </cell>
          <cell r="S69">
            <v>0</v>
          </cell>
          <cell r="T69">
            <v>100.48</v>
          </cell>
          <cell r="U69">
            <v>196.25</v>
          </cell>
          <cell r="V69">
            <v>50</v>
          </cell>
          <cell r="AB69">
            <v>999.85</v>
          </cell>
          <cell r="AC69">
            <v>0</v>
          </cell>
          <cell r="AD69">
            <v>119.982</v>
          </cell>
          <cell r="AE69">
            <v>10.098485</v>
          </cell>
          <cell r="AF69">
            <v>19.797029999999999</v>
          </cell>
          <cell r="AH69">
            <v>149.87751500000002</v>
          </cell>
          <cell r="AJ69">
            <v>149.87751500000002</v>
          </cell>
          <cell r="AL69">
            <v>849.97248500000001</v>
          </cell>
          <cell r="AO69">
            <v>0</v>
          </cell>
          <cell r="AR69">
            <v>849.97248500000001</v>
          </cell>
          <cell r="AS69">
            <v>89.986499999999992</v>
          </cell>
          <cell r="AU69">
            <v>18.39724</v>
          </cell>
          <cell r="AV69">
            <v>19.997</v>
          </cell>
          <cell r="AW69">
            <v>20.57328</v>
          </cell>
          <cell r="AX69">
            <v>9.8721600000000009</v>
          </cell>
          <cell r="AY69">
            <v>158.82618000000002</v>
          </cell>
          <cell r="AZ69">
            <v>1158.6761799999999</v>
          </cell>
          <cell r="BA69">
            <v>83.287504999999996</v>
          </cell>
          <cell r="BB69">
            <v>71.82884833333334</v>
          </cell>
          <cell r="BC69">
            <v>152.07103000000001</v>
          </cell>
          <cell r="BD69">
            <v>307.18738333333334</v>
          </cell>
          <cell r="BE69">
            <v>1465.8635633333333</v>
          </cell>
          <cell r="BF69">
            <v>69.803026825396827</v>
          </cell>
          <cell r="BG69">
            <v>277.87829150237593</v>
          </cell>
        </row>
        <row r="70">
          <cell r="A70">
            <v>62</v>
          </cell>
          <cell r="B70">
            <v>62</v>
          </cell>
          <cell r="C70" t="str">
            <v>QUISPE ALVAREZ, Edgar</v>
          </cell>
          <cell r="D70" t="str">
            <v>OPERADOR DE RAPTOR</v>
          </cell>
          <cell r="E70">
            <v>38804</v>
          </cell>
          <cell r="H70" t="str">
            <v>04074113</v>
          </cell>
          <cell r="I70">
            <v>40.99</v>
          </cell>
          <cell r="J70">
            <v>5.1237500000000002</v>
          </cell>
          <cell r="K70" t="str">
            <v>UNION</v>
          </cell>
          <cell r="L70">
            <v>20</v>
          </cell>
          <cell r="M70">
            <v>4.4000000000000004</v>
          </cell>
          <cell r="O70">
            <v>2</v>
          </cell>
          <cell r="P70">
            <v>44</v>
          </cell>
          <cell r="Q70">
            <v>819.80000000000007</v>
          </cell>
          <cell r="R70">
            <v>180.35600000000002</v>
          </cell>
          <cell r="S70">
            <v>0</v>
          </cell>
          <cell r="T70">
            <v>81.98</v>
          </cell>
          <cell r="U70">
            <v>281.80625000000003</v>
          </cell>
          <cell r="V70">
            <v>44</v>
          </cell>
          <cell r="AB70">
            <v>1407.9422500000001</v>
          </cell>
          <cell r="AC70">
            <v>0</v>
          </cell>
          <cell r="AD70">
            <v>168.95307</v>
          </cell>
          <cell r="AE70">
            <v>12.671480250000002</v>
          </cell>
          <cell r="AF70">
            <v>27.314079650000004</v>
          </cell>
          <cell r="AH70">
            <v>208.9386299</v>
          </cell>
          <cell r="AJ70">
            <v>208.9386299</v>
          </cell>
          <cell r="AL70">
            <v>1199.0036201</v>
          </cell>
          <cell r="AN70">
            <v>36</v>
          </cell>
          <cell r="AO70">
            <v>36</v>
          </cell>
          <cell r="AR70">
            <v>1163.0036201</v>
          </cell>
          <cell r="AS70">
            <v>126.7148025</v>
          </cell>
          <cell r="AU70">
            <v>25.906137400000002</v>
          </cell>
          <cell r="AV70">
            <v>28.158845000000003</v>
          </cell>
          <cell r="AW70">
            <v>33.570810000000002</v>
          </cell>
          <cell r="AX70">
            <v>16.109070000000003</v>
          </cell>
          <cell r="AY70">
            <v>230.45966490000001</v>
          </cell>
          <cell r="AZ70">
            <v>1638.4019149000001</v>
          </cell>
          <cell r="BA70">
            <v>117.28158942500001</v>
          </cell>
          <cell r="BB70">
            <v>106.21797207499999</v>
          </cell>
          <cell r="BC70">
            <v>218.76594415</v>
          </cell>
          <cell r="BD70">
            <v>442.26550565000002</v>
          </cell>
          <cell r="BE70">
            <v>2080.6674205500003</v>
          </cell>
          <cell r="BF70">
            <v>104.03337102750001</v>
          </cell>
          <cell r="BG70">
            <v>253.80183222127349</v>
          </cell>
        </row>
        <row r="71">
          <cell r="A71">
            <v>63</v>
          </cell>
          <cell r="B71">
            <v>63</v>
          </cell>
          <cell r="C71" t="str">
            <v>RAMOS DAGA, Oscar Javier</v>
          </cell>
          <cell r="D71" t="str">
            <v>CARGADOR  DISPARADOR 2</v>
          </cell>
          <cell r="E71">
            <v>38756</v>
          </cell>
          <cell r="H71" t="str">
            <v>04041185</v>
          </cell>
          <cell r="I71">
            <v>35.700000000000003</v>
          </cell>
          <cell r="J71">
            <v>4.4625000000000004</v>
          </cell>
          <cell r="K71" t="str">
            <v>UNION</v>
          </cell>
          <cell r="L71">
            <v>15</v>
          </cell>
          <cell r="M71">
            <v>3.6</v>
          </cell>
          <cell r="O71">
            <v>3</v>
          </cell>
          <cell r="P71">
            <v>36</v>
          </cell>
          <cell r="Q71">
            <v>535.5</v>
          </cell>
          <cell r="R71">
            <v>128.52000000000001</v>
          </cell>
          <cell r="S71">
            <v>0</v>
          </cell>
          <cell r="T71">
            <v>107.10000000000001</v>
          </cell>
          <cell r="U71">
            <v>200.8125</v>
          </cell>
          <cell r="V71">
            <v>36.000000000000007</v>
          </cell>
          <cell r="AB71">
            <v>1007.9325</v>
          </cell>
          <cell r="AC71">
            <v>0</v>
          </cell>
          <cell r="AD71">
            <v>120.95189999999999</v>
          </cell>
          <cell r="AE71">
            <v>9.0713925000000017</v>
          </cell>
          <cell r="AF71">
            <v>19.553890500000001</v>
          </cell>
          <cell r="AH71">
            <v>149.57718299999999</v>
          </cell>
          <cell r="AJ71">
            <v>149.57718299999999</v>
          </cell>
          <cell r="AL71">
            <v>858.35531700000001</v>
          </cell>
          <cell r="AN71">
            <v>61.5</v>
          </cell>
          <cell r="AO71">
            <v>61.5</v>
          </cell>
          <cell r="AR71">
            <v>796.85531700000001</v>
          </cell>
          <cell r="AS71">
            <v>90.713925000000003</v>
          </cell>
          <cell r="AU71">
            <v>18.545957999999999</v>
          </cell>
          <cell r="AV71">
            <v>20.158650000000002</v>
          </cell>
          <cell r="AW71">
            <v>29.238300000000002</v>
          </cell>
          <cell r="AX71">
            <v>14.030100000000001</v>
          </cell>
          <cell r="AY71">
            <v>172.68693300000001</v>
          </cell>
          <cell r="AZ71">
            <v>1180.6194330000001</v>
          </cell>
          <cell r="BA71">
            <v>83.960777249999992</v>
          </cell>
          <cell r="BB71">
            <v>72.725577749999999</v>
          </cell>
          <cell r="BC71">
            <v>157.30115550000002</v>
          </cell>
          <cell r="BD71">
            <v>313.98751049999998</v>
          </cell>
          <cell r="BE71">
            <v>1494.6069434999999</v>
          </cell>
          <cell r="BF71">
            <v>99.640462900000003</v>
          </cell>
          <cell r="BG71">
            <v>279.10493809523808</v>
          </cell>
        </row>
        <row r="72">
          <cell r="A72">
            <v>64</v>
          </cell>
          <cell r="B72">
            <v>64</v>
          </cell>
          <cell r="C72" t="str">
            <v>RAYMUNDO ARANA, Roberto</v>
          </cell>
          <cell r="D72" t="str">
            <v>AYUDANTE PERFORISTA</v>
          </cell>
          <cell r="E72">
            <v>38885</v>
          </cell>
          <cell r="F72" t="str">
            <v>Nuevo</v>
          </cell>
          <cell r="H72" t="str">
            <v>20108044</v>
          </cell>
          <cell r="I72">
            <v>25.12</v>
          </cell>
          <cell r="J72">
            <v>3.14</v>
          </cell>
          <cell r="K72" t="str">
            <v>ONP</v>
          </cell>
          <cell r="L72">
            <v>11</v>
          </cell>
          <cell r="M72">
            <v>2.2000000000000002</v>
          </cell>
          <cell r="P72">
            <v>22</v>
          </cell>
          <cell r="Q72">
            <v>276.32</v>
          </cell>
          <cell r="R72">
            <v>55.26400000000001</v>
          </cell>
          <cell r="S72">
            <v>0</v>
          </cell>
          <cell r="T72">
            <v>0</v>
          </cell>
          <cell r="U72">
            <v>86.35</v>
          </cell>
          <cell r="AB72">
            <v>417.93399999999997</v>
          </cell>
          <cell r="AC72">
            <v>54.331420000000001</v>
          </cell>
          <cell r="AD72">
            <v>0</v>
          </cell>
          <cell r="AE72">
            <v>0</v>
          </cell>
          <cell r="AF72">
            <v>0</v>
          </cell>
          <cell r="AH72">
            <v>54.331420000000001</v>
          </cell>
          <cell r="AJ72">
            <v>54.331420000000001</v>
          </cell>
          <cell r="AL72">
            <v>363.60257999999999</v>
          </cell>
          <cell r="AO72">
            <v>0</v>
          </cell>
          <cell r="AR72">
            <v>363.60257999999999</v>
          </cell>
          <cell r="AS72">
            <v>37.614059999999995</v>
          </cell>
          <cell r="AU72">
            <v>7.6899855999999991</v>
          </cell>
          <cell r="AV72">
            <v>0</v>
          </cell>
          <cell r="AW72">
            <v>20.57328</v>
          </cell>
          <cell r="AX72">
            <v>9.8721600000000009</v>
          </cell>
          <cell r="AY72">
            <v>75.749485599999986</v>
          </cell>
          <cell r="AZ72">
            <v>493.68348559999993</v>
          </cell>
          <cell r="BA72">
            <v>34.813902199999994</v>
          </cell>
          <cell r="BB72">
            <v>33.944457133333337</v>
          </cell>
          <cell r="BC72">
            <v>67.888914266666674</v>
          </cell>
          <cell r="BD72">
            <v>136.64727360000001</v>
          </cell>
          <cell r="BE72">
            <v>630.33075919999987</v>
          </cell>
          <cell r="BF72">
            <v>57.302796290909079</v>
          </cell>
          <cell r="BG72">
            <v>228.1162272727272</v>
          </cell>
        </row>
        <row r="73">
          <cell r="A73">
            <v>65</v>
          </cell>
          <cell r="B73">
            <v>65</v>
          </cell>
          <cell r="C73" t="str">
            <v>REYES PAREDES, Isidro</v>
          </cell>
          <cell r="D73" t="str">
            <v>PERFORISTA 1</v>
          </cell>
          <cell r="E73">
            <v>38757</v>
          </cell>
          <cell r="H73" t="str">
            <v>80049876</v>
          </cell>
          <cell r="I73">
            <v>35.700000000000003</v>
          </cell>
          <cell r="J73">
            <v>4.4625000000000004</v>
          </cell>
          <cell r="K73" t="str">
            <v>PROFUTURO</v>
          </cell>
          <cell r="L73">
            <v>21</v>
          </cell>
          <cell r="M73">
            <v>5</v>
          </cell>
          <cell r="O73">
            <v>4</v>
          </cell>
          <cell r="P73">
            <v>50</v>
          </cell>
          <cell r="Q73">
            <v>749.7</v>
          </cell>
          <cell r="R73">
            <v>178.5</v>
          </cell>
          <cell r="S73">
            <v>0</v>
          </cell>
          <cell r="T73">
            <v>142.80000000000001</v>
          </cell>
          <cell r="U73">
            <v>278.90625000000006</v>
          </cell>
          <cell r="V73">
            <v>50</v>
          </cell>
          <cell r="AB73">
            <v>1399.90625</v>
          </cell>
          <cell r="AC73">
            <v>0</v>
          </cell>
          <cell r="AD73">
            <v>167.98874999999998</v>
          </cell>
          <cell r="AE73">
            <v>14.139053125</v>
          </cell>
          <cell r="AF73">
            <v>27.718143749999996</v>
          </cell>
          <cell r="AH73">
            <v>209.84594687499998</v>
          </cell>
          <cell r="AJ73">
            <v>209.84594687499998</v>
          </cell>
          <cell r="AL73">
            <v>1190.060303125</v>
          </cell>
          <cell r="AO73">
            <v>0</v>
          </cell>
          <cell r="AR73">
            <v>1190.060303125</v>
          </cell>
          <cell r="AS73">
            <v>125.9915625</v>
          </cell>
          <cell r="AU73">
            <v>25.758275000000001</v>
          </cell>
          <cell r="AV73">
            <v>27.998125000000002</v>
          </cell>
          <cell r="AW73">
            <v>29.238300000000002</v>
          </cell>
          <cell r="AX73">
            <v>14.030100000000001</v>
          </cell>
          <cell r="AY73">
            <v>223.01636250000004</v>
          </cell>
          <cell r="AZ73">
            <v>1622.9226125</v>
          </cell>
          <cell r="BA73">
            <v>116.612190625</v>
          </cell>
          <cell r="BB73">
            <v>100.10136354166667</v>
          </cell>
          <cell r="BC73">
            <v>215.66939375000001</v>
          </cell>
          <cell r="BD73">
            <v>432.38294791666669</v>
          </cell>
          <cell r="BE73">
            <v>2055.3055604166666</v>
          </cell>
          <cell r="BF73">
            <v>97.871693353174607</v>
          </cell>
          <cell r="BG73">
            <v>274.15040154950867</v>
          </cell>
        </row>
        <row r="74">
          <cell r="A74">
            <v>66</v>
          </cell>
          <cell r="B74">
            <v>66</v>
          </cell>
          <cell r="C74" t="str">
            <v>ROJAS MARTEL, Percy</v>
          </cell>
          <cell r="D74" t="str">
            <v>AYUDANTE SHOTCRETERO</v>
          </cell>
          <cell r="E74">
            <v>38777</v>
          </cell>
          <cell r="H74" t="str">
            <v>42163439</v>
          </cell>
          <cell r="I74">
            <v>25.12</v>
          </cell>
          <cell r="J74">
            <v>3.14</v>
          </cell>
          <cell r="K74" t="str">
            <v>INTEGRA</v>
          </cell>
          <cell r="L74">
            <v>22</v>
          </cell>
          <cell r="M74">
            <v>4.6000000000000005</v>
          </cell>
          <cell r="O74">
            <v>1</v>
          </cell>
          <cell r="P74">
            <v>46</v>
          </cell>
          <cell r="Q74">
            <v>552.64</v>
          </cell>
          <cell r="R74">
            <v>115.55200000000002</v>
          </cell>
          <cell r="S74">
            <v>0</v>
          </cell>
          <cell r="T74">
            <v>25.12</v>
          </cell>
          <cell r="U74">
            <v>180.55</v>
          </cell>
          <cell r="V74">
            <v>46.000000000000007</v>
          </cell>
          <cell r="AB74">
            <v>919.86200000000008</v>
          </cell>
          <cell r="AC74">
            <v>0</v>
          </cell>
          <cell r="AD74">
            <v>110.38344000000001</v>
          </cell>
          <cell r="AE74">
            <v>8.0947856000000016</v>
          </cell>
          <cell r="AF74">
            <v>16.557516000000003</v>
          </cell>
          <cell r="AH74">
            <v>135.03574159999999</v>
          </cell>
          <cell r="AJ74">
            <v>135.03574159999999</v>
          </cell>
          <cell r="AL74">
            <v>784.82625840000014</v>
          </cell>
          <cell r="AN74">
            <v>2.5</v>
          </cell>
          <cell r="AO74">
            <v>2.5</v>
          </cell>
          <cell r="AR74">
            <v>782.32625840000014</v>
          </cell>
          <cell r="AS74">
            <v>82.787580000000005</v>
          </cell>
          <cell r="AU74">
            <v>16.9254608</v>
          </cell>
          <cell r="AV74">
            <v>18.397240000000004</v>
          </cell>
          <cell r="AW74">
            <v>20.57328</v>
          </cell>
          <cell r="AX74">
            <v>9.8721600000000009</v>
          </cell>
          <cell r="AY74">
            <v>148.55572080000002</v>
          </cell>
          <cell r="AZ74">
            <v>1068.4177208000001</v>
          </cell>
          <cell r="BA74">
            <v>76.624504600000009</v>
          </cell>
          <cell r="BB74">
            <v>71.895643399999997</v>
          </cell>
          <cell r="BC74">
            <v>140.3112868</v>
          </cell>
          <cell r="BD74">
            <v>288.83143480000001</v>
          </cell>
          <cell r="BE74">
            <v>1357.2491556</v>
          </cell>
          <cell r="BF74">
            <v>61.693143436363634</v>
          </cell>
          <cell r="BG74">
            <v>245.59372387087436</v>
          </cell>
        </row>
        <row r="75">
          <cell r="A75">
            <v>67</v>
          </cell>
          <cell r="B75">
            <v>67</v>
          </cell>
          <cell r="C75" t="str">
            <v>ROMAN CRISTOBAL,Moises</v>
          </cell>
          <cell r="D75" t="str">
            <v>AYUDANTE SHOTCRETERO</v>
          </cell>
          <cell r="E75">
            <v>38881</v>
          </cell>
          <cell r="F75" t="str">
            <v>Nuevo</v>
          </cell>
          <cell r="H75" t="str">
            <v>41005939</v>
          </cell>
          <cell r="I75">
            <v>25.12</v>
          </cell>
          <cell r="J75">
            <v>3.14</v>
          </cell>
          <cell r="K75" t="str">
            <v>ONP</v>
          </cell>
          <cell r="L75">
            <v>15</v>
          </cell>
          <cell r="M75">
            <v>3</v>
          </cell>
          <cell r="P75">
            <v>30</v>
          </cell>
          <cell r="Q75">
            <v>376.8</v>
          </cell>
          <cell r="R75">
            <v>75.36</v>
          </cell>
          <cell r="S75">
            <v>0</v>
          </cell>
          <cell r="T75">
            <v>0</v>
          </cell>
          <cell r="U75">
            <v>117.75</v>
          </cell>
          <cell r="AB75">
            <v>569.91000000000008</v>
          </cell>
          <cell r="AC75">
            <v>74.088300000000018</v>
          </cell>
          <cell r="AD75">
            <v>0</v>
          </cell>
          <cell r="AE75">
            <v>0</v>
          </cell>
          <cell r="AF75">
            <v>0</v>
          </cell>
          <cell r="AH75">
            <v>74.088300000000018</v>
          </cell>
          <cell r="AJ75">
            <v>74.088300000000018</v>
          </cell>
          <cell r="AL75">
            <v>495.82170000000008</v>
          </cell>
          <cell r="AN75">
            <v>133.5</v>
          </cell>
          <cell r="AO75">
            <v>133.5</v>
          </cell>
          <cell r="AR75">
            <v>362.32170000000008</v>
          </cell>
          <cell r="AS75">
            <v>51.291900000000005</v>
          </cell>
          <cell r="AU75">
            <v>10.486344000000001</v>
          </cell>
          <cell r="AV75">
            <v>0</v>
          </cell>
          <cell r="AW75">
            <v>20.57328</v>
          </cell>
          <cell r="AX75">
            <v>9.8721600000000009</v>
          </cell>
          <cell r="AY75">
            <v>92.22368400000002</v>
          </cell>
          <cell r="AZ75">
            <v>662.13368400000013</v>
          </cell>
          <cell r="BA75">
            <v>47.473503000000008</v>
          </cell>
          <cell r="BB75">
            <v>45.365307000000001</v>
          </cell>
          <cell r="BC75">
            <v>90.730614000000003</v>
          </cell>
          <cell r="BD75">
            <v>183.56942400000003</v>
          </cell>
          <cell r="BE75">
            <v>845.70310800000016</v>
          </cell>
          <cell r="BF75">
            <v>56.380207200000008</v>
          </cell>
          <cell r="BG75">
            <v>224.44350000000003</v>
          </cell>
        </row>
        <row r="76">
          <cell r="A76">
            <v>68</v>
          </cell>
          <cell r="B76">
            <v>68</v>
          </cell>
          <cell r="C76" t="str">
            <v>ROMERO ECHEVARRIA, Miguel Angel</v>
          </cell>
          <cell r="D76" t="str">
            <v>CARGADOR/DISPARADOR 1</v>
          </cell>
          <cell r="E76">
            <v>38761</v>
          </cell>
          <cell r="H76" t="str">
            <v>09666053</v>
          </cell>
          <cell r="I76">
            <v>35.700000000000003</v>
          </cell>
          <cell r="J76">
            <v>4.4625000000000004</v>
          </cell>
          <cell r="K76" t="str">
            <v>INTEGRA</v>
          </cell>
          <cell r="L76">
            <v>22</v>
          </cell>
          <cell r="M76">
            <v>4.6000000000000005</v>
          </cell>
          <cell r="O76">
            <v>1</v>
          </cell>
          <cell r="P76">
            <v>46</v>
          </cell>
          <cell r="Q76">
            <v>785.40000000000009</v>
          </cell>
          <cell r="R76">
            <v>164.22000000000003</v>
          </cell>
          <cell r="S76">
            <v>0</v>
          </cell>
          <cell r="T76">
            <v>35.700000000000003</v>
          </cell>
          <cell r="U76">
            <v>256.59375</v>
          </cell>
          <cell r="V76">
            <v>46.000000000000007</v>
          </cell>
          <cell r="AB76">
            <v>1287.9137500000002</v>
          </cell>
          <cell r="AC76">
            <v>0</v>
          </cell>
          <cell r="AD76">
            <v>154.54965000000001</v>
          </cell>
          <cell r="AE76">
            <v>11.333641000000002</v>
          </cell>
          <cell r="AF76">
            <v>23.182447500000006</v>
          </cell>
          <cell r="AH76">
            <v>189.06573850000001</v>
          </cell>
          <cell r="AJ76">
            <v>189.06573850000001</v>
          </cell>
          <cell r="AL76">
            <v>1098.8480115000002</v>
          </cell>
          <cell r="AO76">
            <v>0</v>
          </cell>
          <cell r="AR76">
            <v>1098.8480115000002</v>
          </cell>
          <cell r="AS76">
            <v>115.9122375</v>
          </cell>
          <cell r="AU76">
            <v>23.697613000000004</v>
          </cell>
          <cell r="AV76">
            <v>25.758275000000005</v>
          </cell>
          <cell r="AW76">
            <v>29.238300000000002</v>
          </cell>
          <cell r="AX76">
            <v>14.030100000000001</v>
          </cell>
          <cell r="AY76">
            <v>208.6365255</v>
          </cell>
          <cell r="AZ76">
            <v>1496.5502755000002</v>
          </cell>
          <cell r="BA76">
            <v>107.28321537500001</v>
          </cell>
          <cell r="BB76">
            <v>100.35471045833334</v>
          </cell>
          <cell r="BC76">
            <v>198.99275425000005</v>
          </cell>
          <cell r="BD76">
            <v>406.6306800833334</v>
          </cell>
          <cell r="BE76">
            <v>1903.1809555833336</v>
          </cell>
          <cell r="BF76">
            <v>86.508225253787884</v>
          </cell>
          <cell r="BG76">
            <v>242.31995869408368</v>
          </cell>
        </row>
        <row r="77">
          <cell r="A77">
            <v>69</v>
          </cell>
          <cell r="B77">
            <v>69</v>
          </cell>
          <cell r="C77" t="str">
            <v>ROSAS SALAS, Reynaldo Ruben</v>
          </cell>
          <cell r="D77" t="str">
            <v>OPERADOR SCOOPTRAMS 2</v>
          </cell>
          <cell r="E77">
            <v>38765</v>
          </cell>
          <cell r="H77" t="str">
            <v>04041600</v>
          </cell>
          <cell r="I77">
            <v>35.700000000000003</v>
          </cell>
          <cell r="J77">
            <v>4.4625000000000004</v>
          </cell>
          <cell r="K77" t="str">
            <v>PROFUTURO</v>
          </cell>
          <cell r="L77">
            <v>22</v>
          </cell>
          <cell r="M77">
            <v>5</v>
          </cell>
          <cell r="O77">
            <v>3</v>
          </cell>
          <cell r="P77">
            <v>50</v>
          </cell>
          <cell r="Q77">
            <v>785.40000000000009</v>
          </cell>
          <cell r="R77">
            <v>178.5</v>
          </cell>
          <cell r="S77">
            <v>0</v>
          </cell>
          <cell r="T77">
            <v>107.10000000000001</v>
          </cell>
          <cell r="U77">
            <v>278.90625000000006</v>
          </cell>
          <cell r="V77">
            <v>50</v>
          </cell>
          <cell r="AB77">
            <v>1399.90625</v>
          </cell>
          <cell r="AC77">
            <v>0</v>
          </cell>
          <cell r="AD77">
            <v>167.98874999999998</v>
          </cell>
          <cell r="AE77">
            <v>14.139053125</v>
          </cell>
          <cell r="AF77">
            <v>27.718143749999996</v>
          </cell>
          <cell r="AH77">
            <v>209.84594687499998</v>
          </cell>
          <cell r="AJ77">
            <v>209.84594687499998</v>
          </cell>
          <cell r="AL77">
            <v>1190.060303125</v>
          </cell>
          <cell r="AN77">
            <v>2.5</v>
          </cell>
          <cell r="AO77">
            <v>2.5</v>
          </cell>
          <cell r="AR77">
            <v>1187.560303125</v>
          </cell>
          <cell r="AS77">
            <v>125.9915625</v>
          </cell>
          <cell r="AU77">
            <v>25.758275000000001</v>
          </cell>
          <cell r="AV77">
            <v>27.998125000000002</v>
          </cell>
          <cell r="AW77">
            <v>29.238300000000002</v>
          </cell>
          <cell r="AX77">
            <v>14.030100000000001</v>
          </cell>
          <cell r="AY77">
            <v>223.01636250000004</v>
          </cell>
          <cell r="AZ77">
            <v>1622.9226125</v>
          </cell>
          <cell r="BA77">
            <v>116.612190625</v>
          </cell>
          <cell r="BB77">
            <v>103.07636354166668</v>
          </cell>
          <cell r="BC77">
            <v>215.66939375000001</v>
          </cell>
          <cell r="BD77">
            <v>435.35794791666672</v>
          </cell>
          <cell r="BE77">
            <v>2058.280560416667</v>
          </cell>
          <cell r="BF77">
            <v>93.558207291666676</v>
          </cell>
          <cell r="BG77">
            <v>262.06780753968258</v>
          </cell>
        </row>
        <row r="78">
          <cell r="A78">
            <v>70</v>
          </cell>
          <cell r="B78">
            <v>70</v>
          </cell>
          <cell r="C78" t="str">
            <v>SACHAHUAMAN RIVERA, Percy  Luis</v>
          </cell>
          <cell r="D78" t="str">
            <v>OPERADOR JUMBO 1</v>
          </cell>
          <cell r="E78">
            <v>38768</v>
          </cell>
          <cell r="H78" t="str">
            <v>19895983</v>
          </cell>
          <cell r="I78">
            <v>46.28</v>
          </cell>
          <cell r="J78">
            <v>5.7850000000000001</v>
          </cell>
          <cell r="K78" t="str">
            <v>PROFUTURO</v>
          </cell>
          <cell r="L78">
            <v>21</v>
          </cell>
          <cell r="M78">
            <v>5</v>
          </cell>
          <cell r="O78">
            <v>4</v>
          </cell>
          <cell r="P78">
            <v>50</v>
          </cell>
          <cell r="Q78">
            <v>971.88</v>
          </cell>
          <cell r="R78">
            <v>231.4</v>
          </cell>
          <cell r="S78">
            <v>0</v>
          </cell>
          <cell r="T78">
            <v>185.12</v>
          </cell>
          <cell r="U78">
            <v>361.5625</v>
          </cell>
          <cell r="V78">
            <v>50</v>
          </cell>
          <cell r="AB78">
            <v>1799.9625000000001</v>
          </cell>
          <cell r="AC78">
            <v>0</v>
          </cell>
          <cell r="AD78">
            <v>215.99549999999999</v>
          </cell>
          <cell r="AE78">
            <v>18.17962125</v>
          </cell>
          <cell r="AF78">
            <v>35.639257499999999</v>
          </cell>
          <cell r="AH78">
            <v>269.81437875</v>
          </cell>
          <cell r="AJ78">
            <v>269.81437875</v>
          </cell>
          <cell r="AL78">
            <v>1530.14812125</v>
          </cell>
          <cell r="AO78">
            <v>0</v>
          </cell>
          <cell r="AR78">
            <v>1530.14812125</v>
          </cell>
          <cell r="AS78">
            <v>161.99662499999999</v>
          </cell>
          <cell r="AU78">
            <v>33.119309999999999</v>
          </cell>
          <cell r="AV78">
            <v>35.999250000000004</v>
          </cell>
          <cell r="AW78">
            <v>37.903320000000008</v>
          </cell>
          <cell r="AX78">
            <v>18.188040000000001</v>
          </cell>
          <cell r="AY78">
            <v>287.20654500000001</v>
          </cell>
          <cell r="AZ78">
            <v>2087.1690450000001</v>
          </cell>
          <cell r="BA78">
            <v>149.93687625000001</v>
          </cell>
          <cell r="BB78">
            <v>128.37387874999999</v>
          </cell>
          <cell r="BC78">
            <v>279.26775750000002</v>
          </cell>
          <cell r="BD78">
            <v>557.57851249999999</v>
          </cell>
          <cell r="BE78">
            <v>2644.7475574999999</v>
          </cell>
          <cell r="BF78">
            <v>125.94035988095237</v>
          </cell>
          <cell r="BG78">
            <v>272.12696603490139</v>
          </cell>
        </row>
        <row r="79">
          <cell r="A79">
            <v>71</v>
          </cell>
          <cell r="B79">
            <v>71</v>
          </cell>
          <cell r="C79" t="str">
            <v>SALAZAR CALIXTO, Celiciano</v>
          </cell>
          <cell r="D79" t="str">
            <v>OPERADOR SCOOPTRAMS 1</v>
          </cell>
          <cell r="E79">
            <v>38817</v>
          </cell>
          <cell r="G79">
            <v>26288</v>
          </cell>
          <cell r="H79" t="str">
            <v>04206973</v>
          </cell>
          <cell r="I79">
            <v>38.35</v>
          </cell>
          <cell r="J79">
            <v>4.7937500000000002</v>
          </cell>
          <cell r="K79" t="str">
            <v>UNION</v>
          </cell>
          <cell r="L79">
            <v>21</v>
          </cell>
          <cell r="M79">
            <v>5</v>
          </cell>
          <cell r="O79">
            <v>4</v>
          </cell>
          <cell r="P79">
            <v>52</v>
          </cell>
          <cell r="Q79">
            <v>805.35</v>
          </cell>
          <cell r="R79">
            <v>191.75</v>
          </cell>
          <cell r="S79">
            <v>0</v>
          </cell>
          <cell r="T79">
            <v>153.4</v>
          </cell>
          <cell r="U79">
            <v>311.59375</v>
          </cell>
          <cell r="V79">
            <v>50</v>
          </cell>
          <cell r="AB79">
            <v>1512.09375</v>
          </cell>
          <cell r="AC79">
            <v>0</v>
          </cell>
          <cell r="AD79">
            <v>181.45124999999999</v>
          </cell>
          <cell r="AE79">
            <v>13.608843750000002</v>
          </cell>
          <cell r="AF79">
            <v>29.334618750000001</v>
          </cell>
          <cell r="AH79">
            <v>224.3947125</v>
          </cell>
          <cell r="AJ79">
            <v>224.3947125</v>
          </cell>
          <cell r="AL79">
            <v>1287.6990375</v>
          </cell>
          <cell r="AN79">
            <v>247</v>
          </cell>
          <cell r="AO79">
            <v>247</v>
          </cell>
          <cell r="AR79">
            <v>1040.6990375</v>
          </cell>
          <cell r="AS79">
            <v>136.0884375</v>
          </cell>
          <cell r="AU79">
            <v>27.822524999999999</v>
          </cell>
          <cell r="AV79">
            <v>30.241875</v>
          </cell>
          <cell r="AW79">
            <v>31.408650000000002</v>
          </cell>
          <cell r="AX79">
            <v>15.07155</v>
          </cell>
          <cell r="AY79">
            <v>240.63303749999997</v>
          </cell>
          <cell r="AZ79">
            <v>1752.7267875</v>
          </cell>
          <cell r="BA79">
            <v>125.957409375</v>
          </cell>
          <cell r="BB79">
            <v>107.31108645833332</v>
          </cell>
          <cell r="BC79">
            <v>231.85550624999999</v>
          </cell>
          <cell r="BD79">
            <v>465.12400208333327</v>
          </cell>
          <cell r="BE79">
            <v>2217.8507895833332</v>
          </cell>
          <cell r="BF79">
            <v>105.6119423611111</v>
          </cell>
          <cell r="BG79">
            <v>275.3896802115022</v>
          </cell>
        </row>
        <row r="80">
          <cell r="A80">
            <v>72</v>
          </cell>
          <cell r="B80">
            <v>72</v>
          </cell>
          <cell r="C80" t="str">
            <v>SALVADOR PEÑA, ANTHONY STEVE</v>
          </cell>
          <cell r="D80" t="str">
            <v>PRODUCTIVIDAD/C. AVANCES</v>
          </cell>
          <cell r="E80">
            <v>38756</v>
          </cell>
          <cell r="F80">
            <v>38869</v>
          </cell>
          <cell r="H80" t="str">
            <v>41975612</v>
          </cell>
          <cell r="I80">
            <v>40.99</v>
          </cell>
          <cell r="J80">
            <v>5.1237500000000002</v>
          </cell>
          <cell r="K80" t="str">
            <v>ONP</v>
          </cell>
          <cell r="L80">
            <v>0</v>
          </cell>
          <cell r="M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H80">
            <v>0</v>
          </cell>
          <cell r="AJ80">
            <v>0</v>
          </cell>
          <cell r="AL80">
            <v>0</v>
          </cell>
          <cell r="AO80">
            <v>0</v>
          </cell>
          <cell r="AR80">
            <v>0</v>
          </cell>
          <cell r="AS80">
            <v>0</v>
          </cell>
          <cell r="AU80">
            <v>0</v>
          </cell>
          <cell r="AV80">
            <v>0</v>
          </cell>
          <cell r="AW80">
            <v>33.570810000000002</v>
          </cell>
          <cell r="AX80">
            <v>16.109070000000003</v>
          </cell>
          <cell r="AY80">
            <v>49.679880000000004</v>
          </cell>
          <cell r="AZ80">
            <v>49.679880000000004</v>
          </cell>
          <cell r="BA80">
            <v>0</v>
          </cell>
          <cell r="BB80">
            <v>4.1399900000000001</v>
          </cell>
          <cell r="BC80">
            <v>8.2799800000000001</v>
          </cell>
          <cell r="BD80">
            <v>12.419969999999999</v>
          </cell>
          <cell r="BE80">
            <v>62.099850000000004</v>
          </cell>
          <cell r="BF80" t="e">
            <v>#DIV/0!</v>
          </cell>
          <cell r="BG80" t="e">
            <v>#DIV/0!</v>
          </cell>
        </row>
        <row r="81">
          <cell r="A81">
            <v>73</v>
          </cell>
          <cell r="B81">
            <v>73</v>
          </cell>
          <cell r="C81" t="str">
            <v>SALVADOR PEÑA, Javier</v>
          </cell>
          <cell r="D81" t="str">
            <v>AYUDANTE CARGADOR</v>
          </cell>
          <cell r="E81">
            <v>38861</v>
          </cell>
          <cell r="H81" t="str">
            <v>40928959</v>
          </cell>
          <cell r="I81">
            <v>25.12</v>
          </cell>
          <cell r="J81">
            <v>3.14</v>
          </cell>
          <cell r="K81" t="str">
            <v>PROFUTURO</v>
          </cell>
          <cell r="L81">
            <v>24</v>
          </cell>
          <cell r="M81">
            <v>5</v>
          </cell>
          <cell r="O81">
            <v>1</v>
          </cell>
          <cell r="P81">
            <v>50</v>
          </cell>
          <cell r="Q81">
            <v>602.88</v>
          </cell>
          <cell r="R81">
            <v>125.60000000000001</v>
          </cell>
          <cell r="S81">
            <v>0</v>
          </cell>
          <cell r="T81">
            <v>25.12</v>
          </cell>
          <cell r="U81">
            <v>196.25</v>
          </cell>
          <cell r="AB81">
            <v>949.85</v>
          </cell>
          <cell r="AC81">
            <v>0</v>
          </cell>
          <cell r="AD81">
            <v>113.982</v>
          </cell>
          <cell r="AE81">
            <v>9.5934849999999994</v>
          </cell>
          <cell r="AF81">
            <v>18.807029999999997</v>
          </cell>
          <cell r="AH81">
            <v>142.38251500000001</v>
          </cell>
          <cell r="AJ81">
            <v>142.38251500000001</v>
          </cell>
          <cell r="AL81">
            <v>807.46748500000001</v>
          </cell>
          <cell r="AO81">
            <v>0</v>
          </cell>
          <cell r="AR81">
            <v>807.46748500000001</v>
          </cell>
          <cell r="AS81">
            <v>85.486499999999992</v>
          </cell>
          <cell r="AU81">
            <v>17.477240000000002</v>
          </cell>
          <cell r="AV81">
            <v>18.997</v>
          </cell>
          <cell r="AW81">
            <v>20.57328</v>
          </cell>
          <cell r="AX81">
            <v>9.8721600000000009</v>
          </cell>
          <cell r="AY81">
            <v>152.40618000000001</v>
          </cell>
          <cell r="AZ81">
            <v>1102.2561800000001</v>
          </cell>
          <cell r="BA81">
            <v>79.122505000000004</v>
          </cell>
          <cell r="BB81">
            <v>73.407181666666659</v>
          </cell>
          <cell r="BC81">
            <v>151.00103000000001</v>
          </cell>
          <cell r="BD81">
            <v>303.53071666666665</v>
          </cell>
          <cell r="BE81">
            <v>1405.7868966666667</v>
          </cell>
          <cell r="BF81">
            <v>58.574454027777783</v>
          </cell>
          <cell r="BG81">
            <v>233.17855902777777</v>
          </cell>
        </row>
        <row r="82">
          <cell r="A82">
            <v>74</v>
          </cell>
          <cell r="B82">
            <v>74</v>
          </cell>
          <cell r="C82" t="str">
            <v>SINCHE ARRIETA, Kennyn</v>
          </cell>
          <cell r="D82" t="str">
            <v>AYUDANTE PERFORISTA</v>
          </cell>
          <cell r="E82">
            <v>38789</v>
          </cell>
          <cell r="H82" t="str">
            <v>42536761</v>
          </cell>
          <cell r="I82">
            <v>25.12</v>
          </cell>
          <cell r="J82">
            <v>3.14</v>
          </cell>
          <cell r="K82" t="str">
            <v>ONP</v>
          </cell>
          <cell r="L82">
            <v>17</v>
          </cell>
          <cell r="M82">
            <v>4.2</v>
          </cell>
          <cell r="O82">
            <v>4</v>
          </cell>
          <cell r="P82">
            <v>42</v>
          </cell>
          <cell r="Q82">
            <v>427.04</v>
          </cell>
          <cell r="R82">
            <v>105.504</v>
          </cell>
          <cell r="S82">
            <v>0</v>
          </cell>
          <cell r="T82">
            <v>100.48</v>
          </cell>
          <cell r="U82">
            <v>164.85</v>
          </cell>
          <cell r="V82">
            <v>42</v>
          </cell>
          <cell r="AB82">
            <v>839.87400000000002</v>
          </cell>
          <cell r="AC82">
            <v>109.18362</v>
          </cell>
          <cell r="AD82">
            <v>0</v>
          </cell>
          <cell r="AE82">
            <v>0</v>
          </cell>
          <cell r="AF82">
            <v>0</v>
          </cell>
          <cell r="AH82">
            <v>109.18362</v>
          </cell>
          <cell r="AJ82">
            <v>109.18362</v>
          </cell>
          <cell r="AL82">
            <v>730.69038</v>
          </cell>
          <cell r="AO82">
            <v>0</v>
          </cell>
          <cell r="AR82">
            <v>730.69038</v>
          </cell>
          <cell r="AS82">
            <v>75.588660000000004</v>
          </cell>
          <cell r="AU82">
            <v>15.453681599999999</v>
          </cell>
          <cell r="AV82">
            <v>0</v>
          </cell>
          <cell r="AW82">
            <v>20.57328</v>
          </cell>
          <cell r="AX82">
            <v>9.8721600000000009</v>
          </cell>
          <cell r="AY82">
            <v>121.48778160000001</v>
          </cell>
          <cell r="AZ82">
            <v>961.36178160000009</v>
          </cell>
          <cell r="BA82">
            <v>69.961504200000007</v>
          </cell>
          <cell r="BB82">
            <v>58.002648466666663</v>
          </cell>
          <cell r="BC82">
            <v>125.7519636</v>
          </cell>
          <cell r="BD82">
            <v>253.71611626666669</v>
          </cell>
          <cell r="BE82">
            <v>1215.0778978666667</v>
          </cell>
          <cell r="BF82">
            <v>71.475170462745098</v>
          </cell>
          <cell r="BG82">
            <v>284.53491426252026</v>
          </cell>
        </row>
        <row r="83">
          <cell r="A83">
            <v>75</v>
          </cell>
          <cell r="B83">
            <v>75</v>
          </cell>
          <cell r="C83" t="str">
            <v>SOTO ESPINOZA, GUILLERMO</v>
          </cell>
          <cell r="D83" t="str">
            <v>OPERDOR SCOOPTRAMS 2</v>
          </cell>
          <cell r="E83">
            <v>38761</v>
          </cell>
          <cell r="H83" t="str">
            <v>42022004</v>
          </cell>
          <cell r="I83">
            <v>38.35</v>
          </cell>
          <cell r="J83">
            <v>4.7937500000000002</v>
          </cell>
          <cell r="K83" t="str">
            <v>HORIZONTE</v>
          </cell>
          <cell r="L83">
            <v>18</v>
          </cell>
          <cell r="M83">
            <v>5</v>
          </cell>
          <cell r="O83">
            <v>7</v>
          </cell>
          <cell r="P83">
            <v>50</v>
          </cell>
          <cell r="Q83">
            <v>690.30000000000007</v>
          </cell>
          <cell r="R83">
            <v>191.75</v>
          </cell>
          <cell r="S83">
            <v>0</v>
          </cell>
          <cell r="T83">
            <v>268.45</v>
          </cell>
          <cell r="U83">
            <v>299.609375</v>
          </cell>
          <cell r="AB83">
            <v>1450.109375</v>
          </cell>
          <cell r="AC83">
            <v>0</v>
          </cell>
          <cell r="AD83">
            <v>174.013125</v>
          </cell>
          <cell r="AE83">
            <v>12.760962500000002</v>
          </cell>
          <cell r="AF83">
            <v>28.2771328125</v>
          </cell>
          <cell r="AH83">
            <v>215.05122031249999</v>
          </cell>
          <cell r="AJ83">
            <v>215.05122031249999</v>
          </cell>
          <cell r="AL83">
            <v>1235.0581546875001</v>
          </cell>
          <cell r="AM83">
            <v>183</v>
          </cell>
          <cell r="AN83">
            <v>4</v>
          </cell>
          <cell r="AO83">
            <v>187</v>
          </cell>
          <cell r="AR83">
            <v>1048.0581546875001</v>
          </cell>
          <cell r="AS83">
            <v>130.50984374999999</v>
          </cell>
          <cell r="AU83">
            <v>26.682012499999999</v>
          </cell>
          <cell r="AV83">
            <v>29.002187500000002</v>
          </cell>
          <cell r="AW83">
            <v>31.408650000000002</v>
          </cell>
          <cell r="AX83">
            <v>15.07155</v>
          </cell>
          <cell r="AY83">
            <v>232.67424374999999</v>
          </cell>
          <cell r="AZ83">
            <v>1682.78361875</v>
          </cell>
          <cell r="BA83">
            <v>120.79411093749999</v>
          </cell>
          <cell r="BB83">
            <v>92.893686979166674</v>
          </cell>
          <cell r="BC83">
            <v>230.52904062499999</v>
          </cell>
          <cell r="BD83">
            <v>444.21683854166668</v>
          </cell>
          <cell r="BE83">
            <v>2127.0004572916669</v>
          </cell>
          <cell r="BF83">
            <v>118.16669207175927</v>
          </cell>
          <cell r="BG83">
            <v>308.12696759259262</v>
          </cell>
        </row>
        <row r="84">
          <cell r="A84">
            <v>76</v>
          </cell>
          <cell r="B84">
            <v>76</v>
          </cell>
          <cell r="C84" t="str">
            <v>SOTO QUILCA, Marcelino</v>
          </cell>
          <cell r="D84" t="str">
            <v>PERFORISTA 1</v>
          </cell>
          <cell r="E84">
            <v>38888</v>
          </cell>
          <cell r="F84" t="str">
            <v>Nuevo</v>
          </cell>
          <cell r="H84" t="str">
            <v>23682615</v>
          </cell>
          <cell r="I84">
            <v>35.700000000000003</v>
          </cell>
          <cell r="J84">
            <v>4.4625000000000004</v>
          </cell>
          <cell r="K84" t="str">
            <v>ONP</v>
          </cell>
          <cell r="L84">
            <v>9</v>
          </cell>
          <cell r="M84">
            <v>1.8</v>
          </cell>
          <cell r="P84">
            <v>18</v>
          </cell>
          <cell r="Q84">
            <v>321.3</v>
          </cell>
          <cell r="R84">
            <v>64.260000000000005</v>
          </cell>
          <cell r="S84">
            <v>0</v>
          </cell>
          <cell r="T84">
            <v>0</v>
          </cell>
          <cell r="U84">
            <v>100.40625</v>
          </cell>
          <cell r="AB84">
            <v>485.96625</v>
          </cell>
          <cell r="AC84">
            <v>63.1756125</v>
          </cell>
          <cell r="AD84">
            <v>0</v>
          </cell>
          <cell r="AE84">
            <v>0</v>
          </cell>
          <cell r="AF84">
            <v>0</v>
          </cell>
          <cell r="AH84">
            <v>63.1756125</v>
          </cell>
          <cell r="AJ84">
            <v>63.1756125</v>
          </cell>
          <cell r="AL84">
            <v>422.7906375</v>
          </cell>
          <cell r="AO84">
            <v>0</v>
          </cell>
          <cell r="AR84">
            <v>422.7906375</v>
          </cell>
          <cell r="AS84">
            <v>43.736962499999997</v>
          </cell>
          <cell r="AU84">
            <v>8.9417790000000004</v>
          </cell>
          <cell r="AV84">
            <v>0</v>
          </cell>
          <cell r="AW84">
            <v>29.238300000000002</v>
          </cell>
          <cell r="AX84">
            <v>14.030100000000001</v>
          </cell>
          <cell r="AY84">
            <v>95.947141500000015</v>
          </cell>
          <cell r="AZ84">
            <v>581.91339149999999</v>
          </cell>
          <cell r="BA84">
            <v>40.480988625000002</v>
          </cell>
          <cell r="BB84">
            <v>40.125595124999997</v>
          </cell>
          <cell r="BC84">
            <v>80.251190249999993</v>
          </cell>
          <cell r="BD84">
            <v>160.85777400000001</v>
          </cell>
          <cell r="BE84">
            <v>742.77116550000005</v>
          </cell>
          <cell r="BF84">
            <v>82.530129500000001</v>
          </cell>
          <cell r="BG84">
            <v>231.17683333333332</v>
          </cell>
        </row>
        <row r="85">
          <cell r="A85">
            <v>77</v>
          </cell>
          <cell r="B85">
            <v>77</v>
          </cell>
          <cell r="C85" t="str">
            <v>SUASNAVAR CAQUI, Juan</v>
          </cell>
          <cell r="D85" t="str">
            <v>VIGILANTE</v>
          </cell>
          <cell r="E85">
            <v>38860</v>
          </cell>
          <cell r="H85" t="str">
            <v>41279132</v>
          </cell>
          <cell r="I85">
            <v>19.829999999999998</v>
          </cell>
          <cell r="J85">
            <v>2.4787499999999998</v>
          </cell>
          <cell r="K85" t="str">
            <v>INTEGRA</v>
          </cell>
          <cell r="L85">
            <v>25</v>
          </cell>
          <cell r="M85">
            <v>5</v>
          </cell>
          <cell r="P85">
            <v>50</v>
          </cell>
          <cell r="Q85">
            <v>495.74999999999994</v>
          </cell>
          <cell r="R85">
            <v>99.149999999999991</v>
          </cell>
          <cell r="S85">
            <v>0</v>
          </cell>
          <cell r="T85">
            <v>0</v>
          </cell>
          <cell r="U85">
            <v>154.92187499999997</v>
          </cell>
          <cell r="AB85">
            <v>749.82187499999998</v>
          </cell>
          <cell r="AC85">
            <v>0</v>
          </cell>
          <cell r="AD85">
            <v>89.978624999999994</v>
          </cell>
          <cell r="AE85">
            <v>6.5984325000000004</v>
          </cell>
          <cell r="AF85">
            <v>13.496793750000002</v>
          </cell>
          <cell r="AH85">
            <v>110.07385124999999</v>
          </cell>
          <cell r="AJ85">
            <v>110.07385124999999</v>
          </cell>
          <cell r="AL85">
            <v>639.74802375000002</v>
          </cell>
          <cell r="AN85">
            <v>12</v>
          </cell>
          <cell r="AO85">
            <v>12</v>
          </cell>
          <cell r="AR85">
            <v>627.74802375000002</v>
          </cell>
          <cell r="AS85">
            <v>67.483968750000003</v>
          </cell>
          <cell r="AU85">
            <v>13.7967225</v>
          </cell>
          <cell r="AV85">
            <v>14.996437499999999</v>
          </cell>
          <cell r="AW85">
            <v>16.240770000000001</v>
          </cell>
          <cell r="AX85">
            <v>7.7931900000000001</v>
          </cell>
          <cell r="AY85">
            <v>120.31108875</v>
          </cell>
          <cell r="AZ85">
            <v>870.13296374999993</v>
          </cell>
          <cell r="BA85">
            <v>62.460162187499996</v>
          </cell>
          <cell r="BB85">
            <v>59.600924062499992</v>
          </cell>
          <cell r="BC85">
            <v>119.20184812499998</v>
          </cell>
          <cell r="BD85">
            <v>241.26293437499999</v>
          </cell>
          <cell r="BE85">
            <v>1111.3958981249998</v>
          </cell>
          <cell r="BF85">
            <v>44.455835924999995</v>
          </cell>
          <cell r="BG85">
            <v>224.18475000000001</v>
          </cell>
        </row>
        <row r="86">
          <cell r="A86">
            <v>78</v>
          </cell>
          <cell r="B86">
            <v>78</v>
          </cell>
          <cell r="C86" t="str">
            <v>TANCHIVA MAMOLADA, Alex</v>
          </cell>
          <cell r="D86" t="str">
            <v>BODEGUERO</v>
          </cell>
          <cell r="E86">
            <v>38838</v>
          </cell>
          <cell r="H86" t="str">
            <v>41764413</v>
          </cell>
          <cell r="I86">
            <v>25.12</v>
          </cell>
          <cell r="J86">
            <v>3.14</v>
          </cell>
          <cell r="K86" t="str">
            <v>ONP</v>
          </cell>
          <cell r="L86">
            <v>21</v>
          </cell>
          <cell r="M86">
            <v>4.6000000000000005</v>
          </cell>
          <cell r="O86">
            <v>2</v>
          </cell>
          <cell r="P86">
            <v>46</v>
          </cell>
          <cell r="Q86">
            <v>527.52</v>
          </cell>
          <cell r="R86">
            <v>115.55200000000002</v>
          </cell>
          <cell r="S86">
            <v>0</v>
          </cell>
          <cell r="T86">
            <v>50.24</v>
          </cell>
          <cell r="U86">
            <v>180.55</v>
          </cell>
          <cell r="V86">
            <v>46.000000000000007</v>
          </cell>
          <cell r="AB86">
            <v>919.86200000000008</v>
          </cell>
          <cell r="AC86">
            <v>119.58206000000001</v>
          </cell>
          <cell r="AD86">
            <v>0</v>
          </cell>
          <cell r="AE86">
            <v>0</v>
          </cell>
          <cell r="AF86">
            <v>0</v>
          </cell>
          <cell r="AH86">
            <v>119.58206000000001</v>
          </cell>
          <cell r="AJ86">
            <v>119.58206000000001</v>
          </cell>
          <cell r="AL86">
            <v>800.27994000000012</v>
          </cell>
          <cell r="AO86">
            <v>0</v>
          </cell>
          <cell r="AR86">
            <v>800.27994000000012</v>
          </cell>
          <cell r="AS86">
            <v>82.787580000000005</v>
          </cell>
          <cell r="AU86">
            <v>16.9254608</v>
          </cell>
          <cell r="AV86">
            <v>0</v>
          </cell>
          <cell r="AW86">
            <v>20.57328</v>
          </cell>
          <cell r="AX86">
            <v>9.8721600000000009</v>
          </cell>
          <cell r="AY86">
            <v>130.15848080000001</v>
          </cell>
          <cell r="AZ86">
            <v>1050.0204808000001</v>
          </cell>
          <cell r="BA86">
            <v>76.624504600000009</v>
          </cell>
          <cell r="BB86">
            <v>68.269206733333334</v>
          </cell>
          <cell r="BC86">
            <v>137.24508013333335</v>
          </cell>
          <cell r="BD86">
            <v>282.1387914666667</v>
          </cell>
          <cell r="BE86">
            <v>1332.1592722666669</v>
          </cell>
          <cell r="BF86">
            <v>63.436155822222233</v>
          </cell>
          <cell r="BG86">
            <v>252.53246744515221</v>
          </cell>
        </row>
        <row r="87">
          <cell r="A87">
            <v>79</v>
          </cell>
          <cell r="B87">
            <v>79</v>
          </cell>
          <cell r="C87" t="str">
            <v>TORRES YALICO, Zenon</v>
          </cell>
          <cell r="D87" t="str">
            <v>AYUDANTE EMADERADOR</v>
          </cell>
          <cell r="E87">
            <v>38852</v>
          </cell>
          <cell r="H87" t="str">
            <v>04078837</v>
          </cell>
          <cell r="I87">
            <v>25.12</v>
          </cell>
          <cell r="J87">
            <v>3.14</v>
          </cell>
          <cell r="K87" t="str">
            <v>INTEGRA</v>
          </cell>
          <cell r="L87">
            <v>3</v>
          </cell>
          <cell r="M87">
            <v>1</v>
          </cell>
          <cell r="N87">
            <v>26</v>
          </cell>
          <cell r="P87">
            <v>6</v>
          </cell>
          <cell r="Q87">
            <v>75.36</v>
          </cell>
          <cell r="R87">
            <v>25.12</v>
          </cell>
          <cell r="S87">
            <v>653.12</v>
          </cell>
          <cell r="T87">
            <v>0</v>
          </cell>
          <cell r="U87">
            <v>23.55</v>
          </cell>
          <cell r="V87">
            <v>50</v>
          </cell>
          <cell r="AB87">
            <v>827.15</v>
          </cell>
          <cell r="AC87">
            <v>0</v>
          </cell>
          <cell r="AD87">
            <v>99.257999999999996</v>
          </cell>
          <cell r="AE87">
            <v>7.2789200000000003</v>
          </cell>
          <cell r="AF87">
            <v>14.888700000000002</v>
          </cell>
          <cell r="AH87">
            <v>121.42562</v>
          </cell>
          <cell r="AJ87">
            <v>121.42562</v>
          </cell>
          <cell r="AL87">
            <v>705.72438</v>
          </cell>
          <cell r="AO87">
            <v>0</v>
          </cell>
          <cell r="AR87">
            <v>705.72438</v>
          </cell>
          <cell r="AS87">
            <v>74.4435</v>
          </cell>
          <cell r="AU87">
            <v>15.21956</v>
          </cell>
          <cell r="AV87">
            <v>16.542999999999999</v>
          </cell>
          <cell r="AW87">
            <v>20.57328</v>
          </cell>
          <cell r="AX87">
            <v>9.8721600000000009</v>
          </cell>
          <cell r="AY87">
            <v>136.6515</v>
          </cell>
          <cell r="AZ87">
            <v>963.80150000000003</v>
          </cell>
          <cell r="BA87">
            <v>68.901595</v>
          </cell>
          <cell r="BB87">
            <v>78.354291666666668</v>
          </cell>
          <cell r="BC87">
            <v>148.37525000000002</v>
          </cell>
          <cell r="BD87">
            <v>295.63113666666669</v>
          </cell>
          <cell r="BE87">
            <v>1259.4326366666667</v>
          </cell>
          <cell r="BF87">
            <v>419.81087888888891</v>
          </cell>
          <cell r="BG87">
            <v>1671.2216516277422</v>
          </cell>
        </row>
        <row r="88">
          <cell r="A88">
            <v>80</v>
          </cell>
          <cell r="B88">
            <v>80</v>
          </cell>
          <cell r="C88" t="str">
            <v>TRUJILLO ESPINOZA, Carlos</v>
          </cell>
          <cell r="D88" t="str">
            <v>AYUDANTE PERFORISTA</v>
          </cell>
          <cell r="E88">
            <v>38808</v>
          </cell>
          <cell r="G88">
            <v>28622</v>
          </cell>
          <cell r="H88" t="str">
            <v>40601584</v>
          </cell>
          <cell r="I88">
            <v>25.12</v>
          </cell>
          <cell r="J88">
            <v>3.14</v>
          </cell>
          <cell r="K88" t="str">
            <v>ONP</v>
          </cell>
          <cell r="L88">
            <v>19</v>
          </cell>
          <cell r="M88">
            <v>4.4000000000000004</v>
          </cell>
          <cell r="O88">
            <v>3</v>
          </cell>
          <cell r="P88">
            <v>44</v>
          </cell>
          <cell r="Q88">
            <v>477.28000000000003</v>
          </cell>
          <cell r="R88">
            <v>110.52800000000002</v>
          </cell>
          <cell r="S88">
            <v>0</v>
          </cell>
          <cell r="T88">
            <v>75.36</v>
          </cell>
          <cell r="U88">
            <v>172.7</v>
          </cell>
          <cell r="V88">
            <v>44</v>
          </cell>
          <cell r="AB88">
            <v>879.86799999999994</v>
          </cell>
          <cell r="AC88">
            <v>114.38284</v>
          </cell>
          <cell r="AD88">
            <v>0</v>
          </cell>
          <cell r="AE88">
            <v>0</v>
          </cell>
          <cell r="AF88">
            <v>0</v>
          </cell>
          <cell r="AH88">
            <v>114.38284</v>
          </cell>
          <cell r="AJ88">
            <v>114.38284</v>
          </cell>
          <cell r="AL88">
            <v>765.48515999999995</v>
          </cell>
          <cell r="AN88">
            <v>14</v>
          </cell>
          <cell r="AO88">
            <v>14</v>
          </cell>
          <cell r="AR88">
            <v>751.48515999999995</v>
          </cell>
          <cell r="AS88">
            <v>79.188119999999998</v>
          </cell>
          <cell r="AU88">
            <v>16.1895712</v>
          </cell>
          <cell r="AV88">
            <v>0</v>
          </cell>
          <cell r="AW88">
            <v>20.57328</v>
          </cell>
          <cell r="AX88">
            <v>9.8721600000000009</v>
          </cell>
          <cell r="AY88">
            <v>125.82313120000001</v>
          </cell>
          <cell r="AZ88">
            <v>1005.6911312</v>
          </cell>
          <cell r="BA88">
            <v>73.293004400000001</v>
          </cell>
          <cell r="BB88">
            <v>63.135927600000002</v>
          </cell>
          <cell r="BC88">
            <v>131.49852186666666</v>
          </cell>
          <cell r="BD88">
            <v>267.92745386666667</v>
          </cell>
          <cell r="BE88">
            <v>1273.6185850666666</v>
          </cell>
          <cell r="BF88">
            <v>67.032557108771925</v>
          </cell>
          <cell r="BG88">
            <v>266.8493515476589</v>
          </cell>
        </row>
        <row r="89">
          <cell r="A89">
            <v>81</v>
          </cell>
          <cell r="B89">
            <v>81</v>
          </cell>
          <cell r="C89" t="str">
            <v>TRUJILLO FLORES, Noe</v>
          </cell>
          <cell r="D89" t="str">
            <v>CARGADOR/DISPARADOR 1</v>
          </cell>
          <cell r="E89">
            <v>38761</v>
          </cell>
          <cell r="H89" t="str">
            <v>04044940</v>
          </cell>
          <cell r="I89">
            <v>35.700000000000003</v>
          </cell>
          <cell r="J89">
            <v>4.4625000000000004</v>
          </cell>
          <cell r="K89" t="str">
            <v>HORIZONTE</v>
          </cell>
          <cell r="L89">
            <v>15</v>
          </cell>
          <cell r="M89">
            <v>4.6000000000000005</v>
          </cell>
          <cell r="N89">
            <v>4</v>
          </cell>
          <cell r="O89">
            <v>4</v>
          </cell>
          <cell r="P89">
            <v>38</v>
          </cell>
          <cell r="Q89">
            <v>535.5</v>
          </cell>
          <cell r="R89">
            <v>164.22000000000003</v>
          </cell>
          <cell r="S89">
            <v>142.80000000000001</v>
          </cell>
          <cell r="T89">
            <v>142.80000000000001</v>
          </cell>
          <cell r="U89">
            <v>211.96875000000003</v>
          </cell>
          <cell r="V89">
            <v>46.000000000000007</v>
          </cell>
          <cell r="AB89">
            <v>1243.2887499999999</v>
          </cell>
          <cell r="AC89">
            <v>0</v>
          </cell>
          <cell r="AD89">
            <v>149.19465</v>
          </cell>
          <cell r="AE89">
            <v>10.940941</v>
          </cell>
          <cell r="AF89">
            <v>24.244130625</v>
          </cell>
          <cell r="AH89">
            <v>184.379721625</v>
          </cell>
          <cell r="AJ89">
            <v>184.379721625</v>
          </cell>
          <cell r="AL89">
            <v>1058.9090283749999</v>
          </cell>
          <cell r="AN89">
            <v>49</v>
          </cell>
          <cell r="AO89">
            <v>49</v>
          </cell>
          <cell r="AR89">
            <v>1009.9090283749999</v>
          </cell>
          <cell r="AS89">
            <v>111.89598749999999</v>
          </cell>
          <cell r="AU89">
            <v>22.876512999999999</v>
          </cell>
          <cell r="AV89">
            <v>24.865774999999999</v>
          </cell>
          <cell r="AW89">
            <v>29.238300000000002</v>
          </cell>
          <cell r="AX89">
            <v>14.030100000000001</v>
          </cell>
          <cell r="AY89">
            <v>202.90667549999998</v>
          </cell>
          <cell r="AZ89">
            <v>1446.1954254999998</v>
          </cell>
          <cell r="BA89">
            <v>103.56595287499999</v>
          </cell>
          <cell r="BB89">
            <v>90.952222958333323</v>
          </cell>
          <cell r="BC89">
            <v>198.03777924999997</v>
          </cell>
          <cell r="BD89">
            <v>392.55595508333329</v>
          </cell>
          <cell r="BE89">
            <v>1838.7513805833332</v>
          </cell>
          <cell r="BF89">
            <v>122.58342537222221</v>
          </cell>
          <cell r="BG89">
            <v>343.37093941798935</v>
          </cell>
        </row>
        <row r="90">
          <cell r="A90">
            <v>82</v>
          </cell>
          <cell r="B90">
            <v>82</v>
          </cell>
          <cell r="C90" t="str">
            <v>URETA CABANILLA, Verti Dino</v>
          </cell>
          <cell r="D90" t="str">
            <v>AYUDANTE EMADERADOR</v>
          </cell>
          <cell r="E90">
            <v>38881</v>
          </cell>
          <cell r="F90" t="str">
            <v>Nuevo</v>
          </cell>
          <cell r="H90" t="str">
            <v>20903760</v>
          </cell>
          <cell r="I90">
            <v>25.12</v>
          </cell>
          <cell r="J90">
            <v>3.14</v>
          </cell>
          <cell r="K90" t="str">
            <v>INTEGRA</v>
          </cell>
          <cell r="L90">
            <v>15</v>
          </cell>
          <cell r="M90">
            <v>3</v>
          </cell>
          <cell r="P90">
            <v>30</v>
          </cell>
          <cell r="Q90">
            <v>376.8</v>
          </cell>
          <cell r="R90">
            <v>75.36</v>
          </cell>
          <cell r="S90">
            <v>0</v>
          </cell>
          <cell r="T90">
            <v>0</v>
          </cell>
          <cell r="U90">
            <v>117.75</v>
          </cell>
          <cell r="AB90">
            <v>569.91000000000008</v>
          </cell>
          <cell r="AC90">
            <v>0</v>
          </cell>
          <cell r="AD90">
            <v>68.389200000000002</v>
          </cell>
          <cell r="AE90">
            <v>5.0152080000000012</v>
          </cell>
          <cell r="AF90">
            <v>10.258380000000002</v>
          </cell>
          <cell r="AH90">
            <v>83.662788000000006</v>
          </cell>
          <cell r="AJ90">
            <v>83.662788000000006</v>
          </cell>
          <cell r="AL90">
            <v>486.2472120000001</v>
          </cell>
          <cell r="AO90">
            <v>0</v>
          </cell>
          <cell r="AR90">
            <v>486.2472120000001</v>
          </cell>
          <cell r="AS90">
            <v>51.291900000000005</v>
          </cell>
          <cell r="AU90">
            <v>10.486344000000001</v>
          </cell>
          <cell r="AV90">
            <v>11.398200000000001</v>
          </cell>
          <cell r="AW90">
            <v>20.57328</v>
          </cell>
          <cell r="AX90">
            <v>9.8721600000000009</v>
          </cell>
          <cell r="AY90">
            <v>103.62188399999999</v>
          </cell>
          <cell r="AZ90">
            <v>673.5318840000001</v>
          </cell>
          <cell r="BA90">
            <v>47.473503000000008</v>
          </cell>
          <cell r="BB90">
            <v>46.315156999999999</v>
          </cell>
          <cell r="BC90">
            <v>92.630313999999998</v>
          </cell>
          <cell r="BD90">
            <v>186.41897399999999</v>
          </cell>
          <cell r="BE90">
            <v>859.95085800000015</v>
          </cell>
          <cell r="BF90">
            <v>57.330057200000013</v>
          </cell>
          <cell r="BG90">
            <v>228.22475000000003</v>
          </cell>
        </row>
        <row r="91">
          <cell r="A91">
            <v>83</v>
          </cell>
          <cell r="B91">
            <v>83</v>
          </cell>
          <cell r="C91" t="str">
            <v>VARGAS CASTILLO, Rosas</v>
          </cell>
          <cell r="D91" t="str">
            <v>AYUDANTE PERFORISTA</v>
          </cell>
          <cell r="E91">
            <v>38801</v>
          </cell>
          <cell r="H91" t="str">
            <v>80084513</v>
          </cell>
          <cell r="I91">
            <v>25.12</v>
          </cell>
          <cell r="J91">
            <v>3.14</v>
          </cell>
          <cell r="K91" t="str">
            <v>ONP</v>
          </cell>
          <cell r="L91">
            <v>21</v>
          </cell>
          <cell r="M91">
            <v>4.8000000000000007</v>
          </cell>
          <cell r="O91">
            <v>3</v>
          </cell>
          <cell r="P91">
            <v>48</v>
          </cell>
          <cell r="Q91">
            <v>527.52</v>
          </cell>
          <cell r="R91">
            <v>120.57600000000002</v>
          </cell>
          <cell r="S91">
            <v>0</v>
          </cell>
          <cell r="T91">
            <v>75.36</v>
          </cell>
          <cell r="U91">
            <v>188.4</v>
          </cell>
          <cell r="AB91">
            <v>911.85599999999999</v>
          </cell>
          <cell r="AC91">
            <v>118.54128</v>
          </cell>
          <cell r="AD91">
            <v>0</v>
          </cell>
          <cell r="AE91">
            <v>0</v>
          </cell>
          <cell r="AF91">
            <v>0</v>
          </cell>
          <cell r="AH91">
            <v>118.54128</v>
          </cell>
          <cell r="AJ91">
            <v>118.54128</v>
          </cell>
          <cell r="AL91">
            <v>793.31471999999997</v>
          </cell>
          <cell r="AN91">
            <v>12.7</v>
          </cell>
          <cell r="AO91">
            <v>12.7</v>
          </cell>
          <cell r="AR91">
            <v>780.61471999999992</v>
          </cell>
          <cell r="AS91">
            <v>82.067039999999992</v>
          </cell>
          <cell r="AU91">
            <v>16.778150400000001</v>
          </cell>
          <cell r="AV91">
            <v>0</v>
          </cell>
          <cell r="AW91">
            <v>20.57328</v>
          </cell>
          <cell r="AX91">
            <v>9.8721600000000009</v>
          </cell>
          <cell r="AY91">
            <v>129.2906304</v>
          </cell>
          <cell r="AZ91">
            <v>1041.1466304</v>
          </cell>
          <cell r="BA91">
            <v>75.957604799999999</v>
          </cell>
          <cell r="BB91">
            <v>64.7822192</v>
          </cell>
          <cell r="BC91">
            <v>142.1244384</v>
          </cell>
          <cell r="BD91">
            <v>282.86426240000003</v>
          </cell>
          <cell r="BE91">
            <v>1324.0108928</v>
          </cell>
          <cell r="BF91">
            <v>63.048137752380953</v>
          </cell>
          <cell r="BG91">
            <v>250.98780952380952</v>
          </cell>
        </row>
        <row r="92">
          <cell r="A92">
            <v>84</v>
          </cell>
          <cell r="B92">
            <v>84</v>
          </cell>
          <cell r="C92" t="str">
            <v>VELIZ HUARINGA mario francis</v>
          </cell>
          <cell r="D92" t="str">
            <v>AYUDANTE PERFORISTA</v>
          </cell>
          <cell r="E92">
            <v>38854</v>
          </cell>
          <cell r="H92" t="str">
            <v>41621173</v>
          </cell>
          <cell r="I92">
            <v>25.12</v>
          </cell>
          <cell r="J92">
            <v>3.14</v>
          </cell>
          <cell r="K92" t="str">
            <v>ONP</v>
          </cell>
          <cell r="L92">
            <v>22</v>
          </cell>
          <cell r="M92">
            <v>4.8000000000000007</v>
          </cell>
          <cell r="O92">
            <v>2</v>
          </cell>
          <cell r="P92">
            <v>48</v>
          </cell>
          <cell r="Q92">
            <v>552.64</v>
          </cell>
          <cell r="R92">
            <v>120.57600000000002</v>
          </cell>
          <cell r="S92">
            <v>0</v>
          </cell>
          <cell r="T92">
            <v>50.24</v>
          </cell>
          <cell r="U92">
            <v>188.4</v>
          </cell>
          <cell r="V92">
            <v>48</v>
          </cell>
          <cell r="AB92">
            <v>959.85599999999999</v>
          </cell>
          <cell r="AC92">
            <v>124.78128000000001</v>
          </cell>
          <cell r="AD92">
            <v>0</v>
          </cell>
          <cell r="AE92">
            <v>0</v>
          </cell>
          <cell r="AF92">
            <v>0</v>
          </cell>
          <cell r="AH92">
            <v>124.78128000000001</v>
          </cell>
          <cell r="AJ92">
            <v>124.78128000000001</v>
          </cell>
          <cell r="AL92">
            <v>835.07471999999996</v>
          </cell>
          <cell r="AN92">
            <v>31.5</v>
          </cell>
          <cell r="AO92">
            <v>31.5</v>
          </cell>
          <cell r="AR92">
            <v>803.57471999999996</v>
          </cell>
          <cell r="AS92">
            <v>86.387039999999999</v>
          </cell>
          <cell r="AU92">
            <v>17.6613504</v>
          </cell>
          <cell r="AV92">
            <v>0</v>
          </cell>
          <cell r="AW92">
            <v>20.57328</v>
          </cell>
          <cell r="AX92">
            <v>9.8721600000000009</v>
          </cell>
          <cell r="AY92">
            <v>134.49383040000001</v>
          </cell>
          <cell r="AZ92">
            <v>1094.3498304</v>
          </cell>
          <cell r="BA92">
            <v>79.956004800000002</v>
          </cell>
          <cell r="BB92">
            <v>71.309152533333332</v>
          </cell>
          <cell r="BC92">
            <v>142.9916384</v>
          </cell>
          <cell r="BD92">
            <v>294.25679573333332</v>
          </cell>
          <cell r="BE92">
            <v>1388.6066261333333</v>
          </cell>
          <cell r="BF92">
            <v>63.118483006060607</v>
          </cell>
          <cell r="BG92">
            <v>251.26784636170623</v>
          </cell>
        </row>
        <row r="93">
          <cell r="A93">
            <v>85</v>
          </cell>
          <cell r="B93">
            <v>85</v>
          </cell>
          <cell r="C93" t="str">
            <v>VICUÑO ZALASAR, Raul</v>
          </cell>
          <cell r="D93" t="str">
            <v>AYUDANTE EMADERADOR</v>
          </cell>
          <cell r="E93">
            <v>38881</v>
          </cell>
          <cell r="F93" t="str">
            <v>Nuevo</v>
          </cell>
          <cell r="H93" t="str">
            <v>04207191</v>
          </cell>
          <cell r="I93">
            <v>25.12</v>
          </cell>
          <cell r="J93">
            <v>3.14</v>
          </cell>
          <cell r="K93" t="str">
            <v>HORIZONTE</v>
          </cell>
          <cell r="L93">
            <v>15</v>
          </cell>
          <cell r="M93">
            <v>3</v>
          </cell>
          <cell r="P93">
            <v>30</v>
          </cell>
          <cell r="Q93">
            <v>376.8</v>
          </cell>
          <cell r="R93">
            <v>75.36</v>
          </cell>
          <cell r="S93">
            <v>0</v>
          </cell>
          <cell r="T93">
            <v>0</v>
          </cell>
          <cell r="U93">
            <v>117.75</v>
          </cell>
          <cell r="AB93">
            <v>569.91000000000008</v>
          </cell>
          <cell r="AC93">
            <v>0</v>
          </cell>
          <cell r="AD93">
            <v>68.389200000000002</v>
          </cell>
          <cell r="AE93">
            <v>5.0152080000000012</v>
          </cell>
          <cell r="AF93">
            <v>11.113245000000001</v>
          </cell>
          <cell r="AH93">
            <v>84.51765300000001</v>
          </cell>
          <cell r="AJ93">
            <v>84.51765300000001</v>
          </cell>
          <cell r="AL93">
            <v>485.39234700000009</v>
          </cell>
          <cell r="AO93">
            <v>0</v>
          </cell>
          <cell r="AR93">
            <v>485.39234700000009</v>
          </cell>
          <cell r="AS93">
            <v>51.291900000000005</v>
          </cell>
          <cell r="AU93">
            <v>10.486344000000001</v>
          </cell>
          <cell r="AV93">
            <v>11.398200000000001</v>
          </cell>
          <cell r="AW93">
            <v>20.57328</v>
          </cell>
          <cell r="AX93">
            <v>9.8721600000000009</v>
          </cell>
          <cell r="AY93">
            <v>103.62188399999999</v>
          </cell>
          <cell r="AZ93">
            <v>673.5318840000001</v>
          </cell>
          <cell r="BA93">
            <v>47.473503000000008</v>
          </cell>
          <cell r="BB93">
            <v>46.315156999999999</v>
          </cell>
          <cell r="BC93">
            <v>92.630313999999998</v>
          </cell>
          <cell r="BD93">
            <v>186.41897399999999</v>
          </cell>
          <cell r="BE93">
            <v>859.95085800000015</v>
          </cell>
          <cell r="BF93">
            <v>57.330057200000013</v>
          </cell>
          <cell r="BG93">
            <v>228.22475000000003</v>
          </cell>
        </row>
        <row r="94">
          <cell r="A94">
            <v>86</v>
          </cell>
          <cell r="B94">
            <v>86</v>
          </cell>
          <cell r="C94" t="str">
            <v>VILLANUEVA RAMON, Nicolas Rudi</v>
          </cell>
          <cell r="D94" t="str">
            <v>CARGADOR/DISPARADOR1</v>
          </cell>
          <cell r="E94">
            <v>38761</v>
          </cell>
          <cell r="H94" t="str">
            <v>04068792</v>
          </cell>
          <cell r="I94">
            <v>35.700000000000003</v>
          </cell>
          <cell r="J94">
            <v>4.4625000000000004</v>
          </cell>
          <cell r="K94" t="str">
            <v>INTEGRA</v>
          </cell>
          <cell r="L94">
            <v>24</v>
          </cell>
          <cell r="M94">
            <v>5</v>
          </cell>
          <cell r="O94">
            <v>1</v>
          </cell>
          <cell r="P94">
            <v>50</v>
          </cell>
          <cell r="Q94">
            <v>856.80000000000007</v>
          </cell>
          <cell r="R94">
            <v>178.5</v>
          </cell>
          <cell r="S94">
            <v>0</v>
          </cell>
          <cell r="T94">
            <v>35.700000000000003</v>
          </cell>
          <cell r="U94">
            <v>278.90625000000006</v>
          </cell>
          <cell r="V94">
            <v>50</v>
          </cell>
          <cell r="AB94">
            <v>1399.9062500000002</v>
          </cell>
          <cell r="AC94">
            <v>0</v>
          </cell>
          <cell r="AD94">
            <v>167.98875000000001</v>
          </cell>
          <cell r="AE94">
            <v>12.319175000000003</v>
          </cell>
          <cell r="AF94">
            <v>25.198312500000007</v>
          </cell>
          <cell r="AH94">
            <v>205.50623750000003</v>
          </cell>
          <cell r="AJ94">
            <v>205.50623750000003</v>
          </cell>
          <cell r="AL94">
            <v>1194.4000125000002</v>
          </cell>
          <cell r="AN94">
            <v>2.5</v>
          </cell>
          <cell r="AO94">
            <v>2.5</v>
          </cell>
          <cell r="AP94">
            <v>200</v>
          </cell>
          <cell r="AR94">
            <v>991.90001250000023</v>
          </cell>
          <cell r="AS94">
            <v>125.99156250000001</v>
          </cell>
          <cell r="AU94">
            <v>25.758275000000005</v>
          </cell>
          <cell r="AV94">
            <v>27.998125000000005</v>
          </cell>
          <cell r="AW94">
            <v>29.238300000000002</v>
          </cell>
          <cell r="AX94">
            <v>14.030100000000001</v>
          </cell>
          <cell r="AY94">
            <v>223.01636250000004</v>
          </cell>
          <cell r="AZ94">
            <v>1622.9226125000002</v>
          </cell>
          <cell r="BA94">
            <v>116.61219062500001</v>
          </cell>
          <cell r="BB94">
            <v>109.02636354166668</v>
          </cell>
          <cell r="BC94">
            <v>215.66939375000004</v>
          </cell>
          <cell r="BD94">
            <v>441.30794791666676</v>
          </cell>
          <cell r="BE94">
            <v>2064.2305604166668</v>
          </cell>
          <cell r="BF94">
            <v>86.009606684027787</v>
          </cell>
          <cell r="BG94">
            <v>240.92326802248678</v>
          </cell>
        </row>
        <row r="95">
          <cell r="A95">
            <v>87</v>
          </cell>
          <cell r="B95">
            <v>87</v>
          </cell>
          <cell r="C95" t="str">
            <v>YALICO CARHUARICRA, Jaime</v>
          </cell>
          <cell r="D95" t="str">
            <v>AYUDANTE PERFORISTA</v>
          </cell>
          <cell r="E95">
            <v>38808</v>
          </cell>
          <cell r="G95">
            <v>26345</v>
          </cell>
          <cell r="H95" t="str">
            <v>04068576</v>
          </cell>
          <cell r="I95">
            <v>25.12</v>
          </cell>
          <cell r="J95">
            <v>3.14</v>
          </cell>
          <cell r="K95" t="str">
            <v>ONP</v>
          </cell>
          <cell r="L95">
            <v>22</v>
          </cell>
          <cell r="M95">
            <v>5</v>
          </cell>
          <cell r="O95">
            <v>3</v>
          </cell>
          <cell r="P95">
            <v>50</v>
          </cell>
          <cell r="Q95">
            <v>552.64</v>
          </cell>
          <cell r="R95">
            <v>125.60000000000001</v>
          </cell>
          <cell r="S95">
            <v>0</v>
          </cell>
          <cell r="T95">
            <v>75.36</v>
          </cell>
          <cell r="U95">
            <v>196.25</v>
          </cell>
          <cell r="V95">
            <v>50</v>
          </cell>
          <cell r="AB95">
            <v>999.85</v>
          </cell>
          <cell r="AC95">
            <v>129.98050000000001</v>
          </cell>
          <cell r="AD95">
            <v>0</v>
          </cell>
          <cell r="AE95">
            <v>0</v>
          </cell>
          <cell r="AF95">
            <v>0</v>
          </cell>
          <cell r="AH95">
            <v>129.98050000000001</v>
          </cell>
          <cell r="AJ95">
            <v>129.98050000000001</v>
          </cell>
          <cell r="AL95">
            <v>869.86950000000002</v>
          </cell>
          <cell r="AO95">
            <v>0</v>
          </cell>
          <cell r="AR95">
            <v>869.86950000000002</v>
          </cell>
          <cell r="AS95">
            <v>89.986499999999992</v>
          </cell>
          <cell r="AU95">
            <v>18.39724</v>
          </cell>
          <cell r="AV95">
            <v>0</v>
          </cell>
          <cell r="AW95">
            <v>20.57328</v>
          </cell>
          <cell r="AX95">
            <v>9.8721600000000009</v>
          </cell>
          <cell r="AY95">
            <v>138.82918000000001</v>
          </cell>
          <cell r="AZ95">
            <v>1138.6791800000001</v>
          </cell>
          <cell r="BA95">
            <v>83.287504999999996</v>
          </cell>
          <cell r="BB95">
            <v>72.255764999999997</v>
          </cell>
          <cell r="BC95">
            <v>148.73819666666668</v>
          </cell>
          <cell r="BD95">
            <v>304.28146666666669</v>
          </cell>
          <cell r="BE95">
            <v>1442.9606466666669</v>
          </cell>
          <cell r="BF95">
            <v>65.589120303030313</v>
          </cell>
          <cell r="BG95">
            <v>261.10318591970668</v>
          </cell>
        </row>
        <row r="96">
          <cell r="A96">
            <v>88</v>
          </cell>
          <cell r="B96">
            <v>88</v>
          </cell>
          <cell r="C96" t="str">
            <v>YALLICO ESPINOZA, Henry Alex</v>
          </cell>
          <cell r="D96" t="str">
            <v>SOLDADOR</v>
          </cell>
          <cell r="E96">
            <v>38767</v>
          </cell>
          <cell r="H96" t="str">
            <v>07971566</v>
          </cell>
          <cell r="I96">
            <v>30.41</v>
          </cell>
          <cell r="J96">
            <v>3.80125</v>
          </cell>
          <cell r="K96" t="str">
            <v>PROFUTURO</v>
          </cell>
          <cell r="L96">
            <v>23</v>
          </cell>
          <cell r="M96">
            <v>5</v>
          </cell>
          <cell r="O96">
            <v>2</v>
          </cell>
          <cell r="P96">
            <v>50</v>
          </cell>
          <cell r="Q96">
            <v>699.43</v>
          </cell>
          <cell r="R96">
            <v>152.05000000000001</v>
          </cell>
          <cell r="S96">
            <v>0</v>
          </cell>
          <cell r="T96">
            <v>60.82</v>
          </cell>
          <cell r="U96">
            <v>237.578125</v>
          </cell>
          <cell r="AB96">
            <v>1149.8781250000002</v>
          </cell>
          <cell r="AC96">
            <v>0</v>
          </cell>
          <cell r="AD96">
            <v>137.985375</v>
          </cell>
          <cell r="AE96">
            <v>11.613769062500001</v>
          </cell>
          <cell r="AF96">
            <v>22.767586875000003</v>
          </cell>
          <cell r="AH96">
            <v>172.36673093750002</v>
          </cell>
          <cell r="AJ96">
            <v>172.36673093750002</v>
          </cell>
          <cell r="AL96">
            <v>977.51139406250013</v>
          </cell>
          <cell r="AO96">
            <v>0</v>
          </cell>
          <cell r="AR96">
            <v>977.51139406250013</v>
          </cell>
          <cell r="AS96">
            <v>103.48903125000001</v>
          </cell>
          <cell r="AU96">
            <v>21.157757500000002</v>
          </cell>
          <cell r="AV96">
            <v>22.997562500000004</v>
          </cell>
          <cell r="AW96">
            <v>24.90579</v>
          </cell>
          <cell r="AX96">
            <v>11.951129999999999</v>
          </cell>
          <cell r="AY96">
            <v>184.50127125000003</v>
          </cell>
          <cell r="AZ96">
            <v>1334.3793962500001</v>
          </cell>
          <cell r="BA96">
            <v>95.784847812500018</v>
          </cell>
          <cell r="BB96">
            <v>86.331772604166659</v>
          </cell>
          <cell r="BC96">
            <v>182.80021187500003</v>
          </cell>
          <cell r="BD96">
            <v>364.91683229166671</v>
          </cell>
          <cell r="BE96">
            <v>1699.2962285416668</v>
          </cell>
          <cell r="BF96">
            <v>73.882444719202908</v>
          </cell>
          <cell r="BG96">
            <v>242.95443840579711</v>
          </cell>
        </row>
        <row r="97">
          <cell r="B97" t="str">
            <v>SUB TOTAL OBREROS = 88</v>
          </cell>
          <cell r="L97">
            <v>1562</v>
          </cell>
          <cell r="M97">
            <v>357.60000000000008</v>
          </cell>
          <cell r="N97">
            <v>93</v>
          </cell>
          <cell r="O97">
            <v>201</v>
          </cell>
          <cell r="P97">
            <v>3528</v>
          </cell>
          <cell r="Q97">
            <v>49270.93</v>
          </cell>
          <cell r="R97">
            <v>11351.478000000001</v>
          </cell>
          <cell r="S97">
            <v>3135.0600000000004</v>
          </cell>
          <cell r="T97">
            <v>6551.6199999999953</v>
          </cell>
          <cell r="U97">
            <v>17456.531250000004</v>
          </cell>
          <cell r="V97">
            <v>2451.333333333333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90216.952583333332</v>
          </cell>
          <cell r="AC97">
            <v>3715.9164845833343</v>
          </cell>
          <cell r="AD97">
            <v>7395.9575549999981</v>
          </cell>
          <cell r="AE97">
            <v>578.79209517499987</v>
          </cell>
          <cell r="AF97">
            <v>1191.0263124624998</v>
          </cell>
          <cell r="AG97">
            <v>0</v>
          </cell>
          <cell r="AH97">
            <v>12881.692447220827</v>
          </cell>
          <cell r="AI97">
            <v>0</v>
          </cell>
          <cell r="AJ97">
            <v>12881.692447220827</v>
          </cell>
          <cell r="AK97">
            <v>0</v>
          </cell>
          <cell r="AL97">
            <v>77335.260136112483</v>
          </cell>
          <cell r="AM97">
            <v>371.3</v>
          </cell>
          <cell r="AN97">
            <v>1979.6</v>
          </cell>
          <cell r="AO97">
            <v>2350.8999999999996</v>
          </cell>
          <cell r="AP97">
            <v>450</v>
          </cell>
          <cell r="AQ97">
            <v>0</v>
          </cell>
          <cell r="AR97">
            <v>74534.360136112489</v>
          </cell>
          <cell r="AS97">
            <v>8119.5257325000011</v>
          </cell>
          <cell r="AT97">
            <v>0</v>
          </cell>
          <cell r="AU97">
            <v>1659.9919275333327</v>
          </cell>
          <cell r="AV97">
            <v>1232.6595924999997</v>
          </cell>
          <cell r="AW97">
            <v>2249.0639699337517</v>
          </cell>
          <cell r="AX97">
            <v>1067.9316761999994</v>
          </cell>
          <cell r="AY97">
            <v>14329.172898667093</v>
          </cell>
          <cell r="AZ97">
            <v>104546.12548200043</v>
          </cell>
          <cell r="BA97">
            <v>7515.072150191666</v>
          </cell>
          <cell r="BB97">
            <v>6711.4978526667028</v>
          </cell>
          <cell r="BC97">
            <v>14106.376816444515</v>
          </cell>
          <cell r="BD97">
            <v>28332.946819302881</v>
          </cell>
          <cell r="BE97">
            <v>132879.07230130333</v>
          </cell>
          <cell r="BF97" t="e">
            <v>#DIV/0!</v>
          </cell>
          <cell r="BG97" t="e">
            <v>#DIV/0!</v>
          </cell>
        </row>
        <row r="101">
          <cell r="B101" t="str">
            <v>2.-  PLANILLA EMPLEADOS:</v>
          </cell>
        </row>
        <row r="102">
          <cell r="B102" t="str">
            <v>Nº</v>
          </cell>
          <cell r="C102" t="str">
            <v>NOMBRE  Y  APELLIDOS</v>
          </cell>
          <cell r="D102" t="str">
            <v>CARGO
OCUPACION</v>
          </cell>
          <cell r="E102" t="str">
            <v xml:space="preserve">FECHA   INGRESO  PDT </v>
          </cell>
          <cell r="F102" t="str">
            <v>FECHA   CESE</v>
          </cell>
          <cell r="G102" t="str">
            <v>FECHA DE  NACIM.</v>
          </cell>
          <cell r="H102" t="str">
            <v>LIBRETA  ELECTORAL</v>
          </cell>
          <cell r="I102" t="str">
            <v>SUELDO</v>
          </cell>
          <cell r="J102" t="str">
            <v>IMPORTE  HORA</v>
          </cell>
          <cell r="K102" t="str">
            <v>AFP/ONP</v>
          </cell>
          <cell r="L102" t="str">
            <v>JORNADA</v>
          </cell>
          <cell r="Q102" t="str">
            <v>REMUNERACIONES</v>
          </cell>
          <cell r="AB102" t="str">
            <v>TOTAL 
REMUNERACION</v>
          </cell>
          <cell r="AC102" t="str">
            <v>RETENCIONES A CARGO DEL TRABAJADOR POR TRIBUTOS, APORTES PREVISIONALES, CUOTAS Y OTROS CONCEPTOS</v>
          </cell>
          <cell r="AH102" t="str">
            <v xml:space="preserve">TOTAL                   DCTO                   LEY </v>
          </cell>
          <cell r="AI102" t="str">
            <v xml:space="preserve">ADELANTO VACACIONES MARZO-05  </v>
          </cell>
          <cell r="AJ102" t="str">
            <v>TOTAL  DCTO LEY  +  ADELANTO VACACIONES</v>
          </cell>
          <cell r="AK102" t="str">
            <v xml:space="preserve">CTS   </v>
          </cell>
          <cell r="AL102" t="str">
            <v>TOTAL A GANAR</v>
          </cell>
          <cell r="AM102" t="str">
            <v>DCTO  PENSION   Y MERCANTIL  SAUCESITO</v>
          </cell>
          <cell r="AN102" t="str">
            <v>DCTO  PENSION   Y MERCANTIL  AUROMINAS</v>
          </cell>
          <cell r="AO102" t="str">
            <v>TOTAL DESCUENTOS</v>
          </cell>
          <cell r="AP102" t="str">
            <v>DESCUENTO JUDICIAL</v>
          </cell>
          <cell r="AQ102" t="str">
            <v>ADELANTO</v>
          </cell>
          <cell r="AR102" t="str">
            <v>TOTAL   NETO     GANADO</v>
          </cell>
          <cell r="AS102" t="str">
            <v>TRIBUTOS Y APORTES A CARGO DEL EMPLEADOR</v>
          </cell>
          <cell r="AZ102" t="str">
            <v>COSTO   PLANILLA                          S / BS</v>
          </cell>
          <cell r="BA102" t="str">
            <v>CTS                                                                              8.33%</v>
          </cell>
          <cell r="BB102" t="str">
            <v>VACACIONES  TRUNCAS    10.22%</v>
          </cell>
          <cell r="BC102" t="str">
            <v>GRATIFICAC    TRUNCA      20.44%</v>
          </cell>
          <cell r="BD102" t="str">
            <v>TOTAL   BENEFICIOS SOCIALES</v>
          </cell>
          <cell r="BE102" t="str">
            <v>GRAN   TOTAL COSTO PLANILLA</v>
          </cell>
        </row>
        <row r="103">
          <cell r="L103" t="str">
            <v>T.O</v>
          </cell>
          <cell r="M103" t="str">
            <v>D Y F     LEY</v>
          </cell>
          <cell r="N103" t="str">
            <v>SUBSID</v>
          </cell>
          <cell r="O103">
            <v>3</v>
          </cell>
          <cell r="P103">
            <v>50</v>
          </cell>
          <cell r="Q103" t="str">
            <v>IMPORTES</v>
          </cell>
          <cell r="V103" t="str">
            <v>ASIGNACION FAMILIAR</v>
          </cell>
          <cell r="W103" t="str">
            <v>BONOS</v>
          </cell>
          <cell r="X103" t="str">
            <v>REINTEGROS</v>
          </cell>
          <cell r="Y103" t="str">
            <v xml:space="preserve">VACACIONES   MARZO-05 </v>
          </cell>
          <cell r="Z103" t="str">
            <v>VAC  TRUNCAS</v>
          </cell>
          <cell r="AA103" t="str">
            <v xml:space="preserve">GRATIFICACIO      TRUNCAS </v>
          </cell>
          <cell r="AC103" t="str">
            <v>S.  N.  P.</v>
          </cell>
          <cell r="AD103" t="str">
            <v>SISTEMA PRIVADO DE PENSIONES</v>
          </cell>
          <cell r="AG103" t="str">
            <v>RENTA                        5ta</v>
          </cell>
          <cell r="AS103" t="str">
            <v>ESSALUD    
 9%</v>
          </cell>
          <cell r="AT103" t="str">
            <v>I.E.S  
1.70 %</v>
          </cell>
          <cell r="AU103" t="str">
            <v>SCTR               1.74%</v>
          </cell>
          <cell r="AV103" t="str">
            <v>LEY  27252       ALTO RIESGO     2%</v>
          </cell>
          <cell r="AW103" t="str">
            <v>SCTR-P        RIMAC              2.65%</v>
          </cell>
          <cell r="AX103" t="str">
            <v>VIDA LEY  RIMAC        0.53%</v>
          </cell>
          <cell r="AY103" t="str">
            <v>TOTAL APORTES       18.39%</v>
          </cell>
        </row>
        <row r="104">
          <cell r="Q104" t="str">
            <v>ORDINARIO</v>
          </cell>
          <cell r="S104" t="str">
            <v>SUBSIDIOS</v>
          </cell>
          <cell r="T104" t="str">
            <v>EXT                                  25%</v>
          </cell>
          <cell r="U104" t="str">
            <v>EXT                                  100%</v>
          </cell>
          <cell r="AD104" t="str">
            <v xml:space="preserve">Obligat. 10% </v>
          </cell>
          <cell r="AE104" t="str">
            <v>SEG.</v>
          </cell>
          <cell r="AF104" t="str">
            <v>COMISI</v>
          </cell>
        </row>
        <row r="105">
          <cell r="A105">
            <v>89</v>
          </cell>
          <cell r="B105">
            <v>1</v>
          </cell>
          <cell r="C105" t="str">
            <v>ARROYO SOTO, Abilio</v>
          </cell>
          <cell r="D105" t="str">
            <v>ADMINISTRADOR</v>
          </cell>
          <cell r="E105">
            <v>38756</v>
          </cell>
          <cell r="H105" t="str">
            <v>16152110</v>
          </cell>
          <cell r="I105">
            <v>1750</v>
          </cell>
          <cell r="K105" t="str">
            <v>UNION</v>
          </cell>
          <cell r="L105">
            <v>30</v>
          </cell>
          <cell r="Q105">
            <v>1750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50</v>
          </cell>
          <cell r="AB105">
            <v>1800</v>
          </cell>
          <cell r="AC105">
            <v>0</v>
          </cell>
          <cell r="AD105">
            <v>180</v>
          </cell>
          <cell r="AE105">
            <v>16.200000000000003</v>
          </cell>
          <cell r="AF105">
            <v>34.92</v>
          </cell>
          <cell r="AH105">
            <v>231.12</v>
          </cell>
          <cell r="AJ105">
            <v>231.12</v>
          </cell>
          <cell r="AL105">
            <v>1568.88</v>
          </cell>
          <cell r="AO105">
            <v>0</v>
          </cell>
          <cell r="AR105">
            <v>1568.88</v>
          </cell>
          <cell r="AS105">
            <v>162</v>
          </cell>
          <cell r="AU105">
            <v>33.119999999999997</v>
          </cell>
          <cell r="AV105">
            <v>0</v>
          </cell>
          <cell r="AW105">
            <v>49.130999999999993</v>
          </cell>
          <cell r="AX105">
            <v>8.6399999999999988</v>
          </cell>
          <cell r="AY105">
            <v>252.89099999999999</v>
          </cell>
          <cell r="AZ105">
            <v>2052.8910000000001</v>
          </cell>
          <cell r="BA105">
            <v>149.94</v>
          </cell>
          <cell r="BB105">
            <v>171.07425000000001</v>
          </cell>
          <cell r="BC105">
            <v>333.8151666666667</v>
          </cell>
          <cell r="BD105">
            <v>654.8294166666667</v>
          </cell>
          <cell r="BE105">
            <v>2707.720416666667</v>
          </cell>
        </row>
        <row r="106">
          <cell r="A106">
            <v>90</v>
          </cell>
          <cell r="B106">
            <v>2</v>
          </cell>
          <cell r="C106" t="str">
            <v>BENITES MORALES, Luis</v>
          </cell>
          <cell r="D106" t="str">
            <v>INGENIERIO RESIDENTE</v>
          </cell>
          <cell r="E106">
            <v>38847</v>
          </cell>
          <cell r="H106" t="str">
            <v>10096631</v>
          </cell>
          <cell r="I106">
            <v>5450</v>
          </cell>
          <cell r="K106" t="str">
            <v>HORIZONTE</v>
          </cell>
          <cell r="L106">
            <v>30</v>
          </cell>
          <cell r="Q106">
            <v>5450</v>
          </cell>
          <cell r="AB106">
            <v>5450</v>
          </cell>
          <cell r="AC106">
            <v>0</v>
          </cell>
          <cell r="AD106">
            <v>545</v>
          </cell>
          <cell r="AE106">
            <v>47.96</v>
          </cell>
          <cell r="AF106">
            <v>106.27500000000001</v>
          </cell>
          <cell r="AG106">
            <v>549.05999999999995</v>
          </cell>
          <cell r="AH106">
            <v>1248.2950000000001</v>
          </cell>
          <cell r="AJ106">
            <v>1248.2950000000001</v>
          </cell>
          <cell r="AL106">
            <v>4201.7049999999999</v>
          </cell>
          <cell r="AO106">
            <v>0</v>
          </cell>
          <cell r="AQ106">
            <v>2000</v>
          </cell>
          <cell r="AR106">
            <v>2201.7049999999999</v>
          </cell>
          <cell r="AS106">
            <v>490.5</v>
          </cell>
          <cell r="AU106">
            <v>100.28</v>
          </cell>
          <cell r="AV106">
            <v>0</v>
          </cell>
          <cell r="AW106">
            <v>148.75774999999999</v>
          </cell>
          <cell r="AX106">
            <v>26.159999999999997</v>
          </cell>
          <cell r="AY106">
            <v>765.69774999999993</v>
          </cell>
          <cell r="AZ106">
            <v>6215.6977500000003</v>
          </cell>
          <cell r="BA106">
            <v>453.98500000000001</v>
          </cell>
          <cell r="BB106">
            <v>517.97481249999998</v>
          </cell>
          <cell r="BC106">
            <v>1035.949625</v>
          </cell>
          <cell r="BD106">
            <v>2007.9094375</v>
          </cell>
          <cell r="BE106">
            <v>8223.6071874999998</v>
          </cell>
        </row>
        <row r="107">
          <cell r="A107">
            <v>91</v>
          </cell>
          <cell r="B107">
            <v>3</v>
          </cell>
          <cell r="C107" t="str">
            <v>CUELLAR MUÑOZ, Raul</v>
          </cell>
          <cell r="D107" t="str">
            <v>JEFE GUARDIA</v>
          </cell>
          <cell r="E107">
            <v>38810</v>
          </cell>
          <cell r="H107" t="str">
            <v>04056567</v>
          </cell>
          <cell r="I107">
            <v>1550</v>
          </cell>
          <cell r="K107" t="str">
            <v>HORIZONTE</v>
          </cell>
          <cell r="L107">
            <v>30</v>
          </cell>
          <cell r="Q107">
            <v>1550</v>
          </cell>
          <cell r="AB107">
            <v>1550</v>
          </cell>
          <cell r="AC107">
            <v>0</v>
          </cell>
          <cell r="AD107">
            <v>155</v>
          </cell>
          <cell r="AE107">
            <v>13.64</v>
          </cell>
          <cell r="AF107">
            <v>30.225000000000001</v>
          </cell>
          <cell r="AH107">
            <v>198.86499999999998</v>
          </cell>
          <cell r="AJ107">
            <v>198.86499999999998</v>
          </cell>
          <cell r="AL107">
            <v>1351.135</v>
          </cell>
          <cell r="AO107">
            <v>0</v>
          </cell>
          <cell r="AR107">
            <v>1351.135</v>
          </cell>
          <cell r="AS107">
            <v>139.5</v>
          </cell>
          <cell r="AU107">
            <v>28.52</v>
          </cell>
          <cell r="AV107">
            <v>0</v>
          </cell>
          <cell r="AW107">
            <v>42.307249999999996</v>
          </cell>
          <cell r="AX107">
            <v>7.4399999999999995</v>
          </cell>
          <cell r="AY107">
            <v>217.76724999999999</v>
          </cell>
          <cell r="AZ107">
            <v>1767.7672499999999</v>
          </cell>
          <cell r="BA107">
            <v>129.11500000000001</v>
          </cell>
          <cell r="BB107">
            <v>147.31393749999998</v>
          </cell>
          <cell r="BC107">
            <v>294.62787499999996</v>
          </cell>
          <cell r="BD107">
            <v>571.05681249999998</v>
          </cell>
          <cell r="BE107">
            <v>2338.8240624999999</v>
          </cell>
        </row>
        <row r="108">
          <cell r="A108">
            <v>92</v>
          </cell>
          <cell r="B108">
            <v>4</v>
          </cell>
          <cell r="C108" t="str">
            <v>DIAZ SANTOS, Luis Antonio</v>
          </cell>
          <cell r="D108" t="str">
            <v>ASISTENTE ADMINISTRACION</v>
          </cell>
          <cell r="E108">
            <v>38756</v>
          </cell>
          <cell r="H108" t="str">
            <v>19936302</v>
          </cell>
          <cell r="I108">
            <v>850</v>
          </cell>
          <cell r="K108" t="str">
            <v>PROFUTURO</v>
          </cell>
          <cell r="L108">
            <v>28</v>
          </cell>
          <cell r="Q108">
            <v>793.33333333333326</v>
          </cell>
          <cell r="R108">
            <v>0</v>
          </cell>
          <cell r="S108">
            <v>0</v>
          </cell>
          <cell r="T108">
            <v>6</v>
          </cell>
          <cell r="U108">
            <v>0</v>
          </cell>
          <cell r="V108">
            <v>50</v>
          </cell>
          <cell r="AB108">
            <v>849.33333333333326</v>
          </cell>
          <cell r="AC108">
            <v>0</v>
          </cell>
          <cell r="AD108">
            <v>84.933333333333337</v>
          </cell>
          <cell r="AE108">
            <v>8.578266666666666</v>
          </cell>
          <cell r="AF108">
            <v>16.816799999999997</v>
          </cell>
          <cell r="AH108">
            <v>110.3284</v>
          </cell>
          <cell r="AI108">
            <v>0</v>
          </cell>
          <cell r="AJ108">
            <v>110.3284</v>
          </cell>
          <cell r="AL108">
            <v>739.00493333333327</v>
          </cell>
          <cell r="AN108">
            <v>1.5</v>
          </cell>
          <cell r="AO108">
            <v>1.5</v>
          </cell>
          <cell r="AR108">
            <v>737.50493333333327</v>
          </cell>
          <cell r="AS108">
            <v>76.439999999999984</v>
          </cell>
          <cell r="AU108">
            <v>15.627733333333332</v>
          </cell>
          <cell r="AV108">
            <v>0</v>
          </cell>
          <cell r="AW108">
            <v>23.182553333333331</v>
          </cell>
          <cell r="AX108">
            <v>4.0767999999999995</v>
          </cell>
          <cell r="AY108">
            <v>119.32708666666664</v>
          </cell>
          <cell r="AZ108">
            <v>968.66041999999993</v>
          </cell>
          <cell r="BA108">
            <v>70.749466666666663</v>
          </cell>
          <cell r="BB108">
            <v>80.221701666666661</v>
          </cell>
          <cell r="BC108">
            <v>153.11006999999998</v>
          </cell>
          <cell r="BD108">
            <v>304.08123833333332</v>
          </cell>
          <cell r="BE108">
            <v>1272.7416583333334</v>
          </cell>
        </row>
        <row r="109">
          <cell r="A109">
            <v>93</v>
          </cell>
          <cell r="B109">
            <v>5</v>
          </cell>
          <cell r="C109" t="str">
            <v>ELIAS LA CHIRA, Celestino</v>
          </cell>
          <cell r="D109" t="str">
            <v>INSPECTOR DE SEGURIDAD</v>
          </cell>
          <cell r="E109">
            <v>38756</v>
          </cell>
          <cell r="H109" t="str">
            <v>09412515</v>
          </cell>
          <cell r="I109">
            <v>1150</v>
          </cell>
          <cell r="K109" t="str">
            <v>UNION</v>
          </cell>
          <cell r="L109">
            <v>30</v>
          </cell>
          <cell r="Q109">
            <v>1150</v>
          </cell>
          <cell r="AB109">
            <v>1150</v>
          </cell>
          <cell r="AC109">
            <v>0</v>
          </cell>
          <cell r="AD109">
            <v>115</v>
          </cell>
          <cell r="AE109">
            <v>10.350000000000001</v>
          </cell>
          <cell r="AF109">
            <v>22.310000000000002</v>
          </cell>
          <cell r="AH109">
            <v>147.66</v>
          </cell>
          <cell r="AJ109">
            <v>147.66</v>
          </cell>
          <cell r="AL109">
            <v>1002.34</v>
          </cell>
          <cell r="AN109">
            <v>31.5</v>
          </cell>
          <cell r="AO109">
            <v>31.5</v>
          </cell>
          <cell r="AR109">
            <v>970.84</v>
          </cell>
          <cell r="AS109">
            <v>103.5</v>
          </cell>
          <cell r="AU109">
            <v>21.16</v>
          </cell>
          <cell r="AV109">
            <v>0</v>
          </cell>
          <cell r="AW109">
            <v>31.389249999999997</v>
          </cell>
          <cell r="AX109">
            <v>5.52</v>
          </cell>
          <cell r="AY109">
            <v>161.56925000000001</v>
          </cell>
          <cell r="AZ109">
            <v>1311.56925</v>
          </cell>
          <cell r="BA109">
            <v>95.795000000000002</v>
          </cell>
          <cell r="BB109">
            <v>109.2974375</v>
          </cell>
          <cell r="BC109">
            <v>218.594875</v>
          </cell>
          <cell r="BD109">
            <v>423.68731250000002</v>
          </cell>
          <cell r="BE109">
            <v>1735.2565625</v>
          </cell>
        </row>
        <row r="110">
          <cell r="A110">
            <v>94</v>
          </cell>
          <cell r="B110">
            <v>6</v>
          </cell>
          <cell r="C110" t="str">
            <v>HINOSTROZA MAXIMILIANO, David</v>
          </cell>
          <cell r="D110" t="str">
            <v>INGENIERO DE SOSTENIMIENTO</v>
          </cell>
          <cell r="E110">
            <v>38852</v>
          </cell>
          <cell r="H110" t="str">
            <v>07652856</v>
          </cell>
          <cell r="I110">
            <v>1950</v>
          </cell>
          <cell r="K110" t="str">
            <v>ONP</v>
          </cell>
          <cell r="L110">
            <v>30</v>
          </cell>
          <cell r="Q110">
            <v>1950</v>
          </cell>
          <cell r="AB110">
            <v>1950</v>
          </cell>
          <cell r="AC110">
            <v>253.5</v>
          </cell>
          <cell r="AD110">
            <v>0</v>
          </cell>
          <cell r="AE110">
            <v>0</v>
          </cell>
          <cell r="AF110">
            <v>0</v>
          </cell>
          <cell r="AH110">
            <v>253.5</v>
          </cell>
          <cell r="AJ110">
            <v>253.5</v>
          </cell>
          <cell r="AL110">
            <v>1696.5</v>
          </cell>
          <cell r="AN110">
            <v>225.5</v>
          </cell>
          <cell r="AO110">
            <v>225.5</v>
          </cell>
          <cell r="AR110">
            <v>1471</v>
          </cell>
          <cell r="AS110">
            <v>175.5</v>
          </cell>
          <cell r="AU110">
            <v>35.880000000000003</v>
          </cell>
          <cell r="AV110">
            <v>0</v>
          </cell>
          <cell r="AW110">
            <v>53.225249999999996</v>
          </cell>
          <cell r="AX110">
            <v>9.36</v>
          </cell>
          <cell r="AY110">
            <v>273.96525000000003</v>
          </cell>
          <cell r="AZ110">
            <v>2223.9652500000002</v>
          </cell>
          <cell r="BA110">
            <v>162.435</v>
          </cell>
          <cell r="BB110">
            <v>185.33043750000002</v>
          </cell>
          <cell r="BC110">
            <v>370.66087500000003</v>
          </cell>
          <cell r="BD110">
            <v>718.42631249999999</v>
          </cell>
          <cell r="BE110">
            <v>2942.3915625</v>
          </cell>
        </row>
        <row r="111">
          <cell r="A111">
            <v>95</v>
          </cell>
          <cell r="B111">
            <v>7</v>
          </cell>
          <cell r="C111" t="str">
            <v>PONCE LUNA, Yincol</v>
          </cell>
          <cell r="D111" t="str">
            <v>SUPERVISOR SHOTCRETE</v>
          </cell>
          <cell r="E111">
            <v>38810</v>
          </cell>
          <cell r="H111" t="str">
            <v>40783379</v>
          </cell>
          <cell r="I111">
            <v>1950</v>
          </cell>
          <cell r="K111" t="str">
            <v>ONP</v>
          </cell>
          <cell r="L111">
            <v>30</v>
          </cell>
          <cell r="Q111">
            <v>1950</v>
          </cell>
          <cell r="AB111">
            <v>1950</v>
          </cell>
          <cell r="AC111">
            <v>253.5</v>
          </cell>
          <cell r="AD111">
            <v>0</v>
          </cell>
          <cell r="AE111">
            <v>0</v>
          </cell>
          <cell r="AF111">
            <v>0</v>
          </cell>
          <cell r="AH111">
            <v>253.5</v>
          </cell>
          <cell r="AJ111">
            <v>253.5</v>
          </cell>
          <cell r="AL111">
            <v>1696.5</v>
          </cell>
          <cell r="AO111">
            <v>0</v>
          </cell>
          <cell r="AR111">
            <v>1696.5</v>
          </cell>
          <cell r="AS111">
            <v>175.5</v>
          </cell>
          <cell r="AU111">
            <v>35.880000000000003</v>
          </cell>
          <cell r="AV111">
            <v>0</v>
          </cell>
          <cell r="AW111">
            <v>53.225249999999996</v>
          </cell>
          <cell r="AX111">
            <v>9.36</v>
          </cell>
          <cell r="AY111">
            <v>273.96525000000003</v>
          </cell>
          <cell r="AZ111">
            <v>2223.9652500000002</v>
          </cell>
          <cell r="BA111">
            <v>162.435</v>
          </cell>
          <cell r="BB111">
            <v>185.33043750000002</v>
          </cell>
          <cell r="BC111">
            <v>370.66087500000003</v>
          </cell>
          <cell r="BD111">
            <v>718.42631249999999</v>
          </cell>
          <cell r="BE111">
            <v>2942.3915625</v>
          </cell>
        </row>
        <row r="112">
          <cell r="A112">
            <v>96</v>
          </cell>
          <cell r="B112">
            <v>8</v>
          </cell>
          <cell r="C112" t="str">
            <v>QUIÑONES GUERRERO JUAN</v>
          </cell>
          <cell r="D112" t="str">
            <v>JEFE DE SEGURIDAD</v>
          </cell>
          <cell r="E112">
            <v>38819</v>
          </cell>
          <cell r="H112" t="str">
            <v>27752382</v>
          </cell>
          <cell r="I112">
            <v>4500</v>
          </cell>
          <cell r="K112" t="str">
            <v>UNION</v>
          </cell>
          <cell r="L112">
            <v>30</v>
          </cell>
          <cell r="Q112">
            <v>4500</v>
          </cell>
          <cell r="AB112">
            <v>4500</v>
          </cell>
          <cell r="AC112">
            <v>0</v>
          </cell>
          <cell r="AD112">
            <v>450</v>
          </cell>
          <cell r="AE112">
            <v>40.500000000000007</v>
          </cell>
          <cell r="AF112">
            <v>87.3</v>
          </cell>
          <cell r="AG112">
            <v>400.83</v>
          </cell>
          <cell r="AH112">
            <v>978.62999999999988</v>
          </cell>
          <cell r="AJ112">
            <v>978.62999999999988</v>
          </cell>
          <cell r="AL112">
            <v>3521.37</v>
          </cell>
          <cell r="AO112">
            <v>0</v>
          </cell>
          <cell r="AR112">
            <v>3521.37</v>
          </cell>
          <cell r="AS112">
            <v>405</v>
          </cell>
          <cell r="AU112">
            <v>82.8</v>
          </cell>
          <cell r="AV112">
            <v>0</v>
          </cell>
          <cell r="AW112">
            <v>122.8275</v>
          </cell>
          <cell r="AX112">
            <v>21.599999999999998</v>
          </cell>
          <cell r="AY112">
            <v>632.22750000000008</v>
          </cell>
          <cell r="AZ112">
            <v>5132.2275</v>
          </cell>
          <cell r="BA112">
            <v>374.85</v>
          </cell>
          <cell r="BB112">
            <v>427.68562500000002</v>
          </cell>
          <cell r="BC112">
            <v>855.37125000000003</v>
          </cell>
          <cell r="BD112">
            <v>1657.9068750000001</v>
          </cell>
          <cell r="BE112">
            <v>6790.1343749999996</v>
          </cell>
        </row>
        <row r="113">
          <cell r="A113">
            <v>97</v>
          </cell>
          <cell r="B113">
            <v>9</v>
          </cell>
          <cell r="C113" t="str">
            <v>QUISPE HUERTAS, Javier</v>
          </cell>
          <cell r="D113" t="str">
            <v>JEFE GUARDIA</v>
          </cell>
          <cell r="E113">
            <v>38756</v>
          </cell>
          <cell r="H113" t="str">
            <v>04064883</v>
          </cell>
          <cell r="I113">
            <v>1550</v>
          </cell>
          <cell r="K113" t="str">
            <v>ONP</v>
          </cell>
          <cell r="L113">
            <v>30</v>
          </cell>
          <cell r="Q113">
            <v>1550</v>
          </cell>
          <cell r="R113">
            <v>0</v>
          </cell>
          <cell r="S113">
            <v>0</v>
          </cell>
          <cell r="U113">
            <v>0</v>
          </cell>
          <cell r="AB113">
            <v>1550</v>
          </cell>
          <cell r="AC113">
            <v>201.5</v>
          </cell>
          <cell r="AD113">
            <v>0</v>
          </cell>
          <cell r="AE113">
            <v>0</v>
          </cell>
          <cell r="AF113">
            <v>0</v>
          </cell>
          <cell r="AH113">
            <v>201.5</v>
          </cell>
          <cell r="AJ113">
            <v>201.5</v>
          </cell>
          <cell r="AL113">
            <v>1348.5</v>
          </cell>
          <cell r="AO113">
            <v>0</v>
          </cell>
          <cell r="AP113">
            <v>650</v>
          </cell>
          <cell r="AR113">
            <v>698.5</v>
          </cell>
          <cell r="AS113">
            <v>139.5</v>
          </cell>
          <cell r="AU113">
            <v>28.52</v>
          </cell>
          <cell r="AV113">
            <v>0</v>
          </cell>
          <cell r="AW113">
            <v>42.307249999999996</v>
          </cell>
          <cell r="AX113">
            <v>7.4399999999999995</v>
          </cell>
          <cell r="AY113">
            <v>217.76724999999999</v>
          </cell>
          <cell r="AZ113">
            <v>1767.7672499999999</v>
          </cell>
          <cell r="BA113">
            <v>129.11500000000001</v>
          </cell>
          <cell r="BB113">
            <v>147.31393749999998</v>
          </cell>
          <cell r="BC113">
            <v>294.62787499999996</v>
          </cell>
          <cell r="BD113">
            <v>571.05681249999998</v>
          </cell>
          <cell r="BE113">
            <v>2338.8240624999999</v>
          </cell>
        </row>
        <row r="114">
          <cell r="A114">
            <v>98</v>
          </cell>
          <cell r="B114">
            <v>10</v>
          </cell>
          <cell r="C114" t="str">
            <v>ROMERO PANEZ, Jaime William</v>
          </cell>
          <cell r="D114" t="str">
            <v>ASISTENTE ADMINISTRACION</v>
          </cell>
          <cell r="E114">
            <v>38847</v>
          </cell>
          <cell r="H114" t="str">
            <v>04083768</v>
          </cell>
          <cell r="I114">
            <v>1450</v>
          </cell>
          <cell r="K114" t="str">
            <v>UNION</v>
          </cell>
          <cell r="L114">
            <v>30</v>
          </cell>
          <cell r="Q114">
            <v>1450</v>
          </cell>
          <cell r="V114">
            <v>50</v>
          </cell>
          <cell r="AB114">
            <v>1500</v>
          </cell>
          <cell r="AC114">
            <v>0</v>
          </cell>
          <cell r="AD114">
            <v>150</v>
          </cell>
          <cell r="AE114">
            <v>13.500000000000002</v>
          </cell>
          <cell r="AF114">
            <v>29.1</v>
          </cell>
          <cell r="AH114">
            <v>192.6</v>
          </cell>
          <cell r="AJ114">
            <v>192.6</v>
          </cell>
          <cell r="AL114">
            <v>1307.4000000000001</v>
          </cell>
          <cell r="AM114">
            <v>0</v>
          </cell>
          <cell r="AN114">
            <v>35.5</v>
          </cell>
          <cell r="AR114">
            <v>1307.4000000000001</v>
          </cell>
          <cell r="AS114">
            <v>135</v>
          </cell>
          <cell r="AT114">
            <v>0</v>
          </cell>
          <cell r="AU114">
            <v>27.599999999999998</v>
          </cell>
          <cell r="AV114">
            <v>1</v>
          </cell>
          <cell r="AW114">
            <v>40.942500000000003</v>
          </cell>
          <cell r="AX114">
            <v>7.1999999999999993</v>
          </cell>
          <cell r="AY114">
            <v>211.74249999999998</v>
          </cell>
          <cell r="AZ114">
            <v>1711.7425000000001</v>
          </cell>
          <cell r="BA114">
            <v>124.95</v>
          </cell>
          <cell r="BB114">
            <v>142.64520833333333</v>
          </cell>
          <cell r="BC114">
            <v>276.95708333333334</v>
          </cell>
          <cell r="BD114">
            <v>544.55229166666663</v>
          </cell>
          <cell r="BE114">
            <v>2256.2947916666667</v>
          </cell>
        </row>
        <row r="115">
          <cell r="A115">
            <v>99</v>
          </cell>
          <cell r="B115">
            <v>11</v>
          </cell>
          <cell r="C115" t="str">
            <v>VILA HUAMANI, Nalda</v>
          </cell>
          <cell r="D115" t="str">
            <v>LEGAL</v>
          </cell>
          <cell r="E115">
            <v>38777</v>
          </cell>
          <cell r="H115" t="str">
            <v>40044955</v>
          </cell>
          <cell r="I115">
            <v>2000</v>
          </cell>
          <cell r="K115" t="str">
            <v>ONP</v>
          </cell>
          <cell r="L115">
            <v>30</v>
          </cell>
          <cell r="Q115">
            <v>2000.0000000000002</v>
          </cell>
          <cell r="AB115">
            <v>2000.0000000000002</v>
          </cell>
          <cell r="AC115">
            <v>260.00000000000006</v>
          </cell>
          <cell r="AD115">
            <v>0</v>
          </cell>
          <cell r="AE115">
            <v>0</v>
          </cell>
          <cell r="AF115">
            <v>0</v>
          </cell>
          <cell r="AG115">
            <v>3</v>
          </cell>
          <cell r="AH115">
            <v>263.00000000000006</v>
          </cell>
          <cell r="AJ115">
            <v>263.00000000000006</v>
          </cell>
          <cell r="AL115">
            <v>1737.0000000000002</v>
          </cell>
          <cell r="AO115">
            <v>0</v>
          </cell>
          <cell r="AR115">
            <v>1737.0000000000002</v>
          </cell>
          <cell r="AS115">
            <v>180</v>
          </cell>
          <cell r="AU115">
            <v>36.800000000000004</v>
          </cell>
          <cell r="AV115">
            <v>0</v>
          </cell>
          <cell r="AW115">
            <v>54.590000000000011</v>
          </cell>
          <cell r="AX115">
            <v>9.6</v>
          </cell>
          <cell r="AY115">
            <v>280.99000000000007</v>
          </cell>
          <cell r="AZ115">
            <v>2280.9900000000002</v>
          </cell>
          <cell r="BA115">
            <v>166.60000000000002</v>
          </cell>
          <cell r="BB115">
            <v>190.08250000000001</v>
          </cell>
          <cell r="BC115">
            <v>380.16500000000002</v>
          </cell>
          <cell r="BD115">
            <v>736.84750000000008</v>
          </cell>
          <cell r="BE115">
            <v>3017.8375000000005</v>
          </cell>
        </row>
        <row r="116">
          <cell r="A116">
            <v>100</v>
          </cell>
          <cell r="B116">
            <v>12</v>
          </cell>
          <cell r="C116" t="str">
            <v>VILA HUAROC, VICTOR</v>
          </cell>
          <cell r="D116" t="str">
            <v>GERENTE</v>
          </cell>
          <cell r="E116">
            <v>38756</v>
          </cell>
          <cell r="H116" t="str">
            <v>20007579</v>
          </cell>
          <cell r="I116">
            <v>3450</v>
          </cell>
          <cell r="K116" t="str">
            <v>HORIZONTE</v>
          </cell>
          <cell r="L116">
            <v>30</v>
          </cell>
          <cell r="Q116">
            <v>3450</v>
          </cell>
          <cell r="AB116">
            <v>3450</v>
          </cell>
          <cell r="AC116">
            <v>0</v>
          </cell>
          <cell r="AD116">
            <v>345</v>
          </cell>
          <cell r="AE116">
            <v>30.360000000000003</v>
          </cell>
          <cell r="AF116">
            <v>67.275000000000006</v>
          </cell>
          <cell r="AG116">
            <v>272.93</v>
          </cell>
          <cell r="AH116">
            <v>715.56500000000005</v>
          </cell>
          <cell r="AJ116">
            <v>715.56500000000005</v>
          </cell>
          <cell r="AL116">
            <v>2734.4349999999999</v>
          </cell>
          <cell r="AO116">
            <v>0</v>
          </cell>
          <cell r="AR116">
            <v>2734.4349999999999</v>
          </cell>
          <cell r="AS116">
            <v>310.5</v>
          </cell>
          <cell r="AU116">
            <v>63.48</v>
          </cell>
          <cell r="AV116">
            <v>0</v>
          </cell>
          <cell r="AW116">
            <v>94.167749999999998</v>
          </cell>
          <cell r="AX116">
            <v>16.559999999999999</v>
          </cell>
          <cell r="AY116">
            <v>484.70775000000003</v>
          </cell>
          <cell r="AZ116">
            <v>3934.70775</v>
          </cell>
          <cell r="BA116">
            <v>287.38499999999999</v>
          </cell>
          <cell r="BB116">
            <v>327.8923125</v>
          </cell>
          <cell r="BC116">
            <v>655.78462500000001</v>
          </cell>
          <cell r="BD116">
            <v>1271.0619375000001</v>
          </cell>
          <cell r="BE116">
            <v>5205.7696875000001</v>
          </cell>
        </row>
        <row r="117">
          <cell r="B117" t="str">
            <v>SUB  TOTAL EMPLEADOS = 12</v>
          </cell>
          <cell r="L117">
            <v>358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27543.333333333336</v>
          </cell>
          <cell r="R117">
            <v>0</v>
          </cell>
          <cell r="S117">
            <v>0</v>
          </cell>
          <cell r="T117">
            <v>6</v>
          </cell>
          <cell r="U117">
            <v>0</v>
          </cell>
          <cell r="V117">
            <v>150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27699.333333333336</v>
          </cell>
          <cell r="AC117">
            <v>968.5</v>
          </cell>
          <cell r="AD117">
            <v>2024.9333333333334</v>
          </cell>
          <cell r="AE117">
            <v>181.08826666666667</v>
          </cell>
          <cell r="AF117">
            <v>394.22180000000003</v>
          </cell>
          <cell r="AG117">
            <v>1225.82</v>
          </cell>
          <cell r="AH117">
            <v>4794.5634</v>
          </cell>
          <cell r="AI117">
            <v>0</v>
          </cell>
          <cell r="AJ117">
            <v>4794.5634</v>
          </cell>
          <cell r="AK117">
            <v>0</v>
          </cell>
          <cell r="AL117">
            <v>22904.769933333337</v>
          </cell>
          <cell r="AM117">
            <v>0</v>
          </cell>
          <cell r="AN117">
            <v>294</v>
          </cell>
          <cell r="AO117">
            <v>258.5</v>
          </cell>
          <cell r="AQ117">
            <v>2000</v>
          </cell>
          <cell r="AR117">
            <v>19996.269933333337</v>
          </cell>
          <cell r="AS117">
            <v>2492.94</v>
          </cell>
          <cell r="AT117">
            <v>0</v>
          </cell>
          <cell r="AU117">
            <v>509.66773333333339</v>
          </cell>
          <cell r="AV117">
            <v>1</v>
          </cell>
          <cell r="AW117">
            <v>756.05330333333325</v>
          </cell>
          <cell r="AX117">
            <v>132.95679999999999</v>
          </cell>
          <cell r="AY117">
            <v>3892.6178366666663</v>
          </cell>
          <cell r="AZ117">
            <v>31591.951170000008</v>
          </cell>
          <cell r="BA117">
            <v>2307.3544666666667</v>
          </cell>
          <cell r="BB117">
            <v>2632.1625975000002</v>
          </cell>
          <cell r="BC117">
            <v>5240.3251950000003</v>
          </cell>
          <cell r="BD117">
            <v>10179.842259166668</v>
          </cell>
          <cell r="BE117">
            <v>41771.793429166661</v>
          </cell>
        </row>
        <row r="119">
          <cell r="B119" t="str">
            <v>TOTAL PLANILLA MAYO- 2005</v>
          </cell>
          <cell r="L119">
            <v>1920</v>
          </cell>
          <cell r="M119">
            <v>357.60000000000008</v>
          </cell>
          <cell r="N119">
            <v>93</v>
          </cell>
          <cell r="O119">
            <v>201</v>
          </cell>
          <cell r="P119">
            <v>3528</v>
          </cell>
          <cell r="Q119">
            <v>76814.263333333336</v>
          </cell>
          <cell r="R119">
            <v>11351.478000000001</v>
          </cell>
          <cell r="S119">
            <v>3135.0600000000004</v>
          </cell>
          <cell r="T119">
            <v>6557.6199999999953</v>
          </cell>
          <cell r="U119">
            <v>17456.531250000004</v>
          </cell>
          <cell r="V119">
            <v>2601.333333333333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117916.28591666667</v>
          </cell>
          <cell r="AC119">
            <v>4684.4164845833347</v>
          </cell>
          <cell r="AD119">
            <v>9420.8908883333315</v>
          </cell>
          <cell r="AE119">
            <v>759.88036184166651</v>
          </cell>
          <cell r="AF119">
            <v>1585.2481124624999</v>
          </cell>
          <cell r="AG119">
            <v>1225.82</v>
          </cell>
          <cell r="AH119">
            <v>17676.255847220826</v>
          </cell>
          <cell r="AI119">
            <v>0</v>
          </cell>
          <cell r="AJ119">
            <v>17676.255847220826</v>
          </cell>
          <cell r="AK119">
            <v>0</v>
          </cell>
          <cell r="AL119">
            <v>100240.03006944581</v>
          </cell>
          <cell r="AM119">
            <v>371.3</v>
          </cell>
          <cell r="AN119">
            <v>2273.6</v>
          </cell>
          <cell r="AO119">
            <v>2609.3999999999996</v>
          </cell>
          <cell r="AQ119">
            <v>2000</v>
          </cell>
          <cell r="AR119">
            <v>94530.630069445819</v>
          </cell>
          <cell r="AS119">
            <v>10612.465732500001</v>
          </cell>
          <cell r="AT119">
            <v>0</v>
          </cell>
          <cell r="AU119">
            <v>2169.6596608666659</v>
          </cell>
          <cell r="AV119">
            <v>1233.6595924999997</v>
          </cell>
          <cell r="AW119">
            <v>3005.1172732670848</v>
          </cell>
          <cell r="AX119">
            <v>1200.8884761999993</v>
          </cell>
          <cell r="AY119">
            <v>18221.790735333758</v>
          </cell>
          <cell r="AZ119">
            <v>136138.07665200043</v>
          </cell>
          <cell r="BA119">
            <v>9822.4266168583326</v>
          </cell>
          <cell r="BB119">
            <v>9343.6604501667025</v>
          </cell>
          <cell r="BC119">
            <v>19346.702011444515</v>
          </cell>
          <cell r="BD119">
            <v>38512.789078469548</v>
          </cell>
          <cell r="BE119">
            <v>174650.86573046999</v>
          </cell>
        </row>
      </sheetData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la"/>
      <sheetName val="Tareo Diario de Mina"/>
      <sheetName val="Declaracion Planilla"/>
      <sheetName val="Presupuesto"/>
      <sheetName val="Cuadro de Leyes Sociales"/>
      <sheetName val="CTS"/>
      <sheetName val="Tareo de Mina"/>
      <sheetName val="Reporte"/>
      <sheetName val="Remesa"/>
      <sheetName val="Dcto"/>
      <sheetName val="1"/>
      <sheetName val="2"/>
      <sheetName val="3"/>
      <sheetName val="4"/>
      <sheetName val="5"/>
      <sheetName val="Opc"/>
      <sheetName val="PLANILLA OK."/>
    </sheetNames>
    <sheetDataSet>
      <sheetData sheetId="0">
        <row r="7">
          <cell r="B7" t="str">
            <v>Nº</v>
          </cell>
          <cell r="C7" t="str">
            <v>NOMBRE  Y  APELLIDOS</v>
          </cell>
          <cell r="D7" t="str">
            <v>CARGO
OCUPACION</v>
          </cell>
          <cell r="E7" t="str">
            <v>FECHA DE INGRESO</v>
          </cell>
          <cell r="F7" t="str">
            <v>JOR.</v>
          </cell>
          <cell r="G7" t="str">
            <v>AFP/ONP</v>
          </cell>
          <cell r="H7" t="str">
            <v>JORNADA</v>
          </cell>
          <cell r="M7" t="str">
            <v xml:space="preserve">Remuneraciones </v>
          </cell>
          <cell r="U7" t="str">
            <v>BONOS</v>
          </cell>
          <cell r="V7" t="str">
            <v>REINTEGRO</v>
          </cell>
          <cell r="W7" t="str">
            <v>TOTAL 
REMUNERACION</v>
          </cell>
          <cell r="X7" t="str">
            <v>Retenciones a Cargo del Trabajador por Tributos, Aportes Previsionales, Cuotas y otros conceptos</v>
          </cell>
          <cell r="AC7" t="str">
            <v>RENTA
5TA</v>
          </cell>
          <cell r="AD7" t="str">
            <v>TOTAL
DEDUCCION</v>
          </cell>
          <cell r="AE7" t="str">
            <v>NETO A
PAGAR</v>
          </cell>
          <cell r="AF7" t="str">
            <v>Tributos y Aportes a cargo del Empleador</v>
          </cell>
          <cell r="AJ7" t="str">
            <v>VACACIONES</v>
          </cell>
        </row>
        <row r="9">
          <cell r="H9" t="str">
            <v>Días
Ordin</v>
          </cell>
          <cell r="I9" t="str">
            <v>Domini</v>
          </cell>
          <cell r="J9" t="str">
            <v>Sextos</v>
          </cell>
          <cell r="K9" t="str">
            <v>Fer.</v>
          </cell>
          <cell r="L9" t="str">
            <v>H.E 
25%</v>
          </cell>
          <cell r="M9" t="str">
            <v>Importe</v>
          </cell>
          <cell r="N9" t="str">
            <v>Importe</v>
          </cell>
          <cell r="O9" t="str">
            <v>Importe</v>
          </cell>
          <cell r="P9" t="str">
            <v>Importe</v>
          </cell>
          <cell r="Q9" t="str">
            <v>Importe</v>
          </cell>
          <cell r="R9" t="str">
            <v>ASIG.</v>
          </cell>
          <cell r="S9" t="str">
            <v>VAC</v>
          </cell>
          <cell r="T9" t="str">
            <v>GRATIF.</v>
          </cell>
          <cell r="X9" t="str">
            <v>S.  N.  P.</v>
          </cell>
          <cell r="Y9" t="str">
            <v>Sist. Privado de Pensiones A.F.P</v>
          </cell>
          <cell r="AB9" t="str">
            <v>IPSS</v>
          </cell>
          <cell r="AF9" t="str">
            <v>ESSALUD
 9%</v>
          </cell>
          <cell r="AG9" t="str">
            <v>I.E.S  
2 %</v>
          </cell>
          <cell r="AH9" t="str">
            <v xml:space="preserve">S.C.T.R. </v>
          </cell>
          <cell r="AI9" t="str">
            <v>TOTAL</v>
          </cell>
          <cell r="AJ9" t="str">
            <v>SALIDA</v>
          </cell>
          <cell r="AM9" t="str">
            <v>RETORNO</v>
          </cell>
        </row>
        <row r="10">
          <cell r="M10" t="str">
            <v>Ordinario</v>
          </cell>
          <cell r="N10" t="str">
            <v>Dominic.</v>
          </cell>
          <cell r="O10" t="str">
            <v>Sextos</v>
          </cell>
          <cell r="P10" t="str">
            <v>Fer. NL</v>
          </cell>
          <cell r="Q10" t="str">
            <v>EXT.25%</v>
          </cell>
          <cell r="R10" t="str">
            <v>Familiar</v>
          </cell>
          <cell r="S10" t="str">
            <v>TRUN</v>
          </cell>
          <cell r="T10" t="str">
            <v>PROPOR.</v>
          </cell>
          <cell r="Y10" t="str">
            <v>Obligat. 8%</v>
          </cell>
          <cell r="Z10" t="str">
            <v>SEG.</v>
          </cell>
          <cell r="AA10" t="str">
            <v>COMISI</v>
          </cell>
          <cell r="AB10" t="str">
            <v>VIDA</v>
          </cell>
          <cell r="AH10">
            <v>1.7399999999999999E-2</v>
          </cell>
          <cell r="AJ10" t="str">
            <v>D</v>
          </cell>
          <cell r="AK10" t="str">
            <v>M</v>
          </cell>
          <cell r="AL10" t="str">
            <v>A</v>
          </cell>
          <cell r="AM10" t="str">
            <v>D</v>
          </cell>
          <cell r="AN10" t="str">
            <v>M</v>
          </cell>
          <cell r="AO10" t="str">
            <v>A</v>
          </cell>
        </row>
        <row r="11">
          <cell r="B11">
            <v>1</v>
          </cell>
          <cell r="C11" t="str">
            <v>AFFATA QUISPE, Julio Emilio</v>
          </cell>
          <cell r="D11" t="str">
            <v>AYUDANTE</v>
          </cell>
          <cell r="E11">
            <v>36995</v>
          </cell>
          <cell r="F11">
            <v>26</v>
          </cell>
          <cell r="G11" t="str">
            <v>INTEGRA</v>
          </cell>
          <cell r="H11">
            <v>24</v>
          </cell>
          <cell r="I11">
            <v>5</v>
          </cell>
          <cell r="J11">
            <v>0</v>
          </cell>
          <cell r="K11">
            <v>1</v>
          </cell>
          <cell r="L11">
            <v>28</v>
          </cell>
          <cell r="M11">
            <v>624</v>
          </cell>
          <cell r="N11">
            <v>130</v>
          </cell>
          <cell r="O11">
            <v>0</v>
          </cell>
          <cell r="P11">
            <v>26</v>
          </cell>
          <cell r="Q11">
            <v>113.75</v>
          </cell>
          <cell r="R11">
            <v>0</v>
          </cell>
          <cell r="S11">
            <v>0</v>
          </cell>
          <cell r="T11">
            <v>276.25</v>
          </cell>
          <cell r="U11">
            <v>0</v>
          </cell>
          <cell r="V11">
            <v>0</v>
          </cell>
          <cell r="W11">
            <v>1170</v>
          </cell>
          <cell r="Y11">
            <v>93.600000000000009</v>
          </cell>
          <cell r="Z11">
            <v>15.795</v>
          </cell>
          <cell r="AA11">
            <v>24.57</v>
          </cell>
          <cell r="AD11">
            <v>133.965</v>
          </cell>
          <cell r="AE11">
            <v>1036.0350000000001</v>
          </cell>
          <cell r="AF11">
            <v>93.24315</v>
          </cell>
          <cell r="AG11">
            <v>20.720700000000001</v>
          </cell>
          <cell r="AH11">
            <v>18.027009</v>
          </cell>
          <cell r="AI11">
            <v>131.990859</v>
          </cell>
        </row>
        <row r="12">
          <cell r="B12">
            <v>2</v>
          </cell>
          <cell r="C12" t="str">
            <v>AFPATA CJURO, Augusto</v>
          </cell>
          <cell r="D12" t="str">
            <v>PERFORISTA</v>
          </cell>
          <cell r="E12">
            <v>37292</v>
          </cell>
          <cell r="F12">
            <v>28</v>
          </cell>
          <cell r="G12" t="str">
            <v>HORIZONTE</v>
          </cell>
          <cell r="H12">
            <v>24</v>
          </cell>
          <cell r="I12">
            <v>5</v>
          </cell>
          <cell r="J12">
            <v>0</v>
          </cell>
          <cell r="K12">
            <v>1</v>
          </cell>
          <cell r="L12">
            <v>28</v>
          </cell>
          <cell r="M12">
            <v>672</v>
          </cell>
          <cell r="N12">
            <v>140</v>
          </cell>
          <cell r="O12">
            <v>0</v>
          </cell>
          <cell r="P12">
            <v>28</v>
          </cell>
          <cell r="Q12">
            <v>122.5</v>
          </cell>
          <cell r="R12">
            <v>41</v>
          </cell>
          <cell r="S12">
            <v>0</v>
          </cell>
          <cell r="T12">
            <v>622.33000000000004</v>
          </cell>
          <cell r="U12">
            <v>0</v>
          </cell>
          <cell r="V12">
            <v>0</v>
          </cell>
          <cell r="W12">
            <v>1625.83</v>
          </cell>
          <cell r="Y12">
            <v>130.06639999999999</v>
          </cell>
          <cell r="Z12">
            <v>13.86</v>
          </cell>
          <cell r="AA12">
            <v>22.13</v>
          </cell>
          <cell r="AD12">
            <v>166.0564</v>
          </cell>
          <cell r="AE12">
            <v>1459.7736</v>
          </cell>
          <cell r="AF12">
            <v>131.37962400000001</v>
          </cell>
          <cell r="AG12">
            <v>29.195471999999999</v>
          </cell>
          <cell r="AH12">
            <v>25.40006064</v>
          </cell>
          <cell r="AI12">
            <v>185.97515663999999</v>
          </cell>
        </row>
        <row r="13">
          <cell r="B13">
            <v>3</v>
          </cell>
          <cell r="C13" t="str">
            <v>APAZA PACOMPIA, Esteban Jacinto</v>
          </cell>
          <cell r="D13" t="str">
            <v>PERFORISTA</v>
          </cell>
          <cell r="E13">
            <v>36996</v>
          </cell>
          <cell r="F13">
            <v>28</v>
          </cell>
          <cell r="G13" t="str">
            <v>UNION</v>
          </cell>
          <cell r="H13">
            <v>24</v>
          </cell>
          <cell r="I13">
            <v>5</v>
          </cell>
          <cell r="J13">
            <v>0</v>
          </cell>
          <cell r="K13">
            <v>1</v>
          </cell>
          <cell r="L13">
            <v>28</v>
          </cell>
          <cell r="M13">
            <v>672</v>
          </cell>
          <cell r="N13">
            <v>140</v>
          </cell>
          <cell r="O13">
            <v>0</v>
          </cell>
          <cell r="P13">
            <v>28</v>
          </cell>
          <cell r="Q13">
            <v>122.5</v>
          </cell>
          <cell r="R13">
            <v>0</v>
          </cell>
          <cell r="S13">
            <v>0</v>
          </cell>
          <cell r="T13">
            <v>892.5</v>
          </cell>
          <cell r="U13">
            <v>0</v>
          </cell>
          <cell r="V13">
            <v>0</v>
          </cell>
          <cell r="W13">
            <v>1855</v>
          </cell>
          <cell r="Y13">
            <v>148.4</v>
          </cell>
          <cell r="Z13">
            <v>21.888999999999999</v>
          </cell>
          <cell r="AA13">
            <v>42.108500000000006</v>
          </cell>
          <cell r="AD13">
            <v>212.39750000000004</v>
          </cell>
          <cell r="AE13">
            <v>1642.6025</v>
          </cell>
          <cell r="AF13">
            <v>147.834225</v>
          </cell>
          <cell r="AG13">
            <v>32.852049999999998</v>
          </cell>
          <cell r="AH13">
            <v>28.581283499999998</v>
          </cell>
          <cell r="AI13">
            <v>209.26755850000001</v>
          </cell>
        </row>
        <row r="14">
          <cell r="B14">
            <v>4</v>
          </cell>
          <cell r="C14" t="str">
            <v>ASTOCAZA ASTOCAZA, Serapio Claudio</v>
          </cell>
          <cell r="D14" t="str">
            <v>PEON</v>
          </cell>
          <cell r="E14">
            <v>36684</v>
          </cell>
          <cell r="F14">
            <v>24</v>
          </cell>
          <cell r="G14" t="str">
            <v>PROFUTURO</v>
          </cell>
          <cell r="H14">
            <v>24</v>
          </cell>
          <cell r="I14">
            <v>5</v>
          </cell>
          <cell r="J14">
            <v>0</v>
          </cell>
          <cell r="K14">
            <v>1</v>
          </cell>
          <cell r="L14">
            <v>28</v>
          </cell>
          <cell r="M14">
            <v>576</v>
          </cell>
          <cell r="N14">
            <v>120</v>
          </cell>
          <cell r="O14">
            <v>0</v>
          </cell>
          <cell r="P14">
            <v>24</v>
          </cell>
          <cell r="Q14">
            <v>105</v>
          </cell>
          <cell r="R14">
            <v>0</v>
          </cell>
          <cell r="S14">
            <v>0</v>
          </cell>
          <cell r="T14">
            <v>765</v>
          </cell>
          <cell r="U14">
            <v>0</v>
          </cell>
          <cell r="V14">
            <v>0</v>
          </cell>
          <cell r="W14">
            <v>1590</v>
          </cell>
          <cell r="Y14">
            <v>127.2</v>
          </cell>
          <cell r="Z14">
            <v>0</v>
          </cell>
          <cell r="AA14">
            <v>0</v>
          </cell>
          <cell r="AD14">
            <v>127.2</v>
          </cell>
          <cell r="AE14">
            <v>1462.8</v>
          </cell>
          <cell r="AF14">
            <v>131.65199999999999</v>
          </cell>
          <cell r="AG14">
            <v>29.256</v>
          </cell>
          <cell r="AH14">
            <v>25.452719999999996</v>
          </cell>
          <cell r="AI14">
            <v>186.36071999999999</v>
          </cell>
        </row>
        <row r="15">
          <cell r="B15">
            <v>5</v>
          </cell>
          <cell r="C15" t="str">
            <v>ASTOCAZA HUAMANI, Víctor</v>
          </cell>
          <cell r="D15" t="str">
            <v>PEON</v>
          </cell>
          <cell r="E15">
            <v>37354</v>
          </cell>
          <cell r="F15">
            <v>24</v>
          </cell>
          <cell r="G15" t="str">
            <v>UNION</v>
          </cell>
          <cell r="H15">
            <v>24</v>
          </cell>
          <cell r="I15">
            <v>5</v>
          </cell>
          <cell r="J15">
            <v>0</v>
          </cell>
          <cell r="K15">
            <v>1</v>
          </cell>
          <cell r="L15">
            <v>28</v>
          </cell>
          <cell r="M15">
            <v>576</v>
          </cell>
          <cell r="N15">
            <v>120</v>
          </cell>
          <cell r="O15">
            <v>0</v>
          </cell>
          <cell r="P15">
            <v>24</v>
          </cell>
          <cell r="Q15">
            <v>105</v>
          </cell>
          <cell r="R15">
            <v>41</v>
          </cell>
          <cell r="S15">
            <v>0</v>
          </cell>
          <cell r="T15">
            <v>268.67</v>
          </cell>
          <cell r="U15">
            <v>0</v>
          </cell>
          <cell r="V15">
            <v>0</v>
          </cell>
          <cell r="W15">
            <v>1134.67</v>
          </cell>
          <cell r="Y15">
            <v>90.773600000000002</v>
          </cell>
          <cell r="Z15">
            <v>13.389106</v>
          </cell>
          <cell r="AA15">
            <v>25.757009000000004</v>
          </cell>
          <cell r="AD15">
            <v>129.919715</v>
          </cell>
          <cell r="AE15">
            <v>1004.7502850000001</v>
          </cell>
          <cell r="AF15">
            <v>90.427525650000007</v>
          </cell>
          <cell r="AG15">
            <v>20.095005700000002</v>
          </cell>
          <cell r="AH15">
            <v>17.482654959000001</v>
          </cell>
          <cell r="AI15">
            <v>128.00518630900001</v>
          </cell>
        </row>
        <row r="16">
          <cell r="B16">
            <v>6</v>
          </cell>
          <cell r="C16" t="str">
            <v>CAPACOILA COARI, Felix</v>
          </cell>
          <cell r="D16" t="str">
            <v>AYUDANTE</v>
          </cell>
          <cell r="E16">
            <v>37412</v>
          </cell>
          <cell r="F16">
            <v>26</v>
          </cell>
          <cell r="G16" t="str">
            <v>HORIZONTE</v>
          </cell>
          <cell r="H16">
            <v>19</v>
          </cell>
          <cell r="I16">
            <v>3</v>
          </cell>
          <cell r="J16">
            <v>1</v>
          </cell>
          <cell r="K16">
            <v>1</v>
          </cell>
          <cell r="L16">
            <v>0</v>
          </cell>
          <cell r="M16">
            <v>494</v>
          </cell>
          <cell r="N16">
            <v>78</v>
          </cell>
          <cell r="O16">
            <v>4.333333333333333</v>
          </cell>
          <cell r="P16">
            <v>26</v>
          </cell>
          <cell r="Q16">
            <v>0</v>
          </cell>
          <cell r="R16">
            <v>31.5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633.83333333333337</v>
          </cell>
          <cell r="Y16">
            <v>50.706666666666671</v>
          </cell>
          <cell r="Z16">
            <v>16.339248000000001</v>
          </cell>
          <cell r="AA16">
            <v>26.09741</v>
          </cell>
          <cell r="AD16">
            <v>93.143324666666672</v>
          </cell>
          <cell r="AE16">
            <v>540.6900086666667</v>
          </cell>
          <cell r="AF16">
            <v>48.662100780000003</v>
          </cell>
          <cell r="AG16">
            <v>10.813800173333334</v>
          </cell>
          <cell r="AH16">
            <v>9.4080061508000004</v>
          </cell>
          <cell r="AI16">
            <v>68.883907104133343</v>
          </cell>
        </row>
        <row r="17">
          <cell r="B17">
            <v>7</v>
          </cell>
          <cell r="C17" t="str">
            <v>CARDENAS MAMANI , Estanislao</v>
          </cell>
          <cell r="D17" t="str">
            <v>PERFORISTA</v>
          </cell>
          <cell r="E17">
            <v>37004</v>
          </cell>
          <cell r="F17">
            <v>28</v>
          </cell>
          <cell r="G17" t="str">
            <v>INTEGRA</v>
          </cell>
          <cell r="H17">
            <v>23</v>
          </cell>
          <cell r="I17">
            <v>4</v>
          </cell>
          <cell r="J17">
            <v>5</v>
          </cell>
          <cell r="K17">
            <v>1</v>
          </cell>
          <cell r="L17">
            <v>25</v>
          </cell>
          <cell r="M17">
            <v>644</v>
          </cell>
          <cell r="N17">
            <v>112</v>
          </cell>
          <cell r="O17">
            <v>23.333333333333336</v>
          </cell>
          <cell r="P17">
            <v>28</v>
          </cell>
          <cell r="Q17">
            <v>109.375</v>
          </cell>
          <cell r="R17">
            <v>39.5</v>
          </cell>
          <cell r="S17">
            <v>0</v>
          </cell>
          <cell r="T17">
            <v>933.5</v>
          </cell>
          <cell r="U17">
            <v>0</v>
          </cell>
          <cell r="V17">
            <v>0</v>
          </cell>
          <cell r="W17">
            <v>1889.7083333333335</v>
          </cell>
          <cell r="Y17">
            <v>151.17666666666668</v>
          </cell>
          <cell r="Z17">
            <v>25.511062500000001</v>
          </cell>
          <cell r="AA17">
            <v>39.683875</v>
          </cell>
          <cell r="AD17">
            <v>216.37160416666669</v>
          </cell>
          <cell r="AE17">
            <v>1673.3367291666668</v>
          </cell>
          <cell r="AF17">
            <v>150.600305625</v>
          </cell>
          <cell r="AG17">
            <v>33.466734583333334</v>
          </cell>
          <cell r="AH17">
            <v>29.116059087500002</v>
          </cell>
          <cell r="AI17">
            <v>213.18309929583333</v>
          </cell>
        </row>
        <row r="18">
          <cell r="B18">
            <v>8</v>
          </cell>
          <cell r="C18" t="str">
            <v>CARDENAS MAMANI, Casildo</v>
          </cell>
          <cell r="D18" t="str">
            <v>PERFORISTA</v>
          </cell>
          <cell r="E18">
            <v>37001</v>
          </cell>
          <cell r="F18">
            <v>28</v>
          </cell>
          <cell r="G18" t="str">
            <v>INTEGRA</v>
          </cell>
          <cell r="H18">
            <v>24</v>
          </cell>
          <cell r="I18">
            <v>5</v>
          </cell>
          <cell r="J18">
            <v>0</v>
          </cell>
          <cell r="K18">
            <v>1</v>
          </cell>
          <cell r="L18">
            <v>28</v>
          </cell>
          <cell r="M18">
            <v>672</v>
          </cell>
          <cell r="N18">
            <v>140</v>
          </cell>
          <cell r="O18">
            <v>0</v>
          </cell>
          <cell r="P18">
            <v>28</v>
          </cell>
          <cell r="Q18">
            <v>122.5</v>
          </cell>
          <cell r="R18">
            <v>41</v>
          </cell>
          <cell r="S18">
            <v>0</v>
          </cell>
          <cell r="T18">
            <v>933.5</v>
          </cell>
          <cell r="U18">
            <v>0</v>
          </cell>
          <cell r="V18">
            <v>0</v>
          </cell>
          <cell r="W18">
            <v>1937</v>
          </cell>
          <cell r="Y18">
            <v>154.96</v>
          </cell>
          <cell r="Z18">
            <v>26.149500000000003</v>
          </cell>
          <cell r="AA18">
            <v>40.677</v>
          </cell>
          <cell r="AD18">
            <v>221.78650000000002</v>
          </cell>
          <cell r="AE18">
            <v>1715.2135000000001</v>
          </cell>
          <cell r="AF18">
            <v>154.369215</v>
          </cell>
          <cell r="AG18">
            <v>34.304270000000002</v>
          </cell>
          <cell r="AH18">
            <v>29.8447149</v>
          </cell>
          <cell r="AI18">
            <v>218.51819990000001</v>
          </cell>
        </row>
        <row r="19">
          <cell r="B19">
            <v>9</v>
          </cell>
          <cell r="C19" t="str">
            <v>CARDENAS MAMANI, zacarias</v>
          </cell>
          <cell r="D19" t="str">
            <v xml:space="preserve">PERFORISTA </v>
          </cell>
          <cell r="E19">
            <v>37214</v>
          </cell>
          <cell r="F19">
            <v>28</v>
          </cell>
          <cell r="G19" t="str">
            <v>HORIZONTE</v>
          </cell>
          <cell r="H19">
            <v>24</v>
          </cell>
          <cell r="I19">
            <v>5</v>
          </cell>
          <cell r="J19">
            <v>0</v>
          </cell>
          <cell r="K19">
            <v>1</v>
          </cell>
          <cell r="L19">
            <v>28</v>
          </cell>
          <cell r="M19">
            <v>672</v>
          </cell>
          <cell r="N19">
            <v>140</v>
          </cell>
          <cell r="O19">
            <v>0</v>
          </cell>
          <cell r="P19">
            <v>28</v>
          </cell>
          <cell r="Q19">
            <v>122.5</v>
          </cell>
          <cell r="R19">
            <v>41</v>
          </cell>
          <cell r="S19">
            <v>0</v>
          </cell>
          <cell r="T19">
            <v>933.5</v>
          </cell>
          <cell r="U19">
            <v>0</v>
          </cell>
          <cell r="V19">
            <v>0</v>
          </cell>
          <cell r="W19">
            <v>1937</v>
          </cell>
          <cell r="Y19">
            <v>154.96</v>
          </cell>
          <cell r="Z19">
            <v>27.892799999999998</v>
          </cell>
          <cell r="AA19">
            <v>44.550999999999995</v>
          </cell>
          <cell r="AD19">
            <v>227.40379999999999</v>
          </cell>
          <cell r="AE19">
            <v>1709.5962</v>
          </cell>
          <cell r="AF19">
            <v>153.86365799999999</v>
          </cell>
          <cell r="AG19">
            <v>34.191924</v>
          </cell>
          <cell r="AH19">
            <v>29.746973879999999</v>
          </cell>
          <cell r="AI19">
            <v>217.80255588</v>
          </cell>
        </row>
        <row r="20">
          <cell r="B20">
            <v>10</v>
          </cell>
          <cell r="C20" t="str">
            <v>CARHUARICRA BERROCAL, Severo</v>
          </cell>
          <cell r="D20" t="str">
            <v>PERFORISTA</v>
          </cell>
          <cell r="E20">
            <v>37197</v>
          </cell>
          <cell r="F20">
            <v>28</v>
          </cell>
          <cell r="G20" t="str">
            <v>UNION</v>
          </cell>
          <cell r="H20">
            <v>24</v>
          </cell>
          <cell r="I20">
            <v>5</v>
          </cell>
          <cell r="J20">
            <v>0</v>
          </cell>
          <cell r="K20">
            <v>1</v>
          </cell>
          <cell r="L20">
            <v>28</v>
          </cell>
          <cell r="M20">
            <v>672</v>
          </cell>
          <cell r="N20">
            <v>140</v>
          </cell>
          <cell r="O20">
            <v>0</v>
          </cell>
          <cell r="P20">
            <v>28</v>
          </cell>
          <cell r="Q20">
            <v>122.5</v>
          </cell>
          <cell r="R20">
            <v>41</v>
          </cell>
          <cell r="S20">
            <v>0</v>
          </cell>
          <cell r="T20">
            <v>933.5</v>
          </cell>
          <cell r="U20">
            <v>0</v>
          </cell>
          <cell r="V20">
            <v>0</v>
          </cell>
          <cell r="W20">
            <v>1937</v>
          </cell>
          <cell r="Y20">
            <v>154.96</v>
          </cell>
          <cell r="Z20">
            <v>22.8566</v>
          </cell>
          <cell r="AA20">
            <v>43.969899999999996</v>
          </cell>
          <cell r="AD20">
            <v>221.78649999999999</v>
          </cell>
          <cell r="AE20">
            <v>1715.2135000000001</v>
          </cell>
          <cell r="AF20">
            <v>154.369215</v>
          </cell>
          <cell r="AG20">
            <v>34.304270000000002</v>
          </cell>
          <cell r="AH20">
            <v>29.8447149</v>
          </cell>
          <cell r="AI20">
            <v>218.51819990000001</v>
          </cell>
        </row>
        <row r="21">
          <cell r="B21">
            <v>11</v>
          </cell>
          <cell r="C21" t="str">
            <v>CASO CHIPANA, Carlos</v>
          </cell>
          <cell r="D21" t="str">
            <v>AYUDANTE</v>
          </cell>
          <cell r="E21">
            <v>37144</v>
          </cell>
          <cell r="F21">
            <v>26</v>
          </cell>
          <cell r="G21" t="str">
            <v>PROFUTURO</v>
          </cell>
          <cell r="H21">
            <v>24</v>
          </cell>
          <cell r="I21">
            <v>5</v>
          </cell>
          <cell r="J21">
            <v>0</v>
          </cell>
          <cell r="K21">
            <v>1</v>
          </cell>
          <cell r="L21">
            <v>28</v>
          </cell>
          <cell r="M21">
            <v>624</v>
          </cell>
          <cell r="N21">
            <v>130</v>
          </cell>
          <cell r="O21">
            <v>0</v>
          </cell>
          <cell r="P21">
            <v>26</v>
          </cell>
          <cell r="Q21">
            <v>113.75</v>
          </cell>
          <cell r="R21">
            <v>41</v>
          </cell>
          <cell r="S21">
            <v>0</v>
          </cell>
          <cell r="T21">
            <v>869.75</v>
          </cell>
          <cell r="U21">
            <v>0</v>
          </cell>
          <cell r="V21">
            <v>0</v>
          </cell>
          <cell r="W21">
            <v>1804.5</v>
          </cell>
          <cell r="Y21">
            <v>144.36000000000001</v>
          </cell>
          <cell r="Z21">
            <v>15.21</v>
          </cell>
          <cell r="AA21">
            <v>29.25</v>
          </cell>
          <cell r="AD21">
            <v>188.82000000000002</v>
          </cell>
          <cell r="AE21">
            <v>1615.68</v>
          </cell>
          <cell r="AF21">
            <v>145.41120000000001</v>
          </cell>
          <cell r="AG21">
            <v>32.313600000000001</v>
          </cell>
          <cell r="AH21">
            <v>28.112832000000001</v>
          </cell>
          <cell r="AI21">
            <v>205.83763200000001</v>
          </cell>
        </row>
        <row r="22">
          <cell r="B22">
            <v>12</v>
          </cell>
          <cell r="C22" t="str">
            <v>CCARI CCARI, Jesus</v>
          </cell>
          <cell r="D22" t="str">
            <v>AYUDANTE</v>
          </cell>
          <cell r="E22">
            <v>37269</v>
          </cell>
          <cell r="F22">
            <v>26</v>
          </cell>
          <cell r="G22" t="str">
            <v>UNION</v>
          </cell>
          <cell r="H22">
            <v>24</v>
          </cell>
          <cell r="I22">
            <v>5</v>
          </cell>
          <cell r="J22">
            <v>0</v>
          </cell>
          <cell r="K22">
            <v>1</v>
          </cell>
          <cell r="L22">
            <v>28</v>
          </cell>
          <cell r="M22">
            <v>624</v>
          </cell>
          <cell r="N22">
            <v>130</v>
          </cell>
          <cell r="O22">
            <v>0</v>
          </cell>
          <cell r="P22">
            <v>26</v>
          </cell>
          <cell r="Q22">
            <v>113.75</v>
          </cell>
          <cell r="R22">
            <v>41</v>
          </cell>
          <cell r="S22">
            <v>0</v>
          </cell>
          <cell r="T22">
            <v>724.79</v>
          </cell>
          <cell r="U22">
            <v>0</v>
          </cell>
          <cell r="V22">
            <v>0</v>
          </cell>
          <cell r="W22">
            <v>1659.54</v>
          </cell>
          <cell r="Y22">
            <v>132.76320000000001</v>
          </cell>
          <cell r="Z22">
            <v>19.582571999999999</v>
          </cell>
          <cell r="AA22">
            <v>37.671557999999997</v>
          </cell>
          <cell r="AD22">
            <v>190.01733000000002</v>
          </cell>
          <cell r="AE22">
            <v>1469.5226699999998</v>
          </cell>
          <cell r="AF22">
            <v>132.25704029999997</v>
          </cell>
          <cell r="AG22">
            <v>29.390453399999998</v>
          </cell>
          <cell r="AH22">
            <v>25.569694457999994</v>
          </cell>
          <cell r="AI22">
            <v>187.21718815799997</v>
          </cell>
        </row>
        <row r="23">
          <cell r="B23">
            <v>13</v>
          </cell>
          <cell r="C23" t="str">
            <v>COAQUIRA QUISPE, Tito</v>
          </cell>
          <cell r="D23" t="str">
            <v>PERFORISTA</v>
          </cell>
          <cell r="E23">
            <v>37065</v>
          </cell>
          <cell r="F23">
            <v>28</v>
          </cell>
          <cell r="G23" t="str">
            <v>UNION</v>
          </cell>
          <cell r="H23">
            <v>24</v>
          </cell>
          <cell r="I23">
            <v>5</v>
          </cell>
          <cell r="J23">
            <v>0</v>
          </cell>
          <cell r="K23">
            <v>1</v>
          </cell>
          <cell r="L23">
            <v>28</v>
          </cell>
          <cell r="M23">
            <v>672</v>
          </cell>
          <cell r="N23">
            <v>140</v>
          </cell>
          <cell r="O23">
            <v>0</v>
          </cell>
          <cell r="P23">
            <v>28</v>
          </cell>
          <cell r="Q23">
            <v>122.5</v>
          </cell>
          <cell r="R23">
            <v>0</v>
          </cell>
          <cell r="S23">
            <v>0</v>
          </cell>
          <cell r="T23">
            <v>892.5</v>
          </cell>
          <cell r="U23">
            <v>0</v>
          </cell>
          <cell r="V23">
            <v>0</v>
          </cell>
          <cell r="W23">
            <v>1855</v>
          </cell>
          <cell r="Y23">
            <v>148.4</v>
          </cell>
          <cell r="Z23">
            <v>21.888999999999999</v>
          </cell>
          <cell r="AA23">
            <v>42.108500000000006</v>
          </cell>
          <cell r="AD23">
            <v>212.39750000000004</v>
          </cell>
          <cell r="AE23">
            <v>1642.6025</v>
          </cell>
          <cell r="AF23">
            <v>147.834225</v>
          </cell>
          <cell r="AG23">
            <v>32.852049999999998</v>
          </cell>
          <cell r="AH23">
            <v>28.581283499999998</v>
          </cell>
          <cell r="AI23">
            <v>209.26755850000001</v>
          </cell>
        </row>
        <row r="24">
          <cell r="B24">
            <v>14</v>
          </cell>
          <cell r="C24" t="str">
            <v>FIGUEROA CALLA, Valerio</v>
          </cell>
          <cell r="D24" t="str">
            <v>PERFORISTA</v>
          </cell>
          <cell r="E24">
            <v>37168</v>
          </cell>
          <cell r="F24">
            <v>28</v>
          </cell>
          <cell r="G24" t="str">
            <v>INTEGRA</v>
          </cell>
          <cell r="H24">
            <v>23</v>
          </cell>
          <cell r="I24">
            <v>4</v>
          </cell>
          <cell r="J24">
            <v>5</v>
          </cell>
          <cell r="K24">
            <v>1</v>
          </cell>
          <cell r="L24">
            <v>25</v>
          </cell>
          <cell r="M24">
            <v>644</v>
          </cell>
          <cell r="N24">
            <v>112</v>
          </cell>
          <cell r="O24">
            <v>23.333333333333336</v>
          </cell>
          <cell r="P24">
            <v>28</v>
          </cell>
          <cell r="Q24">
            <v>109.375</v>
          </cell>
          <cell r="R24">
            <v>39.5</v>
          </cell>
          <cell r="S24">
            <v>0</v>
          </cell>
          <cell r="T24">
            <v>933.5</v>
          </cell>
          <cell r="U24">
            <v>0</v>
          </cell>
          <cell r="V24">
            <v>0</v>
          </cell>
          <cell r="W24">
            <v>1889.7083333333335</v>
          </cell>
          <cell r="Y24">
            <v>151.17666666666668</v>
          </cell>
          <cell r="Z24">
            <v>25.511062500000001</v>
          </cell>
          <cell r="AA24">
            <v>39.683875</v>
          </cell>
          <cell r="AD24">
            <v>216.37160416666669</v>
          </cell>
          <cell r="AE24">
            <v>1673.3367291666668</v>
          </cell>
          <cell r="AF24">
            <v>150.600305625</v>
          </cell>
          <cell r="AG24">
            <v>33.466734583333334</v>
          </cell>
          <cell r="AH24">
            <v>29.116059087500002</v>
          </cell>
          <cell r="AI24">
            <v>213.18309929583333</v>
          </cell>
        </row>
        <row r="25">
          <cell r="B25">
            <v>15</v>
          </cell>
          <cell r="C25" t="str">
            <v>FLORES MESTAS, Eduardo</v>
          </cell>
          <cell r="D25" t="str">
            <v>AYUDANTE</v>
          </cell>
          <cell r="E25">
            <v>36963</v>
          </cell>
          <cell r="F25">
            <v>26</v>
          </cell>
          <cell r="G25" t="str">
            <v>INTEGRA</v>
          </cell>
          <cell r="H25">
            <v>24</v>
          </cell>
          <cell r="I25">
            <v>5</v>
          </cell>
          <cell r="J25">
            <v>0</v>
          </cell>
          <cell r="K25">
            <v>1</v>
          </cell>
          <cell r="L25">
            <v>28</v>
          </cell>
          <cell r="M25">
            <v>624</v>
          </cell>
          <cell r="N25">
            <v>130</v>
          </cell>
          <cell r="O25">
            <v>0</v>
          </cell>
          <cell r="P25">
            <v>26</v>
          </cell>
          <cell r="Q25">
            <v>113.75</v>
          </cell>
          <cell r="R25">
            <v>41</v>
          </cell>
          <cell r="S25">
            <v>0</v>
          </cell>
          <cell r="T25">
            <v>869.75</v>
          </cell>
          <cell r="U25">
            <v>0</v>
          </cell>
          <cell r="V25">
            <v>0</v>
          </cell>
          <cell r="W25">
            <v>1804.5</v>
          </cell>
          <cell r="Y25">
            <v>144.36000000000001</v>
          </cell>
          <cell r="Z25">
            <v>24.360750000000003</v>
          </cell>
          <cell r="AA25">
            <v>37.894500000000001</v>
          </cell>
          <cell r="AD25">
            <v>206.61525</v>
          </cell>
          <cell r="AE25">
            <v>1597.8847499999999</v>
          </cell>
          <cell r="AF25">
            <v>143.80962749999998</v>
          </cell>
          <cell r="AG25">
            <v>31.957695000000001</v>
          </cell>
          <cell r="AH25">
            <v>27.803194649999998</v>
          </cell>
          <cell r="AI25">
            <v>203.57051714999997</v>
          </cell>
        </row>
        <row r="26">
          <cell r="B26">
            <v>16</v>
          </cell>
          <cell r="C26" t="str">
            <v>GONZALES LAVY Jose Luis</v>
          </cell>
          <cell r="D26" t="str">
            <v>AYUDANTE</v>
          </cell>
          <cell r="E26">
            <v>37407</v>
          </cell>
          <cell r="F26">
            <v>26</v>
          </cell>
          <cell r="G26" t="str">
            <v>UNION</v>
          </cell>
          <cell r="H26">
            <v>14</v>
          </cell>
          <cell r="I26">
            <v>4</v>
          </cell>
          <cell r="J26">
            <v>0</v>
          </cell>
          <cell r="K26">
            <v>1</v>
          </cell>
          <cell r="L26">
            <v>42</v>
          </cell>
          <cell r="M26">
            <v>364</v>
          </cell>
          <cell r="N26">
            <v>104</v>
          </cell>
          <cell r="O26">
            <v>0</v>
          </cell>
          <cell r="P26">
            <v>26</v>
          </cell>
          <cell r="Q26">
            <v>170.625</v>
          </cell>
          <cell r="R26">
            <v>0</v>
          </cell>
          <cell r="S26">
            <v>0</v>
          </cell>
          <cell r="T26">
            <v>138</v>
          </cell>
          <cell r="U26">
            <v>0</v>
          </cell>
          <cell r="V26">
            <v>0</v>
          </cell>
          <cell r="W26">
            <v>802.625</v>
          </cell>
          <cell r="Y26">
            <v>64.210000000000008</v>
          </cell>
          <cell r="Z26">
            <v>9.4709749999999993</v>
          </cell>
          <cell r="AA26">
            <v>18.219587499999999</v>
          </cell>
          <cell r="AD26">
            <v>91.900562500000007</v>
          </cell>
          <cell r="AE26">
            <v>710.72443750000002</v>
          </cell>
          <cell r="AF26">
            <v>63.965199374999997</v>
          </cell>
          <cell r="AG26">
            <v>14.214488750000001</v>
          </cell>
          <cell r="AH26">
            <v>12.3666052125</v>
          </cell>
          <cell r="AI26">
            <v>90.546293337500003</v>
          </cell>
        </row>
        <row r="27">
          <cell r="B27">
            <v>17</v>
          </cell>
          <cell r="C27" t="str">
            <v>HERNANDEZ MORALES, Juan</v>
          </cell>
          <cell r="D27" t="str">
            <v>PEON</v>
          </cell>
          <cell r="E27">
            <v>35712</v>
          </cell>
          <cell r="F27">
            <v>24</v>
          </cell>
          <cell r="G27" t="str">
            <v>ONP</v>
          </cell>
          <cell r="H27">
            <v>24</v>
          </cell>
          <cell r="I27">
            <v>5</v>
          </cell>
          <cell r="J27">
            <v>0</v>
          </cell>
          <cell r="K27">
            <v>1</v>
          </cell>
          <cell r="L27">
            <v>28</v>
          </cell>
          <cell r="M27">
            <v>576</v>
          </cell>
          <cell r="N27">
            <v>120</v>
          </cell>
          <cell r="O27">
            <v>0</v>
          </cell>
          <cell r="P27">
            <v>24</v>
          </cell>
          <cell r="Q27">
            <v>105</v>
          </cell>
          <cell r="R27">
            <v>41</v>
          </cell>
          <cell r="S27">
            <v>0</v>
          </cell>
          <cell r="T27">
            <v>806</v>
          </cell>
          <cell r="U27">
            <v>0</v>
          </cell>
          <cell r="V27">
            <v>0</v>
          </cell>
          <cell r="W27">
            <v>1672</v>
          </cell>
          <cell r="X27">
            <v>245.66208333333336</v>
          </cell>
          <cell r="AD27">
            <v>245.66208333333336</v>
          </cell>
          <cell r="AE27">
            <v>1426.3379166666666</v>
          </cell>
          <cell r="AF27">
            <v>128.37041249999999</v>
          </cell>
          <cell r="AG27">
            <v>28.526758333333333</v>
          </cell>
          <cell r="AH27">
            <v>24.818279749999999</v>
          </cell>
          <cell r="AI27">
            <v>181.71545058333331</v>
          </cell>
        </row>
        <row r="28">
          <cell r="B28">
            <v>18</v>
          </cell>
          <cell r="C28" t="str">
            <v>HUAMAN CONDORI ,Basilio</v>
          </cell>
          <cell r="D28" t="str">
            <v>AYUDANTE</v>
          </cell>
          <cell r="E28">
            <v>37377</v>
          </cell>
          <cell r="F28">
            <v>26</v>
          </cell>
          <cell r="G28" t="str">
            <v>INTEGRA</v>
          </cell>
          <cell r="H28">
            <v>24</v>
          </cell>
          <cell r="I28">
            <v>5</v>
          </cell>
          <cell r="J28">
            <v>0</v>
          </cell>
          <cell r="K28">
            <v>1</v>
          </cell>
          <cell r="L28">
            <v>28</v>
          </cell>
          <cell r="M28">
            <v>624</v>
          </cell>
          <cell r="N28">
            <v>130</v>
          </cell>
          <cell r="O28">
            <v>0</v>
          </cell>
          <cell r="P28">
            <v>26</v>
          </cell>
          <cell r="Q28">
            <v>113.75</v>
          </cell>
          <cell r="R28">
            <v>41</v>
          </cell>
          <cell r="S28">
            <v>0</v>
          </cell>
          <cell r="T28">
            <v>299.92</v>
          </cell>
          <cell r="U28">
            <v>0</v>
          </cell>
          <cell r="V28">
            <v>0</v>
          </cell>
          <cell r="W28">
            <v>1234.67</v>
          </cell>
          <cell r="Y28">
            <v>98.773600000000002</v>
          </cell>
          <cell r="Z28">
            <v>16.668045000000003</v>
          </cell>
          <cell r="AA28">
            <v>25.928070000000002</v>
          </cell>
          <cell r="AD28">
            <v>141.36971500000001</v>
          </cell>
          <cell r="AE28">
            <v>1093.300285</v>
          </cell>
          <cell r="AF28">
            <v>98.397025650000003</v>
          </cell>
          <cell r="AG28">
            <v>21.866005700000002</v>
          </cell>
          <cell r="AH28">
            <v>19.023424959</v>
          </cell>
          <cell r="AI28">
            <v>139.28645630900002</v>
          </cell>
        </row>
        <row r="29">
          <cell r="B29">
            <v>19</v>
          </cell>
          <cell r="C29" t="str">
            <v>HUANCACHOQUE QUIÑONES, Efrain</v>
          </cell>
          <cell r="D29" t="str">
            <v>AYUDANTE</v>
          </cell>
          <cell r="E29">
            <v>37412</v>
          </cell>
          <cell r="F29">
            <v>26</v>
          </cell>
          <cell r="G29" t="str">
            <v>HORIZONTE</v>
          </cell>
          <cell r="H29">
            <v>24</v>
          </cell>
          <cell r="I29">
            <v>5</v>
          </cell>
          <cell r="J29">
            <v>0</v>
          </cell>
          <cell r="K29">
            <v>1</v>
          </cell>
          <cell r="L29">
            <v>28</v>
          </cell>
          <cell r="M29">
            <v>624</v>
          </cell>
          <cell r="N29">
            <v>130</v>
          </cell>
          <cell r="O29">
            <v>0</v>
          </cell>
          <cell r="P29">
            <v>26</v>
          </cell>
          <cell r="Q29">
            <v>113.75</v>
          </cell>
          <cell r="R29">
            <v>41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934.75</v>
          </cell>
          <cell r="Z29">
            <v>17.779247999999999</v>
          </cell>
          <cell r="AA29">
            <v>28.397410000000001</v>
          </cell>
          <cell r="AD29">
            <v>46.176658000000003</v>
          </cell>
          <cell r="AE29">
            <v>888.57334200000003</v>
          </cell>
          <cell r="AF29">
            <v>79.971600780000003</v>
          </cell>
          <cell r="AG29">
            <v>17.771466840000002</v>
          </cell>
          <cell r="AH29">
            <v>15.4611761508</v>
          </cell>
          <cell r="AI29">
            <v>113.20424377080001</v>
          </cell>
        </row>
        <row r="30">
          <cell r="B30">
            <v>20</v>
          </cell>
          <cell r="C30" t="str">
            <v>ITO CCALLA, Jose</v>
          </cell>
          <cell r="D30" t="str">
            <v>AYUDANTE</v>
          </cell>
          <cell r="E30">
            <v>37269</v>
          </cell>
          <cell r="F30">
            <v>26</v>
          </cell>
          <cell r="G30" t="str">
            <v>UNION</v>
          </cell>
          <cell r="H30">
            <v>19</v>
          </cell>
          <cell r="I30">
            <v>4</v>
          </cell>
          <cell r="J30">
            <v>1</v>
          </cell>
          <cell r="K30">
            <v>1</v>
          </cell>
          <cell r="L30">
            <v>13</v>
          </cell>
          <cell r="M30">
            <v>494</v>
          </cell>
          <cell r="N30">
            <v>104</v>
          </cell>
          <cell r="O30">
            <v>4.333333333333333</v>
          </cell>
          <cell r="P30">
            <v>26</v>
          </cell>
          <cell r="Q30">
            <v>52.8125</v>
          </cell>
          <cell r="R30">
            <v>0</v>
          </cell>
          <cell r="S30">
            <v>0</v>
          </cell>
          <cell r="T30">
            <v>690.63</v>
          </cell>
          <cell r="U30">
            <v>0</v>
          </cell>
          <cell r="V30">
            <v>0</v>
          </cell>
          <cell r="W30">
            <v>1371.7758333333334</v>
          </cell>
          <cell r="Y30">
            <v>109.74206666666667</v>
          </cell>
          <cell r="Z30">
            <v>16.186954833333331</v>
          </cell>
          <cell r="AA30">
            <v>31.139311416666668</v>
          </cell>
          <cell r="AD30">
            <v>157.06833291666666</v>
          </cell>
          <cell r="AE30">
            <v>1214.7075004166668</v>
          </cell>
          <cell r="AF30">
            <v>109.32367503750001</v>
          </cell>
          <cell r="AG30">
            <v>24.294150008333336</v>
          </cell>
          <cell r="AH30">
            <v>21.135910507249999</v>
          </cell>
          <cell r="AI30">
            <v>154.75373555308335</v>
          </cell>
        </row>
        <row r="31">
          <cell r="B31">
            <v>21</v>
          </cell>
          <cell r="C31" t="str">
            <v>JURADO HUAMANI, Alejandro</v>
          </cell>
          <cell r="D31" t="str">
            <v>AYUDANTE</v>
          </cell>
          <cell r="E31">
            <v>36997</v>
          </cell>
          <cell r="F31">
            <v>26</v>
          </cell>
          <cell r="G31" t="str">
            <v>UNION</v>
          </cell>
          <cell r="H31">
            <v>23</v>
          </cell>
          <cell r="I31">
            <v>4</v>
          </cell>
          <cell r="J31">
            <v>5</v>
          </cell>
          <cell r="K31">
            <v>1</v>
          </cell>
          <cell r="L31">
            <v>25</v>
          </cell>
          <cell r="M31">
            <v>598</v>
          </cell>
          <cell r="N31">
            <v>104</v>
          </cell>
          <cell r="O31">
            <v>21.666666666666664</v>
          </cell>
          <cell r="P31">
            <v>26</v>
          </cell>
          <cell r="Q31">
            <v>101.5625</v>
          </cell>
          <cell r="R31">
            <v>0</v>
          </cell>
          <cell r="S31">
            <v>0</v>
          </cell>
          <cell r="T31">
            <v>276.25</v>
          </cell>
          <cell r="U31">
            <v>0</v>
          </cell>
          <cell r="V31">
            <v>0</v>
          </cell>
          <cell r="W31">
            <v>1127.4791666666665</v>
          </cell>
          <cell r="Y31">
            <v>90.198333333333323</v>
          </cell>
          <cell r="Z31">
            <v>13.304254166666665</v>
          </cell>
          <cell r="AA31">
            <v>25.593777083333329</v>
          </cell>
          <cell r="AD31">
            <v>129.09636458333333</v>
          </cell>
          <cell r="AE31">
            <v>998.38280208333322</v>
          </cell>
          <cell r="AF31">
            <v>89.854452187499987</v>
          </cell>
          <cell r="AG31">
            <v>19.967656041666665</v>
          </cell>
          <cell r="AH31">
            <v>17.371860756249998</v>
          </cell>
          <cell r="AI31">
            <v>127.19396898541665</v>
          </cell>
        </row>
        <row r="32">
          <cell r="B32">
            <v>22</v>
          </cell>
          <cell r="C32" t="str">
            <v>LAROTA PUMA, Manuel</v>
          </cell>
          <cell r="D32" t="str">
            <v>CAPATAZ</v>
          </cell>
          <cell r="E32">
            <v>36951</v>
          </cell>
          <cell r="F32">
            <v>30</v>
          </cell>
          <cell r="G32" t="str">
            <v>PROFUTURO</v>
          </cell>
          <cell r="H32">
            <v>24</v>
          </cell>
          <cell r="I32">
            <v>5</v>
          </cell>
          <cell r="J32">
            <v>0</v>
          </cell>
          <cell r="K32">
            <v>1</v>
          </cell>
          <cell r="L32">
            <v>28</v>
          </cell>
          <cell r="M32">
            <v>720</v>
          </cell>
          <cell r="N32">
            <v>150</v>
          </cell>
          <cell r="O32">
            <v>0</v>
          </cell>
          <cell r="P32">
            <v>30</v>
          </cell>
          <cell r="Q32">
            <v>131.25</v>
          </cell>
          <cell r="R32">
            <v>0</v>
          </cell>
          <cell r="S32">
            <v>0</v>
          </cell>
          <cell r="T32">
            <v>956.25</v>
          </cell>
          <cell r="U32">
            <v>130</v>
          </cell>
          <cell r="V32">
            <v>0</v>
          </cell>
          <cell r="W32">
            <v>2117.5</v>
          </cell>
          <cell r="Y32">
            <v>169.4</v>
          </cell>
          <cell r="Z32">
            <v>21.574020000000001</v>
          </cell>
          <cell r="AA32">
            <v>41.488500000000002</v>
          </cell>
          <cell r="AD32">
            <v>232.46251999999998</v>
          </cell>
          <cell r="AE32">
            <v>1885.03748</v>
          </cell>
          <cell r="AF32">
            <v>169.65337319999998</v>
          </cell>
          <cell r="AG32">
            <v>37.700749600000002</v>
          </cell>
          <cell r="AH32">
            <v>32.799652152</v>
          </cell>
          <cell r="AI32">
            <v>240.15377495199996</v>
          </cell>
        </row>
        <row r="33">
          <cell r="B33">
            <v>23</v>
          </cell>
          <cell r="C33" t="str">
            <v>LEON QUISPE, Vitaliano Augusto</v>
          </cell>
          <cell r="D33" t="str">
            <v>PERFORISTA</v>
          </cell>
          <cell r="E33">
            <v>36822</v>
          </cell>
          <cell r="F33">
            <v>28</v>
          </cell>
          <cell r="G33" t="str">
            <v>UNION</v>
          </cell>
          <cell r="H33">
            <v>24</v>
          </cell>
          <cell r="I33">
            <v>5</v>
          </cell>
          <cell r="J33">
            <v>0</v>
          </cell>
          <cell r="K33">
            <v>1</v>
          </cell>
          <cell r="L33">
            <v>28</v>
          </cell>
          <cell r="M33">
            <v>672</v>
          </cell>
          <cell r="N33">
            <v>140</v>
          </cell>
          <cell r="O33">
            <v>0</v>
          </cell>
          <cell r="P33">
            <v>28</v>
          </cell>
          <cell r="Q33">
            <v>122.5</v>
          </cell>
          <cell r="R33">
            <v>41</v>
          </cell>
          <cell r="S33">
            <v>0</v>
          </cell>
          <cell r="T33">
            <v>933.5</v>
          </cell>
          <cell r="U33">
            <v>0</v>
          </cell>
          <cell r="V33">
            <v>56</v>
          </cell>
          <cell r="W33">
            <v>1993</v>
          </cell>
          <cell r="Y33">
            <v>159.44</v>
          </cell>
          <cell r="Z33">
            <v>23.517399999999999</v>
          </cell>
          <cell r="AA33">
            <v>45.241099999999996</v>
          </cell>
          <cell r="AD33">
            <v>228.1985</v>
          </cell>
          <cell r="AE33">
            <v>1764.8015</v>
          </cell>
          <cell r="AF33">
            <v>158.83213499999999</v>
          </cell>
          <cell r="AG33">
            <v>35.296030000000002</v>
          </cell>
          <cell r="AH33">
            <v>30.707546099999998</v>
          </cell>
          <cell r="AI33">
            <v>224.8357111</v>
          </cell>
        </row>
        <row r="34">
          <cell r="B34">
            <v>24</v>
          </cell>
          <cell r="C34" t="str">
            <v>LLANCARI TORRES, Victor</v>
          </cell>
          <cell r="D34" t="str">
            <v>CAPATAZ</v>
          </cell>
          <cell r="E34">
            <v>36192</v>
          </cell>
          <cell r="F34">
            <v>30</v>
          </cell>
          <cell r="G34" t="str">
            <v>UNION</v>
          </cell>
          <cell r="H34">
            <v>24</v>
          </cell>
          <cell r="I34">
            <v>5</v>
          </cell>
          <cell r="J34">
            <v>0</v>
          </cell>
          <cell r="K34">
            <v>1</v>
          </cell>
          <cell r="L34">
            <v>28</v>
          </cell>
          <cell r="M34">
            <v>720</v>
          </cell>
          <cell r="N34">
            <v>150</v>
          </cell>
          <cell r="O34">
            <v>0</v>
          </cell>
          <cell r="P34">
            <v>30</v>
          </cell>
          <cell r="Q34">
            <v>131.25</v>
          </cell>
          <cell r="R34">
            <v>41</v>
          </cell>
          <cell r="S34">
            <v>0</v>
          </cell>
          <cell r="T34">
            <v>997.25</v>
          </cell>
          <cell r="U34">
            <v>0</v>
          </cell>
          <cell r="V34">
            <v>0</v>
          </cell>
          <cell r="W34">
            <v>2069.5</v>
          </cell>
          <cell r="Y34">
            <v>165.56</v>
          </cell>
          <cell r="Z34">
            <v>24.420099999999998</v>
          </cell>
          <cell r="AA34">
            <v>46.977650000000004</v>
          </cell>
          <cell r="AD34">
            <v>236.95775</v>
          </cell>
          <cell r="AE34">
            <v>1832.54225</v>
          </cell>
          <cell r="AF34">
            <v>164.92880249999999</v>
          </cell>
          <cell r="AG34">
            <v>36.650844999999997</v>
          </cell>
          <cell r="AH34">
            <v>31.886235149999997</v>
          </cell>
          <cell r="AI34">
            <v>233.46588265</v>
          </cell>
        </row>
        <row r="35">
          <cell r="B35">
            <v>25</v>
          </cell>
          <cell r="C35" t="str">
            <v>MAMANI CCUNO, Danilo Dimas</v>
          </cell>
          <cell r="D35" t="str">
            <v>AYUDANTE</v>
          </cell>
          <cell r="E35">
            <v>37407</v>
          </cell>
          <cell r="F35">
            <v>26</v>
          </cell>
          <cell r="G35" t="str">
            <v>INTEGRA</v>
          </cell>
          <cell r="H35">
            <v>24</v>
          </cell>
          <cell r="I35">
            <v>5</v>
          </cell>
          <cell r="J35">
            <v>0</v>
          </cell>
          <cell r="K35">
            <v>1</v>
          </cell>
          <cell r="L35">
            <v>28</v>
          </cell>
          <cell r="M35">
            <v>624</v>
          </cell>
          <cell r="N35">
            <v>130</v>
          </cell>
          <cell r="O35">
            <v>0</v>
          </cell>
          <cell r="P35">
            <v>26</v>
          </cell>
          <cell r="Q35">
            <v>113.75</v>
          </cell>
          <cell r="R35">
            <v>0</v>
          </cell>
          <cell r="S35">
            <v>0</v>
          </cell>
          <cell r="T35">
            <v>138</v>
          </cell>
          <cell r="U35">
            <v>0</v>
          </cell>
          <cell r="V35">
            <v>0</v>
          </cell>
          <cell r="W35">
            <v>1031.75</v>
          </cell>
          <cell r="AD35">
            <v>0</v>
          </cell>
          <cell r="AE35">
            <v>1031.75</v>
          </cell>
          <cell r="AF35">
            <v>92.857500000000002</v>
          </cell>
          <cell r="AG35">
            <v>20.635000000000002</v>
          </cell>
          <cell r="AH35">
            <v>17.952449999999999</v>
          </cell>
          <cell r="AI35">
            <v>131.44495000000001</v>
          </cell>
        </row>
        <row r="36">
          <cell r="B36">
            <v>26</v>
          </cell>
          <cell r="C36" t="str">
            <v>MAMANI CHOQUE, Victor</v>
          </cell>
          <cell r="D36" t="str">
            <v>PERFORISTA</v>
          </cell>
          <cell r="E36">
            <v>36535</v>
          </cell>
          <cell r="F36">
            <v>28</v>
          </cell>
          <cell r="G36" t="str">
            <v>UNION</v>
          </cell>
          <cell r="H36">
            <v>24</v>
          </cell>
          <cell r="I36">
            <v>5</v>
          </cell>
          <cell r="J36">
            <v>0</v>
          </cell>
          <cell r="K36">
            <v>1</v>
          </cell>
          <cell r="L36">
            <v>28</v>
          </cell>
          <cell r="M36">
            <v>672</v>
          </cell>
          <cell r="N36">
            <v>140</v>
          </cell>
          <cell r="O36">
            <v>0</v>
          </cell>
          <cell r="P36">
            <v>28</v>
          </cell>
          <cell r="Q36">
            <v>122.5</v>
          </cell>
          <cell r="R36">
            <v>0</v>
          </cell>
          <cell r="S36">
            <v>0</v>
          </cell>
          <cell r="T36">
            <v>892.5</v>
          </cell>
          <cell r="U36">
            <v>0</v>
          </cell>
          <cell r="V36">
            <v>0</v>
          </cell>
          <cell r="W36">
            <v>1855</v>
          </cell>
          <cell r="Y36">
            <v>148.4</v>
          </cell>
          <cell r="Z36">
            <v>21.888999999999999</v>
          </cell>
          <cell r="AA36">
            <v>42.108500000000006</v>
          </cell>
          <cell r="AD36">
            <v>212.39750000000004</v>
          </cell>
          <cell r="AE36">
            <v>1642.6025</v>
          </cell>
          <cell r="AF36">
            <v>147.834225</v>
          </cell>
          <cell r="AG36">
            <v>32.852049999999998</v>
          </cell>
          <cell r="AH36">
            <v>28.581283499999998</v>
          </cell>
          <cell r="AI36">
            <v>209.26755850000001</v>
          </cell>
        </row>
        <row r="37">
          <cell r="B37">
            <v>27</v>
          </cell>
          <cell r="C37" t="str">
            <v>MAMANI GUTIERREZ, Felix</v>
          </cell>
          <cell r="D37" t="str">
            <v>CAPATAZ</v>
          </cell>
          <cell r="E37">
            <v>37132</v>
          </cell>
          <cell r="F37">
            <v>30</v>
          </cell>
          <cell r="G37" t="str">
            <v>UNION</v>
          </cell>
          <cell r="H37">
            <v>24</v>
          </cell>
          <cell r="I37">
            <v>5</v>
          </cell>
          <cell r="J37">
            <v>0</v>
          </cell>
          <cell r="K37">
            <v>1</v>
          </cell>
          <cell r="L37">
            <v>28</v>
          </cell>
          <cell r="M37">
            <v>720</v>
          </cell>
          <cell r="N37">
            <v>150</v>
          </cell>
          <cell r="O37">
            <v>0</v>
          </cell>
          <cell r="P37">
            <v>30</v>
          </cell>
          <cell r="Q37">
            <v>131.25</v>
          </cell>
          <cell r="R37">
            <v>41</v>
          </cell>
          <cell r="S37">
            <v>0</v>
          </cell>
          <cell r="T37">
            <v>956.25</v>
          </cell>
          <cell r="U37">
            <v>0</v>
          </cell>
          <cell r="V37">
            <v>0</v>
          </cell>
          <cell r="W37">
            <v>2028.5</v>
          </cell>
          <cell r="Y37">
            <v>162.28</v>
          </cell>
          <cell r="Z37">
            <v>23.936299999999996</v>
          </cell>
          <cell r="AA37">
            <v>46.046949999999995</v>
          </cell>
          <cell r="AD37">
            <v>232.26324999999997</v>
          </cell>
          <cell r="AE37">
            <v>1796.23675</v>
          </cell>
          <cell r="AF37">
            <v>161.66130749999999</v>
          </cell>
          <cell r="AG37">
            <v>35.924734999999998</v>
          </cell>
          <cell r="AH37">
            <v>31.25451945</v>
          </cell>
          <cell r="AI37">
            <v>228.84056194999999</v>
          </cell>
        </row>
        <row r="38">
          <cell r="B38">
            <v>28</v>
          </cell>
          <cell r="C38" t="str">
            <v>MARTINEZ YAURI, Misael</v>
          </cell>
          <cell r="D38" t="str">
            <v>AYUDANTE</v>
          </cell>
          <cell r="E38">
            <v>37104</v>
          </cell>
          <cell r="F38">
            <v>26</v>
          </cell>
          <cell r="G38" t="str">
            <v>UNION</v>
          </cell>
          <cell r="H38">
            <v>24</v>
          </cell>
          <cell r="I38">
            <v>5</v>
          </cell>
          <cell r="J38">
            <v>0</v>
          </cell>
          <cell r="K38">
            <v>1</v>
          </cell>
          <cell r="L38">
            <v>28</v>
          </cell>
          <cell r="M38">
            <v>624</v>
          </cell>
          <cell r="N38">
            <v>130</v>
          </cell>
          <cell r="O38">
            <v>0</v>
          </cell>
          <cell r="P38">
            <v>26</v>
          </cell>
          <cell r="Q38">
            <v>113.75</v>
          </cell>
          <cell r="R38">
            <v>41</v>
          </cell>
          <cell r="S38">
            <v>0</v>
          </cell>
          <cell r="T38">
            <v>869.75</v>
          </cell>
          <cell r="U38">
            <v>0</v>
          </cell>
          <cell r="V38">
            <v>0</v>
          </cell>
          <cell r="W38">
            <v>1804.5</v>
          </cell>
          <cell r="Y38">
            <v>144.36000000000001</v>
          </cell>
          <cell r="Z38">
            <v>21.293099999999999</v>
          </cell>
          <cell r="AA38">
            <v>40.962150000000001</v>
          </cell>
          <cell r="AD38">
            <v>206.61525000000003</v>
          </cell>
          <cell r="AE38">
            <v>1597.8847499999999</v>
          </cell>
          <cell r="AF38">
            <v>143.80962749999998</v>
          </cell>
          <cell r="AG38">
            <v>31.957695000000001</v>
          </cell>
          <cell r="AH38">
            <v>27.803194649999998</v>
          </cell>
          <cell r="AI38">
            <v>203.57051714999997</v>
          </cell>
        </row>
        <row r="39">
          <cell r="B39">
            <v>29</v>
          </cell>
          <cell r="C39" t="str">
            <v>MEDINA SULCA, Fredy</v>
          </cell>
          <cell r="D39" t="str">
            <v>PERFORISTA</v>
          </cell>
          <cell r="E39">
            <v>37207</v>
          </cell>
          <cell r="F39">
            <v>28</v>
          </cell>
          <cell r="G39" t="str">
            <v>UNION</v>
          </cell>
          <cell r="H39">
            <v>24</v>
          </cell>
          <cell r="I39">
            <v>5</v>
          </cell>
          <cell r="J39">
            <v>0</v>
          </cell>
          <cell r="K39">
            <v>1</v>
          </cell>
          <cell r="L39">
            <v>28</v>
          </cell>
          <cell r="M39">
            <v>672</v>
          </cell>
          <cell r="N39">
            <v>140</v>
          </cell>
          <cell r="O39">
            <v>0</v>
          </cell>
          <cell r="P39">
            <v>28</v>
          </cell>
          <cell r="Q39">
            <v>122.5</v>
          </cell>
          <cell r="R39">
            <v>0</v>
          </cell>
          <cell r="S39">
            <v>0</v>
          </cell>
          <cell r="T39">
            <v>892.5</v>
          </cell>
          <cell r="U39">
            <v>0</v>
          </cell>
          <cell r="V39">
            <v>0</v>
          </cell>
          <cell r="W39">
            <v>1855</v>
          </cell>
          <cell r="Y39">
            <v>148.4</v>
          </cell>
          <cell r="Z39">
            <v>21.888999999999999</v>
          </cell>
          <cell r="AA39">
            <v>42.108500000000006</v>
          </cell>
          <cell r="AD39">
            <v>212.39750000000004</v>
          </cell>
          <cell r="AE39">
            <v>1642.6025</v>
          </cell>
          <cell r="AF39">
            <v>147.834225</v>
          </cell>
          <cell r="AG39">
            <v>32.852049999999998</v>
          </cell>
          <cell r="AH39">
            <v>28.581283499999998</v>
          </cell>
          <cell r="AI39">
            <v>209.26755850000001</v>
          </cell>
        </row>
        <row r="40">
          <cell r="B40">
            <v>30</v>
          </cell>
          <cell r="C40" t="str">
            <v>MELO GONZALES, Alexander</v>
          </cell>
          <cell r="D40" t="str">
            <v>PEON</v>
          </cell>
          <cell r="E40">
            <v>37116</v>
          </cell>
          <cell r="F40">
            <v>24</v>
          </cell>
          <cell r="G40" t="str">
            <v>INTEGRA</v>
          </cell>
          <cell r="H40">
            <v>23</v>
          </cell>
          <cell r="I40">
            <v>4</v>
          </cell>
          <cell r="J40">
            <v>5</v>
          </cell>
          <cell r="K40">
            <v>1</v>
          </cell>
          <cell r="L40">
            <v>25</v>
          </cell>
          <cell r="M40">
            <v>552</v>
          </cell>
          <cell r="N40">
            <v>96</v>
          </cell>
          <cell r="O40">
            <v>20</v>
          </cell>
          <cell r="P40">
            <v>24</v>
          </cell>
          <cell r="Q40">
            <v>93.75</v>
          </cell>
          <cell r="R40">
            <v>39.5</v>
          </cell>
          <cell r="S40">
            <v>0</v>
          </cell>
          <cell r="T40">
            <v>806</v>
          </cell>
          <cell r="U40">
            <v>0</v>
          </cell>
          <cell r="V40">
            <v>0</v>
          </cell>
          <cell r="W40">
            <v>1631.25</v>
          </cell>
          <cell r="Y40">
            <v>130.5</v>
          </cell>
          <cell r="Z40">
            <v>22.021875000000001</v>
          </cell>
          <cell r="AA40">
            <v>34.256250000000001</v>
          </cell>
          <cell r="AD40">
            <v>186.77812499999999</v>
          </cell>
          <cell r="AE40">
            <v>1444.471875</v>
          </cell>
          <cell r="AF40">
            <v>130.00246874999999</v>
          </cell>
          <cell r="AG40">
            <v>28.8894375</v>
          </cell>
          <cell r="AH40">
            <v>25.133810624999999</v>
          </cell>
          <cell r="AI40">
            <v>184.02571687499997</v>
          </cell>
        </row>
        <row r="41">
          <cell r="B41">
            <v>31</v>
          </cell>
          <cell r="C41" t="str">
            <v>MURILLO MAMANI, Alfredo</v>
          </cell>
          <cell r="D41" t="str">
            <v>PERFORISTA</v>
          </cell>
          <cell r="E41">
            <v>37327</v>
          </cell>
          <cell r="F41">
            <v>28</v>
          </cell>
          <cell r="G41" t="str">
            <v>INTEGRA</v>
          </cell>
          <cell r="H41">
            <v>24</v>
          </cell>
          <cell r="I41">
            <v>5</v>
          </cell>
          <cell r="J41">
            <v>0</v>
          </cell>
          <cell r="K41">
            <v>1</v>
          </cell>
          <cell r="L41">
            <v>28</v>
          </cell>
          <cell r="M41">
            <v>672</v>
          </cell>
          <cell r="N41">
            <v>140</v>
          </cell>
          <cell r="O41">
            <v>0</v>
          </cell>
          <cell r="P41">
            <v>28</v>
          </cell>
          <cell r="Q41">
            <v>122.5</v>
          </cell>
          <cell r="R41">
            <v>41</v>
          </cell>
          <cell r="S41">
            <v>0</v>
          </cell>
          <cell r="T41">
            <v>779.92</v>
          </cell>
          <cell r="U41">
            <v>0</v>
          </cell>
          <cell r="V41">
            <v>0</v>
          </cell>
          <cell r="W41">
            <v>1783.42</v>
          </cell>
          <cell r="Y41">
            <v>142.67360000000002</v>
          </cell>
          <cell r="Z41">
            <v>24.076170000000001</v>
          </cell>
          <cell r="AA41">
            <v>37.451820000000005</v>
          </cell>
          <cell r="AD41">
            <v>204.20159000000001</v>
          </cell>
          <cell r="AE41">
            <v>1579.2184099999999</v>
          </cell>
          <cell r="AF41">
            <v>142.12965689999999</v>
          </cell>
          <cell r="AG41">
            <v>31.5843682</v>
          </cell>
          <cell r="AH41">
            <v>27.478400333999996</v>
          </cell>
          <cell r="AI41">
            <v>201.19242543399997</v>
          </cell>
        </row>
        <row r="42">
          <cell r="B42">
            <v>32</v>
          </cell>
          <cell r="C42" t="str">
            <v>MURILLO MAMANI, Juan</v>
          </cell>
          <cell r="D42" t="str">
            <v>AYUDANTE</v>
          </cell>
          <cell r="E42">
            <v>37327</v>
          </cell>
          <cell r="F42">
            <v>26</v>
          </cell>
          <cell r="G42" t="str">
            <v>HORIZONTE</v>
          </cell>
          <cell r="H42">
            <v>21</v>
          </cell>
          <cell r="I42">
            <v>4</v>
          </cell>
          <cell r="J42">
            <v>3</v>
          </cell>
          <cell r="K42">
            <v>1</v>
          </cell>
          <cell r="L42">
            <v>19</v>
          </cell>
          <cell r="M42">
            <v>546</v>
          </cell>
          <cell r="N42">
            <v>104</v>
          </cell>
          <cell r="O42">
            <v>13</v>
          </cell>
          <cell r="P42">
            <v>26</v>
          </cell>
          <cell r="Q42">
            <v>77.1875</v>
          </cell>
          <cell r="R42">
            <v>36.5</v>
          </cell>
          <cell r="S42">
            <v>0</v>
          </cell>
          <cell r="T42">
            <v>724.79</v>
          </cell>
          <cell r="U42">
            <v>0</v>
          </cell>
          <cell r="V42">
            <v>0</v>
          </cell>
          <cell r="W42">
            <v>1527.4775</v>
          </cell>
          <cell r="Y42">
            <v>122.1982</v>
          </cell>
          <cell r="Z42">
            <v>25.681248</v>
          </cell>
          <cell r="AA42">
            <v>41.018659999999997</v>
          </cell>
          <cell r="AD42">
            <v>188.89810799999998</v>
          </cell>
          <cell r="AE42">
            <v>1338.5793920000001</v>
          </cell>
          <cell r="AF42">
            <v>120.47214528000001</v>
          </cell>
          <cell r="AG42">
            <v>26.771587840000002</v>
          </cell>
          <cell r="AH42">
            <v>23.291281420800001</v>
          </cell>
          <cell r="AI42">
            <v>170.53501454080001</v>
          </cell>
        </row>
        <row r="43">
          <cell r="B43">
            <v>33</v>
          </cell>
          <cell r="C43" t="str">
            <v>NEYRA LEON, Hector</v>
          </cell>
          <cell r="D43" t="str">
            <v>PERFORISTA</v>
          </cell>
          <cell r="E43">
            <v>36457</v>
          </cell>
          <cell r="F43">
            <v>28</v>
          </cell>
          <cell r="G43" t="str">
            <v>UNION</v>
          </cell>
          <cell r="H43">
            <v>24</v>
          </cell>
          <cell r="I43">
            <v>5</v>
          </cell>
          <cell r="J43">
            <v>0</v>
          </cell>
          <cell r="K43">
            <v>1</v>
          </cell>
          <cell r="L43">
            <v>28</v>
          </cell>
          <cell r="M43">
            <v>672</v>
          </cell>
          <cell r="N43">
            <v>140</v>
          </cell>
          <cell r="O43">
            <v>0</v>
          </cell>
          <cell r="P43">
            <v>28</v>
          </cell>
          <cell r="Q43">
            <v>122.5</v>
          </cell>
          <cell r="R43">
            <v>41</v>
          </cell>
          <cell r="S43">
            <v>0</v>
          </cell>
          <cell r="T43">
            <v>933.5</v>
          </cell>
          <cell r="U43">
            <v>0</v>
          </cell>
          <cell r="V43">
            <v>0</v>
          </cell>
          <cell r="W43">
            <v>1937</v>
          </cell>
          <cell r="Y43">
            <v>154.96</v>
          </cell>
          <cell r="Z43">
            <v>22.8566</v>
          </cell>
          <cell r="AA43">
            <v>43.969899999999996</v>
          </cell>
          <cell r="AD43">
            <v>221.78649999999999</v>
          </cell>
          <cell r="AE43">
            <v>1715.2135000000001</v>
          </cell>
          <cell r="AF43">
            <v>154.369215</v>
          </cell>
          <cell r="AG43">
            <v>34.304270000000002</v>
          </cell>
          <cell r="AH43">
            <v>29.8447149</v>
          </cell>
          <cell r="AI43">
            <v>218.51819990000001</v>
          </cell>
        </row>
        <row r="44">
          <cell r="B44">
            <v>34</v>
          </cell>
          <cell r="C44" t="str">
            <v>NOA QUISPELUZA, Elmer</v>
          </cell>
          <cell r="D44" t="str">
            <v>PERFORISTA</v>
          </cell>
          <cell r="E44">
            <v>37144</v>
          </cell>
          <cell r="F44">
            <v>28</v>
          </cell>
          <cell r="G44" t="str">
            <v>HORIZONTE</v>
          </cell>
          <cell r="H44">
            <v>24</v>
          </cell>
          <cell r="I44">
            <v>5</v>
          </cell>
          <cell r="J44">
            <v>0</v>
          </cell>
          <cell r="K44">
            <v>1</v>
          </cell>
          <cell r="L44">
            <v>28</v>
          </cell>
          <cell r="M44">
            <v>672</v>
          </cell>
          <cell r="N44">
            <v>140</v>
          </cell>
          <cell r="O44">
            <v>0</v>
          </cell>
          <cell r="P44">
            <v>28</v>
          </cell>
          <cell r="Q44">
            <v>122.5</v>
          </cell>
          <cell r="R44">
            <v>41</v>
          </cell>
          <cell r="S44">
            <v>0</v>
          </cell>
          <cell r="T44">
            <v>933.5</v>
          </cell>
          <cell r="U44">
            <v>0</v>
          </cell>
          <cell r="V44">
            <v>0</v>
          </cell>
          <cell r="W44">
            <v>1937</v>
          </cell>
          <cell r="Y44">
            <v>154.96</v>
          </cell>
          <cell r="Z44">
            <v>27.892799999999998</v>
          </cell>
          <cell r="AA44">
            <v>44.550999999999995</v>
          </cell>
          <cell r="AD44">
            <v>227.40379999999999</v>
          </cell>
          <cell r="AE44">
            <v>1709.5962</v>
          </cell>
          <cell r="AF44">
            <v>153.86365799999999</v>
          </cell>
          <cell r="AG44">
            <v>34.191924</v>
          </cell>
          <cell r="AH44">
            <v>29.746973879999999</v>
          </cell>
          <cell r="AI44">
            <v>217.80255588</v>
          </cell>
        </row>
        <row r="45">
          <cell r="B45">
            <v>35</v>
          </cell>
          <cell r="C45" t="str">
            <v>ÑAHUI DAMIAN, Glicerio</v>
          </cell>
          <cell r="D45" t="str">
            <v>PEON</v>
          </cell>
          <cell r="E45">
            <v>37347</v>
          </cell>
          <cell r="F45">
            <v>24</v>
          </cell>
          <cell r="G45" t="str">
            <v>UNION</v>
          </cell>
          <cell r="H45">
            <v>23</v>
          </cell>
          <cell r="I45">
            <v>4</v>
          </cell>
          <cell r="J45">
            <v>5</v>
          </cell>
          <cell r="K45">
            <v>1</v>
          </cell>
          <cell r="L45">
            <v>25</v>
          </cell>
          <cell r="M45">
            <v>552</v>
          </cell>
          <cell r="N45">
            <v>96</v>
          </cell>
          <cell r="O45">
            <v>20</v>
          </cell>
          <cell r="P45">
            <v>24</v>
          </cell>
          <cell r="Q45">
            <v>93.75</v>
          </cell>
          <cell r="R45">
            <v>39.5</v>
          </cell>
          <cell r="S45">
            <v>0</v>
          </cell>
          <cell r="T45">
            <v>403</v>
          </cell>
          <cell r="U45">
            <v>0</v>
          </cell>
          <cell r="V45">
            <v>0</v>
          </cell>
          <cell r="W45">
            <v>1228.25</v>
          </cell>
          <cell r="Y45">
            <v>98.26</v>
          </cell>
          <cell r="Z45">
            <v>14.49335</v>
          </cell>
          <cell r="AA45">
            <v>27.881275000000002</v>
          </cell>
          <cell r="AD45">
            <v>140.63462500000003</v>
          </cell>
          <cell r="AE45">
            <v>1087.6153749999999</v>
          </cell>
          <cell r="AF45">
            <v>97.885383749999988</v>
          </cell>
          <cell r="AG45">
            <v>21.752307499999997</v>
          </cell>
          <cell r="AH45">
            <v>18.924507524999996</v>
          </cell>
          <cell r="AI45">
            <v>138.56219877499998</v>
          </cell>
        </row>
        <row r="46">
          <cell r="B46">
            <v>36</v>
          </cell>
          <cell r="C46" t="str">
            <v>ÑAHUI DAMIAN, Lucio</v>
          </cell>
          <cell r="D46" t="str">
            <v>PEON</v>
          </cell>
          <cell r="E46">
            <v>37127</v>
          </cell>
          <cell r="F46">
            <v>24</v>
          </cell>
          <cell r="G46" t="str">
            <v>UNION</v>
          </cell>
          <cell r="H46">
            <v>24</v>
          </cell>
          <cell r="I46">
            <v>5</v>
          </cell>
          <cell r="J46">
            <v>0</v>
          </cell>
          <cell r="K46">
            <v>1</v>
          </cell>
          <cell r="L46">
            <v>28</v>
          </cell>
          <cell r="M46">
            <v>576</v>
          </cell>
          <cell r="N46">
            <v>120</v>
          </cell>
          <cell r="O46">
            <v>0</v>
          </cell>
          <cell r="P46">
            <v>24</v>
          </cell>
          <cell r="Q46">
            <v>105</v>
          </cell>
          <cell r="R46">
            <v>41</v>
          </cell>
          <cell r="S46">
            <v>0</v>
          </cell>
          <cell r="T46">
            <v>806</v>
          </cell>
          <cell r="U46">
            <v>0</v>
          </cell>
          <cell r="V46">
            <v>78</v>
          </cell>
          <cell r="W46">
            <v>1750</v>
          </cell>
          <cell r="Y46">
            <v>140</v>
          </cell>
          <cell r="Z46">
            <v>20.65</v>
          </cell>
          <cell r="AA46">
            <v>39.725000000000001</v>
          </cell>
          <cell r="AD46">
            <v>200.375</v>
          </cell>
          <cell r="AE46">
            <v>1549.625</v>
          </cell>
          <cell r="AF46">
            <v>139.46625</v>
          </cell>
          <cell r="AG46">
            <v>30.9925</v>
          </cell>
          <cell r="AH46">
            <v>26.963474999999999</v>
          </cell>
          <cell r="AI46">
            <v>197.422225</v>
          </cell>
        </row>
        <row r="47">
          <cell r="C47" t="str">
            <v>TULUMBA HUAROTOPAYRO, Richard</v>
          </cell>
          <cell r="D47" t="str">
            <v>AYUDANTE</v>
          </cell>
          <cell r="E47">
            <v>37426</v>
          </cell>
          <cell r="F47">
            <v>24</v>
          </cell>
          <cell r="G47" t="str">
            <v>INTEGRA</v>
          </cell>
          <cell r="H47">
            <v>9</v>
          </cell>
          <cell r="I47">
            <v>1</v>
          </cell>
          <cell r="J47">
            <v>3</v>
          </cell>
          <cell r="K47">
            <v>1</v>
          </cell>
          <cell r="L47">
            <v>36</v>
          </cell>
          <cell r="M47">
            <v>216</v>
          </cell>
          <cell r="N47">
            <v>24</v>
          </cell>
          <cell r="O47">
            <v>12</v>
          </cell>
          <cell r="P47">
            <v>24</v>
          </cell>
          <cell r="Q47">
            <v>135</v>
          </cell>
          <cell r="R47">
            <v>15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426</v>
          </cell>
        </row>
        <row r="48">
          <cell r="B48">
            <v>37</v>
          </cell>
          <cell r="C48" t="str">
            <v>POMA ARIAS, Pablo</v>
          </cell>
          <cell r="D48" t="str">
            <v>AYUDANTE</v>
          </cell>
          <cell r="E48">
            <v>37327</v>
          </cell>
          <cell r="F48">
            <v>26</v>
          </cell>
          <cell r="G48" t="str">
            <v>PROFUTURO</v>
          </cell>
          <cell r="H48">
            <v>24</v>
          </cell>
          <cell r="I48">
            <v>5</v>
          </cell>
          <cell r="J48">
            <v>0</v>
          </cell>
          <cell r="K48">
            <v>1</v>
          </cell>
          <cell r="L48">
            <v>28</v>
          </cell>
          <cell r="M48">
            <v>624</v>
          </cell>
          <cell r="N48">
            <v>130</v>
          </cell>
          <cell r="O48">
            <v>0</v>
          </cell>
          <cell r="P48">
            <v>26</v>
          </cell>
          <cell r="Q48">
            <v>113.75</v>
          </cell>
          <cell r="R48">
            <v>41</v>
          </cell>
          <cell r="S48">
            <v>0</v>
          </cell>
          <cell r="T48">
            <v>724.79</v>
          </cell>
          <cell r="U48">
            <v>0</v>
          </cell>
          <cell r="V48">
            <v>0</v>
          </cell>
          <cell r="W48">
            <v>1659.54</v>
          </cell>
          <cell r="Y48">
            <v>132.76320000000001</v>
          </cell>
          <cell r="Z48">
            <v>23.458500000000001</v>
          </cell>
          <cell r="AA48">
            <v>45.112499999999997</v>
          </cell>
          <cell r="AD48">
            <v>201.33420000000001</v>
          </cell>
          <cell r="AE48">
            <v>1458.2058</v>
          </cell>
          <cell r="AF48">
            <v>131.23852199999999</v>
          </cell>
          <cell r="AG48">
            <v>29.164116</v>
          </cell>
          <cell r="AH48">
            <v>25.372780919999997</v>
          </cell>
          <cell r="AI48">
            <v>185.77541891999999</v>
          </cell>
        </row>
        <row r="49">
          <cell r="B49">
            <v>38</v>
          </cell>
          <cell r="C49" t="str">
            <v>QUINTANA MARAVI, Julian</v>
          </cell>
          <cell r="D49" t="str">
            <v>AYUDANTE</v>
          </cell>
          <cell r="E49">
            <v>37347</v>
          </cell>
          <cell r="F49">
            <v>26</v>
          </cell>
          <cell r="G49" t="str">
            <v>PROFUTURO</v>
          </cell>
          <cell r="H49">
            <v>2</v>
          </cell>
          <cell r="I49">
            <v>0</v>
          </cell>
          <cell r="J49">
            <v>2</v>
          </cell>
          <cell r="K49">
            <v>0</v>
          </cell>
          <cell r="L49">
            <v>6</v>
          </cell>
          <cell r="M49">
            <v>52</v>
          </cell>
          <cell r="N49">
            <v>0</v>
          </cell>
          <cell r="O49">
            <v>8.6666666666666661</v>
          </cell>
          <cell r="P49">
            <v>0</v>
          </cell>
          <cell r="Q49">
            <v>24.375</v>
          </cell>
          <cell r="R49">
            <v>2.5</v>
          </cell>
          <cell r="S49">
            <v>145</v>
          </cell>
          <cell r="T49">
            <v>289.5</v>
          </cell>
          <cell r="U49">
            <v>0</v>
          </cell>
          <cell r="V49">
            <v>0</v>
          </cell>
          <cell r="W49">
            <v>522.04166666666663</v>
          </cell>
          <cell r="Y49">
            <v>41.763333333333328</v>
          </cell>
          <cell r="Z49">
            <v>24.114999999999998</v>
          </cell>
          <cell r="AA49">
            <v>46.375</v>
          </cell>
          <cell r="AD49">
            <v>112.25333333333333</v>
          </cell>
          <cell r="AE49">
            <v>409.7883333333333</v>
          </cell>
          <cell r="AF49">
            <v>36.880949999999999</v>
          </cell>
          <cell r="AG49">
            <v>8.1957666666666658</v>
          </cell>
          <cell r="AH49">
            <v>7.1303169999999989</v>
          </cell>
          <cell r="AI49">
            <v>52.207033666666661</v>
          </cell>
        </row>
        <row r="50">
          <cell r="B50">
            <v>39</v>
          </cell>
          <cell r="C50" t="str">
            <v>QUISPE AQUISE, Sergio</v>
          </cell>
          <cell r="D50" t="str">
            <v>PEON</v>
          </cell>
          <cell r="E50">
            <v>37377</v>
          </cell>
          <cell r="F50">
            <v>24</v>
          </cell>
          <cell r="G50" t="str">
            <v>INTEGRA</v>
          </cell>
          <cell r="H50">
            <v>24</v>
          </cell>
          <cell r="I50">
            <v>5</v>
          </cell>
          <cell r="J50">
            <v>0</v>
          </cell>
          <cell r="K50">
            <v>1</v>
          </cell>
          <cell r="L50">
            <v>28</v>
          </cell>
          <cell r="M50">
            <v>576</v>
          </cell>
          <cell r="N50">
            <v>120</v>
          </cell>
          <cell r="O50">
            <v>0</v>
          </cell>
          <cell r="P50">
            <v>24</v>
          </cell>
          <cell r="Q50">
            <v>105</v>
          </cell>
          <cell r="R50">
            <v>41</v>
          </cell>
          <cell r="S50">
            <v>0</v>
          </cell>
          <cell r="T50">
            <v>268.66000000000003</v>
          </cell>
          <cell r="U50">
            <v>0</v>
          </cell>
          <cell r="V50">
            <v>0</v>
          </cell>
          <cell r="W50">
            <v>1134.6600000000001</v>
          </cell>
          <cell r="Y50">
            <v>90.772800000000004</v>
          </cell>
          <cell r="Z50">
            <v>15.317910000000001</v>
          </cell>
          <cell r="AA50">
            <v>23.827860000000001</v>
          </cell>
          <cell r="AD50">
            <v>129.91856999999999</v>
          </cell>
          <cell r="AE50">
            <v>1004.74143</v>
          </cell>
          <cell r="AF50">
            <v>90.426728699999998</v>
          </cell>
          <cell r="AG50">
            <v>20.0948286</v>
          </cell>
          <cell r="AH50">
            <v>17.482500882</v>
          </cell>
          <cell r="AI50">
            <v>128.00405818199999</v>
          </cell>
        </row>
        <row r="51">
          <cell r="B51">
            <v>40</v>
          </cell>
          <cell r="C51" t="str">
            <v>QUISPE FERNANDEZ , Jose  Hugo</v>
          </cell>
          <cell r="D51" t="str">
            <v>AYUDANTE</v>
          </cell>
          <cell r="E51">
            <v>37412</v>
          </cell>
          <cell r="F51">
            <v>26</v>
          </cell>
          <cell r="G51" t="str">
            <v>ONP</v>
          </cell>
          <cell r="H51">
            <v>24</v>
          </cell>
          <cell r="I51">
            <v>5</v>
          </cell>
          <cell r="J51">
            <v>0</v>
          </cell>
          <cell r="K51">
            <v>1</v>
          </cell>
          <cell r="L51">
            <v>28</v>
          </cell>
          <cell r="M51">
            <v>624</v>
          </cell>
          <cell r="N51">
            <v>130</v>
          </cell>
          <cell r="O51">
            <v>0</v>
          </cell>
          <cell r="P51">
            <v>26</v>
          </cell>
          <cell r="Q51">
            <v>113.75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893.75</v>
          </cell>
          <cell r="AD51">
            <v>0</v>
          </cell>
          <cell r="AE51">
            <v>893.75</v>
          </cell>
          <cell r="AF51">
            <v>80.4375</v>
          </cell>
          <cell r="AG51">
            <v>17.875</v>
          </cell>
          <cell r="AH51">
            <v>15.55125</v>
          </cell>
          <cell r="AI51">
            <v>113.86375</v>
          </cell>
        </row>
        <row r="52">
          <cell r="B52">
            <v>41</v>
          </cell>
          <cell r="C52" t="str">
            <v>QUISPE YANQUI, Enrique</v>
          </cell>
          <cell r="D52" t="str">
            <v>PERFORISTA</v>
          </cell>
          <cell r="E52">
            <v>36997</v>
          </cell>
          <cell r="F52">
            <v>28</v>
          </cell>
          <cell r="G52" t="str">
            <v>HORIZONTE</v>
          </cell>
          <cell r="H52">
            <v>24</v>
          </cell>
          <cell r="I52">
            <v>5</v>
          </cell>
          <cell r="J52">
            <v>0</v>
          </cell>
          <cell r="K52">
            <v>1</v>
          </cell>
          <cell r="L52">
            <v>28</v>
          </cell>
          <cell r="M52">
            <v>672</v>
          </cell>
          <cell r="N52">
            <v>140</v>
          </cell>
          <cell r="O52">
            <v>0</v>
          </cell>
          <cell r="P52">
            <v>28</v>
          </cell>
          <cell r="Q52">
            <v>122.5</v>
          </cell>
          <cell r="R52">
            <v>0</v>
          </cell>
          <cell r="S52">
            <v>0</v>
          </cell>
          <cell r="T52">
            <v>892.5</v>
          </cell>
          <cell r="U52">
            <v>0</v>
          </cell>
          <cell r="V52">
            <v>0</v>
          </cell>
          <cell r="W52">
            <v>1855</v>
          </cell>
          <cell r="Y52">
            <v>148.4</v>
          </cell>
          <cell r="Z52">
            <v>12.87</v>
          </cell>
          <cell r="AA52">
            <v>20.556249999999999</v>
          </cell>
          <cell r="AD52">
            <v>181.82625000000002</v>
          </cell>
          <cell r="AE52">
            <v>1673.1737499999999</v>
          </cell>
          <cell r="AF52">
            <v>150.58563749999999</v>
          </cell>
          <cell r="AG52">
            <v>33.463475000000003</v>
          </cell>
          <cell r="AH52">
            <v>29.113223249999997</v>
          </cell>
          <cell r="AI52">
            <v>213.16233574999998</v>
          </cell>
        </row>
        <row r="53">
          <cell r="B53">
            <v>42</v>
          </cell>
          <cell r="C53" t="str">
            <v>QUISPE YURA, Teofilo</v>
          </cell>
          <cell r="D53" t="str">
            <v>AYUDANTE</v>
          </cell>
          <cell r="E53">
            <v>36182</v>
          </cell>
          <cell r="F53">
            <v>26</v>
          </cell>
          <cell r="G53" t="str">
            <v>UNION</v>
          </cell>
          <cell r="H53">
            <v>24</v>
          </cell>
          <cell r="I53">
            <v>5</v>
          </cell>
          <cell r="J53">
            <v>0</v>
          </cell>
          <cell r="K53">
            <v>1</v>
          </cell>
          <cell r="L53">
            <v>28</v>
          </cell>
          <cell r="M53">
            <v>624</v>
          </cell>
          <cell r="N53">
            <v>130</v>
          </cell>
          <cell r="O53">
            <v>0</v>
          </cell>
          <cell r="P53">
            <v>26</v>
          </cell>
          <cell r="Q53">
            <v>113.75</v>
          </cell>
          <cell r="R53">
            <v>41</v>
          </cell>
          <cell r="S53">
            <v>0</v>
          </cell>
          <cell r="T53">
            <v>869.75</v>
          </cell>
          <cell r="U53">
            <v>0</v>
          </cell>
          <cell r="V53">
            <v>0</v>
          </cell>
          <cell r="W53">
            <v>1804.5</v>
          </cell>
          <cell r="Y53">
            <v>144.36000000000001</v>
          </cell>
          <cell r="Z53">
            <v>21.293099999999999</v>
          </cell>
          <cell r="AA53">
            <v>40.962150000000001</v>
          </cell>
          <cell r="AD53">
            <v>206.61525000000003</v>
          </cell>
          <cell r="AE53">
            <v>1597.8847499999999</v>
          </cell>
          <cell r="AF53">
            <v>143.80962749999998</v>
          </cell>
          <cell r="AG53">
            <v>31.957695000000001</v>
          </cell>
          <cell r="AH53">
            <v>27.803194649999998</v>
          </cell>
          <cell r="AI53">
            <v>203.57051714999997</v>
          </cell>
        </row>
        <row r="54">
          <cell r="B54">
            <v>43</v>
          </cell>
          <cell r="C54" t="str">
            <v>ROSAS ZUNI, Bernardo</v>
          </cell>
          <cell r="D54" t="str">
            <v>AYUDANTE</v>
          </cell>
          <cell r="E54">
            <v>37269</v>
          </cell>
          <cell r="F54">
            <v>26</v>
          </cell>
          <cell r="G54" t="str">
            <v>INTEGRA</v>
          </cell>
          <cell r="H54">
            <v>24</v>
          </cell>
          <cell r="I54">
            <v>5</v>
          </cell>
          <cell r="J54">
            <v>0</v>
          </cell>
          <cell r="K54">
            <v>1</v>
          </cell>
          <cell r="L54">
            <v>28</v>
          </cell>
          <cell r="M54">
            <v>624</v>
          </cell>
          <cell r="N54">
            <v>130</v>
          </cell>
          <cell r="O54">
            <v>0</v>
          </cell>
          <cell r="P54">
            <v>26</v>
          </cell>
          <cell r="Q54">
            <v>113.75</v>
          </cell>
          <cell r="R54">
            <v>0</v>
          </cell>
          <cell r="S54">
            <v>0</v>
          </cell>
          <cell r="T54">
            <v>690.63</v>
          </cell>
          <cell r="U54">
            <v>0</v>
          </cell>
          <cell r="V54">
            <v>0</v>
          </cell>
          <cell r="W54">
            <v>1584.38</v>
          </cell>
          <cell r="Y54">
            <v>126.75040000000001</v>
          </cell>
          <cell r="Z54">
            <v>21.389130000000005</v>
          </cell>
          <cell r="AA54">
            <v>33.271980000000006</v>
          </cell>
          <cell r="AD54">
            <v>181.41151000000002</v>
          </cell>
          <cell r="AE54">
            <v>1402.9684900000002</v>
          </cell>
          <cell r="AF54">
            <v>126.26716410000002</v>
          </cell>
          <cell r="AG54">
            <v>28.059369800000006</v>
          </cell>
          <cell r="AH54">
            <v>24.411651726000002</v>
          </cell>
          <cell r="AI54">
            <v>178.73818562600002</v>
          </cell>
        </row>
        <row r="55">
          <cell r="B55">
            <v>45</v>
          </cell>
          <cell r="C55" t="str">
            <v>SOTO MOLLO, Jose</v>
          </cell>
          <cell r="D55" t="str">
            <v>PERFORISTA</v>
          </cell>
          <cell r="E55">
            <v>36767</v>
          </cell>
          <cell r="F55">
            <v>28</v>
          </cell>
          <cell r="G55" t="str">
            <v>UNION</v>
          </cell>
          <cell r="H55">
            <v>21</v>
          </cell>
          <cell r="I55">
            <v>4</v>
          </cell>
          <cell r="J55">
            <v>3</v>
          </cell>
          <cell r="K55">
            <v>1</v>
          </cell>
          <cell r="L55">
            <v>19</v>
          </cell>
          <cell r="M55">
            <v>588</v>
          </cell>
          <cell r="N55">
            <v>112</v>
          </cell>
          <cell r="O55">
            <v>14</v>
          </cell>
          <cell r="P55">
            <v>28</v>
          </cell>
          <cell r="Q55">
            <v>83.125</v>
          </cell>
          <cell r="R55">
            <v>36.5</v>
          </cell>
          <cell r="S55">
            <v>0</v>
          </cell>
          <cell r="T55">
            <v>933.5</v>
          </cell>
          <cell r="U55">
            <v>0</v>
          </cell>
          <cell r="V55">
            <v>0</v>
          </cell>
          <cell r="W55">
            <v>1795.125</v>
          </cell>
          <cell r="Y55">
            <v>143.61000000000001</v>
          </cell>
          <cell r="Z55">
            <v>21.182475</v>
          </cell>
          <cell r="AA55">
            <v>40.749337500000003</v>
          </cell>
          <cell r="AD55">
            <v>205.54181250000002</v>
          </cell>
          <cell r="AE55">
            <v>1589.5831874999999</v>
          </cell>
          <cell r="AF55">
            <v>143.06248687499999</v>
          </cell>
          <cell r="AG55">
            <v>31.791663749999998</v>
          </cell>
          <cell r="AH55">
            <v>27.658747462499996</v>
          </cell>
          <cell r="AI55">
            <v>202.51289808749999</v>
          </cell>
        </row>
        <row r="56">
          <cell r="B56">
            <v>46</v>
          </cell>
          <cell r="C56" t="str">
            <v>SULCA FLORES, Mauro</v>
          </cell>
          <cell r="D56" t="str">
            <v>AYUDANTE</v>
          </cell>
          <cell r="E56">
            <v>37262</v>
          </cell>
          <cell r="F56">
            <v>26</v>
          </cell>
          <cell r="G56" t="str">
            <v>UNION</v>
          </cell>
          <cell r="H56">
            <v>24</v>
          </cell>
          <cell r="I56">
            <v>5</v>
          </cell>
          <cell r="J56">
            <v>0</v>
          </cell>
          <cell r="K56">
            <v>1</v>
          </cell>
          <cell r="L56">
            <v>28</v>
          </cell>
          <cell r="M56">
            <v>624</v>
          </cell>
          <cell r="N56">
            <v>130</v>
          </cell>
          <cell r="O56">
            <v>0</v>
          </cell>
          <cell r="P56">
            <v>26</v>
          </cell>
          <cell r="Q56">
            <v>113.75</v>
          </cell>
          <cell r="R56">
            <v>41</v>
          </cell>
          <cell r="S56">
            <v>0</v>
          </cell>
          <cell r="T56">
            <v>724.79</v>
          </cell>
          <cell r="U56">
            <v>0</v>
          </cell>
          <cell r="V56">
            <v>0</v>
          </cell>
          <cell r="W56">
            <v>1659.54</v>
          </cell>
          <cell r="Y56">
            <v>132.76320000000001</v>
          </cell>
          <cell r="Z56">
            <v>19.582571999999999</v>
          </cell>
          <cell r="AA56">
            <v>37.671557999999997</v>
          </cell>
          <cell r="AD56">
            <v>190.01733000000002</v>
          </cell>
          <cell r="AE56">
            <v>1469.5226699999998</v>
          </cell>
          <cell r="AF56">
            <v>132.25704029999997</v>
          </cell>
          <cell r="AG56">
            <v>29.390453399999998</v>
          </cell>
          <cell r="AH56">
            <v>25.569694457999994</v>
          </cell>
          <cell r="AI56">
            <v>187.21718815799997</v>
          </cell>
        </row>
        <row r="57">
          <cell r="B57">
            <v>47</v>
          </cell>
          <cell r="C57" t="str">
            <v>VARGAS ARANGOITIA, Cosme</v>
          </cell>
          <cell r="D57" t="str">
            <v>AYUDANTE</v>
          </cell>
          <cell r="E57">
            <v>36269</v>
          </cell>
          <cell r="F57">
            <v>26</v>
          </cell>
          <cell r="G57" t="str">
            <v>ONP</v>
          </cell>
          <cell r="H57">
            <v>24</v>
          </cell>
          <cell r="I57">
            <v>5</v>
          </cell>
          <cell r="J57">
            <v>0</v>
          </cell>
          <cell r="K57">
            <v>1</v>
          </cell>
          <cell r="L57">
            <v>28</v>
          </cell>
          <cell r="M57">
            <v>624</v>
          </cell>
          <cell r="N57">
            <v>130</v>
          </cell>
          <cell r="O57">
            <v>0</v>
          </cell>
          <cell r="P57">
            <v>26</v>
          </cell>
          <cell r="Q57">
            <v>113.75</v>
          </cell>
          <cell r="R57">
            <v>41</v>
          </cell>
          <cell r="S57">
            <v>0</v>
          </cell>
          <cell r="T57">
            <v>289.92</v>
          </cell>
          <cell r="U57">
            <v>0</v>
          </cell>
          <cell r="V57">
            <v>0</v>
          </cell>
          <cell r="W57">
            <v>1224.67</v>
          </cell>
          <cell r="X57">
            <v>205.96940000000004</v>
          </cell>
          <cell r="AD57">
            <v>205.96940000000004</v>
          </cell>
          <cell r="AE57">
            <v>1018.7006</v>
          </cell>
          <cell r="AF57">
            <v>91.683053999999998</v>
          </cell>
          <cell r="AG57">
            <v>20.374012</v>
          </cell>
          <cell r="AH57">
            <v>17.725390439999998</v>
          </cell>
          <cell r="AI57">
            <v>129.78245643999998</v>
          </cell>
        </row>
        <row r="58">
          <cell r="B58">
            <v>48</v>
          </cell>
          <cell r="C58" t="str">
            <v>VELASCO MERMA, Benancio Hugo</v>
          </cell>
          <cell r="D58" t="str">
            <v>PERFORISTA</v>
          </cell>
          <cell r="E58">
            <v>36997</v>
          </cell>
          <cell r="F58">
            <v>28</v>
          </cell>
          <cell r="G58" t="str">
            <v>INTEGRA</v>
          </cell>
          <cell r="H58">
            <v>24</v>
          </cell>
          <cell r="I58">
            <v>5</v>
          </cell>
          <cell r="J58">
            <v>0</v>
          </cell>
          <cell r="K58">
            <v>1</v>
          </cell>
          <cell r="L58">
            <v>28</v>
          </cell>
          <cell r="M58">
            <v>672</v>
          </cell>
          <cell r="N58">
            <v>140</v>
          </cell>
          <cell r="O58">
            <v>0</v>
          </cell>
          <cell r="P58">
            <v>28</v>
          </cell>
          <cell r="Q58">
            <v>122.5</v>
          </cell>
          <cell r="R58">
            <v>41</v>
          </cell>
          <cell r="S58">
            <v>0</v>
          </cell>
          <cell r="T58">
            <v>933.5</v>
          </cell>
          <cell r="U58">
            <v>0</v>
          </cell>
          <cell r="V58">
            <v>0</v>
          </cell>
          <cell r="W58">
            <v>1937</v>
          </cell>
          <cell r="Y58">
            <v>154.96</v>
          </cell>
          <cell r="Z58">
            <v>26.149500000000003</v>
          </cell>
          <cell r="AA58">
            <v>40.677</v>
          </cell>
          <cell r="AD58">
            <v>221.78650000000002</v>
          </cell>
          <cell r="AE58">
            <v>1715.2135000000001</v>
          </cell>
          <cell r="AF58">
            <v>154.369215</v>
          </cell>
          <cell r="AG58">
            <v>34.304270000000002</v>
          </cell>
          <cell r="AH58">
            <v>29.8447149</v>
          </cell>
          <cell r="AI58">
            <v>218.51819990000001</v>
          </cell>
        </row>
        <row r="59">
          <cell r="B59">
            <v>49</v>
          </cell>
          <cell r="C59" t="str">
            <v>YAPO FOROCA, Romulo</v>
          </cell>
          <cell r="D59" t="str">
            <v>PERFORISTA</v>
          </cell>
          <cell r="E59">
            <v>37271</v>
          </cell>
          <cell r="F59">
            <v>28</v>
          </cell>
          <cell r="G59" t="str">
            <v>UNION</v>
          </cell>
          <cell r="H59">
            <v>24</v>
          </cell>
          <cell r="I59">
            <v>5</v>
          </cell>
          <cell r="J59">
            <v>0</v>
          </cell>
          <cell r="K59">
            <v>1</v>
          </cell>
          <cell r="L59">
            <v>28</v>
          </cell>
          <cell r="M59">
            <v>672</v>
          </cell>
          <cell r="N59">
            <v>140</v>
          </cell>
          <cell r="O59">
            <v>0</v>
          </cell>
          <cell r="P59">
            <v>28</v>
          </cell>
          <cell r="Q59">
            <v>122.5</v>
          </cell>
          <cell r="R59">
            <v>0</v>
          </cell>
          <cell r="S59">
            <v>0</v>
          </cell>
          <cell r="T59">
            <v>743.75</v>
          </cell>
          <cell r="U59">
            <v>0</v>
          </cell>
          <cell r="V59">
            <v>280</v>
          </cell>
          <cell r="W59">
            <v>1986.25</v>
          </cell>
          <cell r="Y59">
            <v>158.9</v>
          </cell>
          <cell r="Z59">
            <v>23.437750000000001</v>
          </cell>
          <cell r="AA59">
            <v>45.087875000000004</v>
          </cell>
          <cell r="AD59">
            <v>227.425625</v>
          </cell>
          <cell r="AE59">
            <v>1758.8243749999999</v>
          </cell>
          <cell r="AF59">
            <v>158.29419374999998</v>
          </cell>
          <cell r="AG59">
            <v>35.1764875</v>
          </cell>
          <cell r="AH59">
            <v>30.603544124999996</v>
          </cell>
          <cell r="AI59">
            <v>224.07422537499997</v>
          </cell>
        </row>
        <row r="60">
          <cell r="W60">
            <v>76898.194166666653</v>
          </cell>
        </row>
        <row r="64">
          <cell r="C64" t="str">
            <v>CONTRATISTAS GENERALES EN MINERIA</v>
          </cell>
        </row>
        <row r="65">
          <cell r="C65" t="str">
            <v>JH.SAC</v>
          </cell>
        </row>
        <row r="66">
          <cell r="B66" t="str">
            <v>PLANILLA DE REMUNERACIONES - VACACIONES JUNIO</v>
          </cell>
        </row>
        <row r="67">
          <cell r="AE67" t="str">
            <v xml:space="preserve">     Vacacionistas</v>
          </cell>
        </row>
        <row r="70">
          <cell r="B70" t="str">
            <v>Nº</v>
          </cell>
          <cell r="C70" t="str">
            <v>NOMBRE  Y  APELLIDOS</v>
          </cell>
          <cell r="D70" t="str">
            <v>CARGO
OCUPACION</v>
          </cell>
          <cell r="E70" t="str">
            <v>FECHA
INGRESO</v>
          </cell>
          <cell r="F70" t="str">
            <v>JOR.</v>
          </cell>
          <cell r="G70" t="str">
            <v>AFP/ONP</v>
          </cell>
          <cell r="H70" t="str">
            <v>JORNADA</v>
          </cell>
          <cell r="M70" t="str">
            <v xml:space="preserve">Remuneraciones </v>
          </cell>
          <cell r="U70" t="str">
            <v>BONOS</v>
          </cell>
          <cell r="V70" t="str">
            <v>REINTEGRO</v>
          </cell>
          <cell r="W70" t="str">
            <v>TOTAL 
REMUNERACION</v>
          </cell>
          <cell r="X70" t="str">
            <v>Retenciones a Cargo del Trabajador por Tributos, Aportes Previsionales, Cuotas y otros conceptos</v>
          </cell>
          <cell r="AC70" t="str">
            <v>RENTA
5TA</v>
          </cell>
          <cell r="AD70" t="str">
            <v>TOTAL
DEDUCCION</v>
          </cell>
          <cell r="AE70" t="str">
            <v>NETO A
PAGAR</v>
          </cell>
          <cell r="AF70" t="str">
            <v>Tributos y Aportes a cargo del Empleador</v>
          </cell>
          <cell r="AJ70" t="str">
            <v>VACACIONES</v>
          </cell>
        </row>
        <row r="72">
          <cell r="H72" t="str">
            <v>Días
Ordin</v>
          </cell>
          <cell r="I72" t="str">
            <v>Domini</v>
          </cell>
          <cell r="J72" t="str">
            <v>Sextos</v>
          </cell>
          <cell r="K72" t="str">
            <v>Fer.</v>
          </cell>
          <cell r="L72" t="str">
            <v>H.E 
25%</v>
          </cell>
          <cell r="M72" t="str">
            <v>Importe</v>
          </cell>
          <cell r="N72" t="str">
            <v>Importe</v>
          </cell>
          <cell r="O72" t="str">
            <v>Importe</v>
          </cell>
          <cell r="P72" t="str">
            <v>Importe</v>
          </cell>
          <cell r="Q72" t="str">
            <v>Importe</v>
          </cell>
          <cell r="R72" t="str">
            <v>ASIG.</v>
          </cell>
          <cell r="S72" t="str">
            <v>VAC</v>
          </cell>
          <cell r="T72" t="str">
            <v>GRATIF.</v>
          </cell>
          <cell r="X72" t="str">
            <v>S.  N.  P.</v>
          </cell>
          <cell r="Y72" t="str">
            <v>Sist. Privado de Pensiones A.F.P</v>
          </cell>
          <cell r="AB72" t="str">
            <v>IPSS</v>
          </cell>
          <cell r="AF72" t="str">
            <v>ESSALUD
 9%</v>
          </cell>
          <cell r="AG72" t="str">
            <v>I.E.S  
2 %</v>
          </cell>
          <cell r="AH72" t="str">
            <v xml:space="preserve">S.C.T.R. </v>
          </cell>
          <cell r="AI72" t="str">
            <v>TOTAL</v>
          </cell>
          <cell r="AJ72" t="str">
            <v>SALIDA</v>
          </cell>
          <cell r="AM72" t="str">
            <v>RETORNO</v>
          </cell>
        </row>
        <row r="73">
          <cell r="M73" t="str">
            <v>Ordinario</v>
          </cell>
          <cell r="N73" t="str">
            <v>Dominic.</v>
          </cell>
          <cell r="O73" t="str">
            <v>Sextos</v>
          </cell>
          <cell r="P73" t="str">
            <v>Fer. NL</v>
          </cell>
          <cell r="Q73" t="str">
            <v>EXT.25%</v>
          </cell>
          <cell r="R73" t="str">
            <v>Familiar</v>
          </cell>
          <cell r="S73" t="str">
            <v>TRUN</v>
          </cell>
          <cell r="T73" t="str">
            <v>PROPOR.</v>
          </cell>
          <cell r="Y73" t="str">
            <v>Obligat. 8%</v>
          </cell>
          <cell r="Z73" t="str">
            <v>SEG.</v>
          </cell>
          <cell r="AA73" t="str">
            <v>COMISI</v>
          </cell>
          <cell r="AB73" t="str">
            <v>VIDA</v>
          </cell>
          <cell r="AH73">
            <v>1.7399999999999999E-2</v>
          </cell>
          <cell r="AJ73" t="str">
            <v>D</v>
          </cell>
          <cell r="AK73" t="str">
            <v>M</v>
          </cell>
          <cell r="AL73" t="str">
            <v>A</v>
          </cell>
          <cell r="AM73" t="str">
            <v>D</v>
          </cell>
          <cell r="AN73" t="str">
            <v>M</v>
          </cell>
          <cell r="AO73" t="str">
            <v>A</v>
          </cell>
        </row>
        <row r="74">
          <cell r="C74" t="str">
            <v>ASTOCAZA ASTOCAZA SERAPIO</v>
          </cell>
          <cell r="D74" t="str">
            <v>PEON</v>
          </cell>
          <cell r="E74">
            <v>36684</v>
          </cell>
          <cell r="F74">
            <v>24</v>
          </cell>
          <cell r="G74" t="str">
            <v>PROFUTURO</v>
          </cell>
          <cell r="H74">
            <v>30</v>
          </cell>
          <cell r="I74">
            <v>0</v>
          </cell>
          <cell r="J74">
            <v>0</v>
          </cell>
          <cell r="K74">
            <v>0</v>
          </cell>
          <cell r="L74">
            <v>12</v>
          </cell>
          <cell r="M74">
            <v>720</v>
          </cell>
          <cell r="N74">
            <v>0</v>
          </cell>
          <cell r="O74">
            <v>0</v>
          </cell>
          <cell r="P74">
            <v>0</v>
          </cell>
          <cell r="Q74">
            <v>45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765</v>
          </cell>
          <cell r="Y74">
            <v>61.2</v>
          </cell>
          <cell r="Z74">
            <v>9.9</v>
          </cell>
          <cell r="AA74">
            <v>19</v>
          </cell>
          <cell r="AD74">
            <v>90.100000000000009</v>
          </cell>
          <cell r="AE74">
            <v>674.9</v>
          </cell>
          <cell r="AF74">
            <v>60.740999999999993</v>
          </cell>
          <cell r="AG74">
            <v>13.497999999999999</v>
          </cell>
          <cell r="AH74">
            <v>11.743259999999999</v>
          </cell>
          <cell r="AI74">
            <v>85.982259999999997</v>
          </cell>
        </row>
        <row r="75">
          <cell r="C75" t="str">
            <v xml:space="preserve">COAQUIRA QUISPE TITO </v>
          </cell>
          <cell r="D75" t="str">
            <v>AYUDANTE P.</v>
          </cell>
          <cell r="E75">
            <v>37068</v>
          </cell>
          <cell r="F75">
            <v>26</v>
          </cell>
          <cell r="G75" t="str">
            <v>UNION</v>
          </cell>
          <cell r="H75">
            <v>30</v>
          </cell>
          <cell r="I75">
            <v>0</v>
          </cell>
          <cell r="J75">
            <v>0</v>
          </cell>
          <cell r="K75">
            <v>0</v>
          </cell>
          <cell r="L75">
            <v>12</v>
          </cell>
          <cell r="M75">
            <v>780</v>
          </cell>
          <cell r="N75">
            <v>0</v>
          </cell>
          <cell r="O75">
            <v>0</v>
          </cell>
          <cell r="P75">
            <v>0</v>
          </cell>
          <cell r="Q75">
            <v>48.75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828.75</v>
          </cell>
          <cell r="Y75">
            <v>66.3</v>
          </cell>
          <cell r="Z75">
            <v>14.9</v>
          </cell>
          <cell r="AA75">
            <v>22</v>
          </cell>
          <cell r="AD75">
            <v>103.2</v>
          </cell>
          <cell r="AE75">
            <v>725.55</v>
          </cell>
          <cell r="AF75">
            <v>65.299499999999995</v>
          </cell>
          <cell r="AG75">
            <v>14.510999999999999</v>
          </cell>
          <cell r="AH75">
            <v>12.624569999999999</v>
          </cell>
          <cell r="AI75">
            <v>92.435069999999996</v>
          </cell>
        </row>
        <row r="80">
          <cell r="W80">
            <v>1593.75</v>
          </cell>
        </row>
        <row r="82">
          <cell r="C82" t="str">
            <v>CONTRATISTAS GENERALES EN MINERIA</v>
          </cell>
        </row>
        <row r="83">
          <cell r="C83" t="str">
            <v>JH.SAC</v>
          </cell>
        </row>
        <row r="84">
          <cell r="B84" t="str">
            <v>PLANILLA DE REMUNERACIONES - SUELDO</v>
          </cell>
        </row>
        <row r="85">
          <cell r="AE85" t="str">
            <v xml:space="preserve">     Empleados</v>
          </cell>
        </row>
        <row r="88">
          <cell r="B88" t="str">
            <v>Nº</v>
          </cell>
          <cell r="C88" t="str">
            <v>NOMBRE  Y  APELLIDOS</v>
          </cell>
          <cell r="D88" t="str">
            <v>CARGO
OCUPACION</v>
          </cell>
          <cell r="E88" t="str">
            <v>FECHA
INGRESO</v>
          </cell>
          <cell r="F88" t="str">
            <v>JOR.</v>
          </cell>
          <cell r="G88" t="str">
            <v>AFP/ONP</v>
          </cell>
          <cell r="H88" t="str">
            <v>JORNADA</v>
          </cell>
          <cell r="M88" t="str">
            <v xml:space="preserve">Remuneraciones </v>
          </cell>
          <cell r="U88" t="str">
            <v>BONOS</v>
          </cell>
          <cell r="V88" t="str">
            <v>REINTEGRO</v>
          </cell>
          <cell r="W88" t="str">
            <v>TOTAL 
REMUNERACION</v>
          </cell>
          <cell r="X88" t="str">
            <v>Retenciones a Cargo del Trabajador por Tributos, Aportes Previsionales, Cuotas y otros conceptos</v>
          </cell>
          <cell r="AC88" t="str">
            <v>RENTA
5TA</v>
          </cell>
          <cell r="AD88" t="str">
            <v>TOTAL
DEDUCCION</v>
          </cell>
          <cell r="AE88" t="str">
            <v>NETO A
PAGAR</v>
          </cell>
          <cell r="AF88" t="str">
            <v>Tributos y Aportes a cargo del Empleador</v>
          </cell>
          <cell r="AJ88" t="str">
            <v>VACACIONES</v>
          </cell>
        </row>
        <row r="90">
          <cell r="H90" t="str">
            <v>Días
Ordin</v>
          </cell>
          <cell r="I90" t="str">
            <v>Domini</v>
          </cell>
          <cell r="J90" t="str">
            <v>Sextos</v>
          </cell>
          <cell r="K90" t="str">
            <v>Fer.</v>
          </cell>
          <cell r="L90" t="str">
            <v>H.E 
25%</v>
          </cell>
          <cell r="M90" t="str">
            <v>Importe</v>
          </cell>
          <cell r="N90" t="str">
            <v>Importe</v>
          </cell>
          <cell r="O90" t="str">
            <v>Importe</v>
          </cell>
          <cell r="P90" t="str">
            <v>Importe</v>
          </cell>
          <cell r="Q90" t="str">
            <v>Importe</v>
          </cell>
          <cell r="R90" t="str">
            <v>ASIG.</v>
          </cell>
          <cell r="S90" t="str">
            <v>VAC</v>
          </cell>
          <cell r="T90" t="str">
            <v>GRATIF.</v>
          </cell>
          <cell r="X90" t="str">
            <v>S.  N.  P.</v>
          </cell>
          <cell r="Y90" t="str">
            <v>Sist. Privado de Pensiones A.F.P</v>
          </cell>
          <cell r="AB90" t="str">
            <v>IPSS</v>
          </cell>
          <cell r="AF90" t="str">
            <v>ESSALUD
 9%</v>
          </cell>
          <cell r="AG90" t="str">
            <v>I.E.S  
2 %</v>
          </cell>
          <cell r="AH90" t="str">
            <v xml:space="preserve">S.C.T.R. </v>
          </cell>
          <cell r="AI90" t="str">
            <v>TOTAL</v>
          </cell>
          <cell r="AJ90" t="str">
            <v>SALIDA</v>
          </cell>
          <cell r="AM90" t="str">
            <v>RETORNO</v>
          </cell>
        </row>
        <row r="91">
          <cell r="M91" t="str">
            <v>Ordinario</v>
          </cell>
          <cell r="N91" t="str">
            <v>Dominic.</v>
          </cell>
          <cell r="O91" t="str">
            <v>Sextos</v>
          </cell>
          <cell r="P91" t="str">
            <v>Fer. NL</v>
          </cell>
          <cell r="Q91" t="str">
            <v>EXT.25%</v>
          </cell>
          <cell r="R91" t="str">
            <v>Familiar</v>
          </cell>
          <cell r="S91" t="str">
            <v>TRUN</v>
          </cell>
          <cell r="T91" t="str">
            <v>PROPOR.</v>
          </cell>
          <cell r="Y91" t="str">
            <v>Obligat. 8%</v>
          </cell>
          <cell r="Z91" t="str">
            <v>SEG.</v>
          </cell>
          <cell r="AA91" t="str">
            <v>COMISI</v>
          </cell>
          <cell r="AB91" t="str">
            <v>VIDA</v>
          </cell>
          <cell r="AH91">
            <v>1.7399999999999999E-2</v>
          </cell>
          <cell r="AJ91" t="str">
            <v>D</v>
          </cell>
          <cell r="AK91" t="str">
            <v>M</v>
          </cell>
          <cell r="AL91" t="str">
            <v>A</v>
          </cell>
          <cell r="AM91" t="str">
            <v>D</v>
          </cell>
          <cell r="AN91" t="str">
            <v>M</v>
          </cell>
          <cell r="AO91" t="str">
            <v>A</v>
          </cell>
        </row>
        <row r="92">
          <cell r="B92">
            <v>1</v>
          </cell>
          <cell r="C92" t="str">
            <v>VILA ACUÑA, AMILCAR</v>
          </cell>
          <cell r="D92" t="str">
            <v>ING. RESIDENTE</v>
          </cell>
          <cell r="E92">
            <v>37403</v>
          </cell>
          <cell r="F92">
            <v>3000</v>
          </cell>
          <cell r="G92" t="str">
            <v>PROFUTURO</v>
          </cell>
          <cell r="H92">
            <v>30</v>
          </cell>
          <cell r="M92">
            <v>3000</v>
          </cell>
          <cell r="T92">
            <v>500</v>
          </cell>
          <cell r="W92">
            <v>3500</v>
          </cell>
          <cell r="Y92">
            <v>280</v>
          </cell>
          <cell r="Z92">
            <v>45.5</v>
          </cell>
          <cell r="AA92">
            <v>87.5</v>
          </cell>
          <cell r="AC92">
            <v>262.5</v>
          </cell>
          <cell r="AD92">
            <v>675.5</v>
          </cell>
          <cell r="AE92">
            <v>2824.5</v>
          </cell>
          <cell r="AF92">
            <v>254.2</v>
          </cell>
          <cell r="AG92">
            <v>56.5</v>
          </cell>
          <cell r="AH92">
            <v>49.14</v>
          </cell>
          <cell r="AI92">
            <v>359.84</v>
          </cell>
        </row>
        <row r="93">
          <cell r="B93">
            <v>2</v>
          </cell>
          <cell r="C93" t="str">
            <v>YALLICO RAYMUNDO, RONNY</v>
          </cell>
          <cell r="D93" t="str">
            <v>ADMINISTRADOR</v>
          </cell>
          <cell r="E93">
            <v>37390</v>
          </cell>
          <cell r="F93">
            <v>800</v>
          </cell>
          <cell r="G93" t="str">
            <v>INTEGRA</v>
          </cell>
          <cell r="H93">
            <v>30</v>
          </cell>
          <cell r="M93">
            <v>800</v>
          </cell>
          <cell r="R93">
            <v>41</v>
          </cell>
          <cell r="T93">
            <v>140</v>
          </cell>
          <cell r="W93">
            <v>940</v>
          </cell>
          <cell r="Y93">
            <v>75.2</v>
          </cell>
          <cell r="Z93">
            <v>12.7</v>
          </cell>
          <cell r="AA93">
            <v>19.739999999999998</v>
          </cell>
          <cell r="AD93">
            <v>107.64</v>
          </cell>
          <cell r="AE93">
            <v>832.36</v>
          </cell>
          <cell r="AF93">
            <v>75</v>
          </cell>
          <cell r="AG93">
            <v>16.600000000000001</v>
          </cell>
          <cell r="AH93">
            <v>14.5</v>
          </cell>
          <cell r="AI93">
            <v>106.1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LA PAGO"/>
      <sheetName val="BOLETAS LIMA"/>
      <sheetName val="PLLA PAGO (2)"/>
      <sheetName val="PLLA PAGO (3)"/>
    </sheetNames>
    <sheetDataSet>
      <sheetData sheetId="0">
        <row r="1">
          <cell r="A1" t="str">
            <v>CONTRATISTAS GENERALES EN MINERÍA JH S.A.C.</v>
          </cell>
        </row>
        <row r="2">
          <cell r="A2" t="str">
            <v>UNIDAD LIMA</v>
          </cell>
        </row>
        <row r="4">
          <cell r="B4" t="str">
            <v>PLANILLA CORRESPONDIENTE AL MES DE MAYO  2008</v>
          </cell>
        </row>
        <row r="6">
          <cell r="A6" t="str">
            <v>1.-  PLANILLA EMPLEADOS DEL 01 AL 31 DE MAYO DEL 2008</v>
          </cell>
        </row>
        <row r="7">
          <cell r="A7">
            <v>1</v>
          </cell>
          <cell r="B7">
            <v>2</v>
          </cell>
          <cell r="C7">
            <v>3</v>
          </cell>
          <cell r="D7">
            <v>4</v>
          </cell>
          <cell r="E7">
            <v>5</v>
          </cell>
          <cell r="F7">
            <v>6</v>
          </cell>
          <cell r="G7">
            <v>7</v>
          </cell>
          <cell r="H7">
            <v>8</v>
          </cell>
          <cell r="I7">
            <v>9</v>
          </cell>
          <cell r="J7">
            <v>10</v>
          </cell>
          <cell r="K7">
            <v>11</v>
          </cell>
          <cell r="L7">
            <v>12</v>
          </cell>
          <cell r="M7">
            <v>13</v>
          </cell>
          <cell r="N7">
            <v>14</v>
          </cell>
          <cell r="O7">
            <v>15</v>
          </cell>
          <cell r="P7">
            <v>16</v>
          </cell>
          <cell r="Q7">
            <v>17</v>
          </cell>
          <cell r="R7">
            <v>18</v>
          </cell>
          <cell r="S7">
            <v>19</v>
          </cell>
          <cell r="T7">
            <v>20</v>
          </cell>
          <cell r="U7">
            <v>21</v>
          </cell>
          <cell r="V7">
            <v>22</v>
          </cell>
          <cell r="W7">
            <v>23</v>
          </cell>
          <cell r="X7">
            <v>24</v>
          </cell>
          <cell r="Y7">
            <v>25</v>
          </cell>
          <cell r="Z7">
            <v>26</v>
          </cell>
          <cell r="AA7">
            <v>27</v>
          </cell>
          <cell r="AB7">
            <v>28</v>
          </cell>
          <cell r="AC7">
            <v>29</v>
          </cell>
          <cell r="AD7">
            <v>30</v>
          </cell>
          <cell r="AE7">
            <v>31</v>
          </cell>
          <cell r="AF7">
            <v>32</v>
          </cell>
          <cell r="AG7">
            <v>33</v>
          </cell>
          <cell r="AH7">
            <v>34</v>
          </cell>
          <cell r="AI7">
            <v>35</v>
          </cell>
          <cell r="AJ7">
            <v>36</v>
          </cell>
          <cell r="AK7">
            <v>37</v>
          </cell>
          <cell r="AL7">
            <v>38</v>
          </cell>
          <cell r="AM7">
            <v>39</v>
          </cell>
          <cell r="AN7">
            <v>40</v>
          </cell>
          <cell r="AO7">
            <v>41</v>
          </cell>
          <cell r="AP7">
            <v>42</v>
          </cell>
          <cell r="AQ7">
            <v>43</v>
          </cell>
          <cell r="AR7">
            <v>44</v>
          </cell>
          <cell r="AS7">
            <v>45</v>
          </cell>
          <cell r="AT7">
            <v>46</v>
          </cell>
          <cell r="AU7">
            <v>47</v>
          </cell>
          <cell r="AV7">
            <v>48</v>
          </cell>
          <cell r="AW7">
            <v>49</v>
          </cell>
          <cell r="AX7">
            <v>50</v>
          </cell>
          <cell r="AY7">
            <v>51</v>
          </cell>
        </row>
        <row r="8">
          <cell r="A8" t="str">
            <v>Nº</v>
          </cell>
          <cell r="B8" t="str">
            <v>APELLIDOS Y NOMBRES</v>
          </cell>
          <cell r="C8" t="str">
            <v>CARGO
OCUPACION</v>
          </cell>
          <cell r="D8" t="str">
            <v>CUENTA BANCARIA</v>
          </cell>
          <cell r="E8" t="str">
            <v>VACACIONES</v>
          </cell>
          <cell r="G8" t="str">
            <v>FECHA   INGRESO</v>
          </cell>
          <cell r="H8" t="str">
            <v>FECHA   CESE</v>
          </cell>
          <cell r="I8" t="str">
            <v>FECHA DE NACIM.</v>
          </cell>
          <cell r="J8" t="str">
            <v>DNI</v>
          </cell>
          <cell r="K8" t="str">
            <v>JOR./ SUELDO</v>
          </cell>
          <cell r="L8" t="str">
            <v>IMPORTE  DIA</v>
          </cell>
          <cell r="M8" t="str">
            <v>AFP/ONP</v>
          </cell>
          <cell r="N8" t="str">
            <v>JORNADA</v>
          </cell>
          <cell r="T8" t="str">
            <v>REMUNERACIONES</v>
          </cell>
          <cell r="AE8" t="str">
            <v>TOTAL 
REMUNERACION</v>
          </cell>
          <cell r="AF8" t="str">
            <v>DESCUENTOS AL TRABAJADOR</v>
          </cell>
          <cell r="AL8" t="str">
            <v>TOTAL
DSCTOS</v>
          </cell>
          <cell r="AM8" t="str">
            <v>TOTAL
 A GANAR</v>
          </cell>
          <cell r="AN8" t="str">
            <v>OTROS DESCUENTOS</v>
          </cell>
          <cell r="AR8" t="str">
            <v>TOTAL DESCUENTOS</v>
          </cell>
          <cell r="AS8" t="str">
            <v>REFRIGERIO QUE NO ES ALIMENTACION PRINCIPAL   0914</v>
          </cell>
          <cell r="AT8" t="str">
            <v>TOTAL   NETO     GANADO</v>
          </cell>
          <cell r="AU8" t="str">
            <v>TRIBUTOS Y APORTES A CARGO DEL EMPLEADOR</v>
          </cell>
          <cell r="AZ8" t="str">
            <v>COSTO   PLANILLA                          S / BS</v>
          </cell>
          <cell r="BA8" t="str">
            <v xml:space="preserve">CTS                                                                              </v>
          </cell>
          <cell r="BB8" t="str">
            <v xml:space="preserve">VACACIONES  TRUNCAS    </v>
          </cell>
          <cell r="BC8" t="str">
            <v xml:space="preserve">GRATIFICAC    TRUNCA      </v>
          </cell>
          <cell r="BD8" t="str">
            <v>TOTAL   BENEFICIOS SOCIALES</v>
          </cell>
          <cell r="BE8" t="str">
            <v>GRAN   TOTAL COSTO PLANILLA</v>
          </cell>
        </row>
        <row r="9">
          <cell r="N9" t="str">
            <v>T.O</v>
          </cell>
          <cell r="O9" t="str">
            <v>DOM
FER</v>
          </cell>
          <cell r="P9" t="str">
            <v>VACACIONES</v>
          </cell>
          <cell r="Q9" t="str">
            <v>H.E 
25%</v>
          </cell>
          <cell r="R9" t="str">
            <v>H.E 
35%</v>
          </cell>
          <cell r="S9" t="str">
            <v>H.E 
100%</v>
          </cell>
          <cell r="T9" t="str">
            <v>IMPORTES</v>
          </cell>
          <cell r="Z9" t="str">
            <v>ASIGN,
FAM.</v>
          </cell>
          <cell r="AA9" t="str">
            <v>VACACIONES
2007</v>
          </cell>
          <cell r="AB9" t="str">
            <v>REINTEGROS</v>
          </cell>
          <cell r="AC9" t="str">
            <v>VACACIONES  TRUNCAS</v>
          </cell>
          <cell r="AD9" t="str">
            <v xml:space="preserve">GRATIFICACIO      TRUNCAS </v>
          </cell>
          <cell r="AF9" t="str">
            <v>S.  N.  P.</v>
          </cell>
          <cell r="AG9" t="str">
            <v>SISTEMA PRIVADO DE PENSIONES</v>
          </cell>
          <cell r="AJ9" t="str">
            <v>RENTA                        5ta
Categoria</v>
          </cell>
          <cell r="AK9" t="str">
            <v>ESSALUD +
VIDA</v>
          </cell>
          <cell r="AN9" t="str">
            <v>DESCUENTOS JUDICIALES</v>
          </cell>
          <cell r="AO9" t="str">
            <v>SEGUROS
PERSONALES</v>
          </cell>
          <cell r="AP9" t="str">
            <v>PENSIÓN
Y OTROS</v>
          </cell>
          <cell r="AQ9" t="str">
            <v>ADELANTO DE HABERES</v>
          </cell>
          <cell r="AU9" t="str">
            <v xml:space="preserve">ESSALUD           
 </v>
          </cell>
          <cell r="AV9" t="str">
            <v>SCTR                 SALUD</v>
          </cell>
          <cell r="AW9" t="str">
            <v xml:space="preserve">SCTR               </v>
          </cell>
          <cell r="AX9" t="str">
            <v>VIDA LEY</v>
          </cell>
          <cell r="AY9" t="str">
            <v xml:space="preserve">TOTAL
 APORTES      </v>
          </cell>
        </row>
        <row r="10">
          <cell r="E10" t="str">
            <v>INICIO</v>
          </cell>
          <cell r="F10" t="str">
            <v>TERMINO</v>
          </cell>
          <cell r="T10" t="str">
            <v>ORDINARIO</v>
          </cell>
          <cell r="U10" t="str">
            <v>DOM Y FER</v>
          </cell>
          <cell r="V10" t="str">
            <v>DES.
MED.</v>
          </cell>
          <cell r="W10" t="str">
            <v>EXT                                  25%</v>
          </cell>
          <cell r="X10" t="str">
            <v>EXT                                  35%</v>
          </cell>
          <cell r="Y10" t="str">
            <v>EXT                               100%</v>
          </cell>
          <cell r="AG10" t="str">
            <v xml:space="preserve">Obligat.10% + 2%  ley 27252  </v>
          </cell>
          <cell r="AH10" t="str">
            <v>SEG.</v>
          </cell>
          <cell r="AI10" t="str">
            <v>COMISI</v>
          </cell>
        </row>
        <row r="11">
          <cell r="AU11" t="str">
            <v>9%</v>
          </cell>
          <cell r="AV11" t="str">
            <v>1%</v>
          </cell>
          <cell r="AW11" t="str">
            <v>1.84</v>
          </cell>
          <cell r="AX11" t="str">
            <v>1.31</v>
          </cell>
        </row>
        <row r="12">
          <cell r="A12">
            <v>1</v>
          </cell>
          <cell r="B12" t="str">
            <v>CERVANTES BEDOYA RAQUEL MARY LUZ</v>
          </cell>
          <cell r="C12" t="str">
            <v>SECRETARIA</v>
          </cell>
          <cell r="G12">
            <v>36164</v>
          </cell>
          <cell r="I12">
            <v>20735</v>
          </cell>
          <cell r="J12" t="str">
            <v>08609159</v>
          </cell>
          <cell r="K12">
            <v>1500</v>
          </cell>
          <cell r="L12">
            <v>48.387096774193552</v>
          </cell>
          <cell r="M12" t="str">
            <v>ONP</v>
          </cell>
          <cell r="N12">
            <v>26</v>
          </cell>
          <cell r="O12">
            <v>5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1258.06</v>
          </cell>
          <cell r="U12">
            <v>241.94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55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1555</v>
          </cell>
          <cell r="AF12">
            <v>202.15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202.15</v>
          </cell>
          <cell r="AM12">
            <v>1352.85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T12">
            <v>1352.85</v>
          </cell>
          <cell r="AU12">
            <v>139.94999999999999</v>
          </cell>
          <cell r="AV12">
            <v>0</v>
          </cell>
          <cell r="AW12">
            <v>0</v>
          </cell>
          <cell r="AX12">
            <v>0</v>
          </cell>
          <cell r="AY12">
            <v>139.94999999999999</v>
          </cell>
          <cell r="AZ12">
            <v>1694.95</v>
          </cell>
          <cell r="BA12">
            <v>129.53149999999999</v>
          </cell>
          <cell r="BB12">
            <v>129.58333333333334</v>
          </cell>
          <cell r="BC12">
            <v>259.16666666666669</v>
          </cell>
          <cell r="BD12">
            <v>518.28150000000005</v>
          </cell>
          <cell r="BE12">
            <v>2213.2314999999999</v>
          </cell>
        </row>
        <row r="13">
          <cell r="A13">
            <v>2</v>
          </cell>
          <cell r="B13" t="str">
            <v>HUERTA PEREZ JANETH IRENE</v>
          </cell>
          <cell r="C13" t="str">
            <v>ASISTENTE GERENCIA</v>
          </cell>
          <cell r="G13">
            <v>36648</v>
          </cell>
          <cell r="I13">
            <v>29869</v>
          </cell>
          <cell r="J13" t="str">
            <v>41172831</v>
          </cell>
          <cell r="K13">
            <v>2500</v>
          </cell>
          <cell r="L13">
            <v>80.645161290322577</v>
          </cell>
          <cell r="M13" t="str">
            <v>PRIMA</v>
          </cell>
          <cell r="N13">
            <v>26</v>
          </cell>
          <cell r="O13">
            <v>5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2096.77</v>
          </cell>
          <cell r="U13">
            <v>403.23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2500</v>
          </cell>
          <cell r="AF13">
            <v>0</v>
          </cell>
          <cell r="AG13">
            <v>250</v>
          </cell>
          <cell r="AH13">
            <v>21.75</v>
          </cell>
          <cell r="AI13">
            <v>37.5</v>
          </cell>
          <cell r="AJ13">
            <v>131.25</v>
          </cell>
          <cell r="AK13">
            <v>0</v>
          </cell>
          <cell r="AL13">
            <v>440.5</v>
          </cell>
          <cell r="AM13">
            <v>2059.5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T13">
            <v>2059.5</v>
          </cell>
          <cell r="AU13">
            <v>225</v>
          </cell>
          <cell r="AV13">
            <v>0</v>
          </cell>
          <cell r="AW13">
            <v>0</v>
          </cell>
          <cell r="AX13">
            <v>0</v>
          </cell>
          <cell r="AY13">
            <v>225</v>
          </cell>
          <cell r="AZ13">
            <v>2725</v>
          </cell>
          <cell r="BA13">
            <v>208.25</v>
          </cell>
          <cell r="BB13">
            <v>208.33333333333334</v>
          </cell>
          <cell r="BC13">
            <v>416.66666666666669</v>
          </cell>
          <cell r="BD13">
            <v>833.25</v>
          </cell>
          <cell r="BE13">
            <v>3558.25</v>
          </cell>
        </row>
        <row r="14">
          <cell r="A14">
            <v>3</v>
          </cell>
          <cell r="B14" t="str">
            <v>HUERTA PEREZ JESUS HIDALGO</v>
          </cell>
          <cell r="C14" t="str">
            <v>ASISTENTE GERENCIA</v>
          </cell>
          <cell r="G14">
            <v>37712</v>
          </cell>
          <cell r="I14">
            <v>31028</v>
          </cell>
          <cell r="J14" t="str">
            <v>42876302</v>
          </cell>
          <cell r="K14">
            <v>2500</v>
          </cell>
          <cell r="L14">
            <v>80.645161290322577</v>
          </cell>
          <cell r="M14" t="str">
            <v>HORIZONTE</v>
          </cell>
          <cell r="N14">
            <v>26</v>
          </cell>
          <cell r="O14">
            <v>5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2096.77</v>
          </cell>
          <cell r="U14">
            <v>403.23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2500</v>
          </cell>
          <cell r="AF14">
            <v>0</v>
          </cell>
          <cell r="AG14">
            <v>250</v>
          </cell>
          <cell r="AH14">
            <v>22</v>
          </cell>
          <cell r="AI14">
            <v>48.75</v>
          </cell>
          <cell r="AJ14">
            <v>131.25</v>
          </cell>
          <cell r="AK14">
            <v>0</v>
          </cell>
          <cell r="AL14">
            <v>452</v>
          </cell>
          <cell r="AM14">
            <v>2048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T14">
            <v>2048</v>
          </cell>
          <cell r="AU14">
            <v>225</v>
          </cell>
          <cell r="AV14">
            <v>0</v>
          </cell>
          <cell r="AW14">
            <v>0</v>
          </cell>
          <cell r="AX14">
            <v>0</v>
          </cell>
          <cell r="AY14">
            <v>225</v>
          </cell>
          <cell r="AZ14">
            <v>2725</v>
          </cell>
          <cell r="BA14">
            <v>208.25</v>
          </cell>
          <cell r="BB14">
            <v>208.33333333333334</v>
          </cell>
          <cell r="BC14">
            <v>416.66666666666669</v>
          </cell>
          <cell r="BD14">
            <v>833.25</v>
          </cell>
          <cell r="BE14">
            <v>3558.25</v>
          </cell>
        </row>
        <row r="15">
          <cell r="A15">
            <v>4</v>
          </cell>
          <cell r="B15" t="str">
            <v>HUERTA PEREZ, MARIO CESAR</v>
          </cell>
          <cell r="C15" t="str">
            <v>GERENTE OPERACIONES</v>
          </cell>
          <cell r="G15">
            <v>38635</v>
          </cell>
          <cell r="I15">
            <v>28331</v>
          </cell>
          <cell r="J15" t="str">
            <v>10683422</v>
          </cell>
          <cell r="K15">
            <v>4500</v>
          </cell>
          <cell r="L15">
            <v>145.16129032258064</v>
          </cell>
          <cell r="M15" t="str">
            <v>INTEGRA</v>
          </cell>
          <cell r="N15">
            <v>26</v>
          </cell>
          <cell r="O15">
            <v>5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3774.19</v>
          </cell>
          <cell r="U15">
            <v>725.81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4500</v>
          </cell>
          <cell r="AF15">
            <v>0</v>
          </cell>
          <cell r="AG15">
            <v>450</v>
          </cell>
          <cell r="AH15">
            <v>39.6</v>
          </cell>
          <cell r="AI15">
            <v>81</v>
          </cell>
          <cell r="AJ15">
            <v>481.25</v>
          </cell>
          <cell r="AK15">
            <v>0</v>
          </cell>
          <cell r="AL15">
            <v>1051.8499999999999</v>
          </cell>
          <cell r="AM15">
            <v>3448.15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T15">
            <v>3448.15</v>
          </cell>
          <cell r="AU15">
            <v>405</v>
          </cell>
          <cell r="AV15">
            <v>0</v>
          </cell>
          <cell r="AW15">
            <v>82.8</v>
          </cell>
          <cell r="AX15">
            <v>0</v>
          </cell>
          <cell r="AY15">
            <v>487.8</v>
          </cell>
          <cell r="AZ15">
            <v>4987.8</v>
          </cell>
          <cell r="BA15">
            <v>374.85</v>
          </cell>
          <cell r="BB15">
            <v>375</v>
          </cell>
          <cell r="BC15">
            <v>750</v>
          </cell>
          <cell r="BD15">
            <v>1499.85</v>
          </cell>
          <cell r="BE15">
            <v>6487.65</v>
          </cell>
        </row>
        <row r="16">
          <cell r="A16">
            <v>5</v>
          </cell>
          <cell r="B16" t="str">
            <v>HUERTA RAMIREZ HIDALGO AURELIO</v>
          </cell>
          <cell r="C16" t="str">
            <v>ASISTENTE</v>
          </cell>
          <cell r="G16">
            <v>38626</v>
          </cell>
          <cell r="I16">
            <v>14821</v>
          </cell>
          <cell r="J16" t="str">
            <v>08680442</v>
          </cell>
          <cell r="K16">
            <v>1000</v>
          </cell>
          <cell r="L16">
            <v>32.258064516129032</v>
          </cell>
          <cell r="M16" t="str">
            <v>ONP</v>
          </cell>
          <cell r="N16">
            <v>26</v>
          </cell>
          <cell r="O16">
            <v>5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838.71</v>
          </cell>
          <cell r="U16">
            <v>161.29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1000</v>
          </cell>
          <cell r="AF16">
            <v>130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130</v>
          </cell>
          <cell r="AM16">
            <v>870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T16">
            <v>870</v>
          </cell>
          <cell r="AU16">
            <v>90</v>
          </cell>
          <cell r="AV16">
            <v>0</v>
          </cell>
          <cell r="AW16">
            <v>0</v>
          </cell>
          <cell r="AX16">
            <v>0</v>
          </cell>
          <cell r="AY16">
            <v>90</v>
          </cell>
          <cell r="AZ16">
            <v>1090</v>
          </cell>
          <cell r="BA16">
            <v>83.3</v>
          </cell>
          <cell r="BB16">
            <v>83.333333333333329</v>
          </cell>
          <cell r="BC16">
            <v>166.66666666666666</v>
          </cell>
          <cell r="BD16">
            <v>333.29999999999995</v>
          </cell>
          <cell r="BE16">
            <v>1423.3</v>
          </cell>
        </row>
        <row r="17">
          <cell r="A17">
            <v>6</v>
          </cell>
          <cell r="B17" t="str">
            <v>HUERTA RAMIREZ JESUS MARIO</v>
          </cell>
          <cell r="C17" t="str">
            <v>GERENTE GENERAL</v>
          </cell>
          <cell r="G17">
            <v>33409</v>
          </cell>
          <cell r="I17">
            <v>18799</v>
          </cell>
          <cell r="J17" t="str">
            <v>08466930</v>
          </cell>
          <cell r="K17">
            <v>5000</v>
          </cell>
          <cell r="L17">
            <v>161.29032258064515</v>
          </cell>
          <cell r="M17" t="str">
            <v>INTEGRA</v>
          </cell>
          <cell r="N17">
            <v>26</v>
          </cell>
          <cell r="O17">
            <v>5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4193.55</v>
          </cell>
          <cell r="U17">
            <v>806.45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5000</v>
          </cell>
          <cell r="AF17">
            <v>0</v>
          </cell>
          <cell r="AG17">
            <v>500</v>
          </cell>
          <cell r="AH17">
            <v>44</v>
          </cell>
          <cell r="AI17">
            <v>90</v>
          </cell>
          <cell r="AJ17">
            <v>568.75</v>
          </cell>
          <cell r="AK17">
            <v>0</v>
          </cell>
          <cell r="AL17">
            <v>1202.75</v>
          </cell>
          <cell r="AM17">
            <v>3797.25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T17">
            <v>3797.25</v>
          </cell>
          <cell r="AU17">
            <v>450</v>
          </cell>
          <cell r="AV17">
            <v>0</v>
          </cell>
          <cell r="AW17">
            <v>92</v>
          </cell>
          <cell r="AX17">
            <v>0</v>
          </cell>
          <cell r="AY17">
            <v>542</v>
          </cell>
          <cell r="AZ17">
            <v>5542</v>
          </cell>
          <cell r="BA17">
            <v>416.5</v>
          </cell>
          <cell r="BB17">
            <v>416.66666666666669</v>
          </cell>
          <cell r="BC17">
            <v>833.33333333333337</v>
          </cell>
          <cell r="BD17">
            <v>1666.5</v>
          </cell>
          <cell r="BE17">
            <v>7208.5</v>
          </cell>
        </row>
        <row r="18">
          <cell r="A18">
            <v>7</v>
          </cell>
          <cell r="B18" t="str">
            <v>MEDINA VEGA, SANDRA VANESSA</v>
          </cell>
          <cell r="C18" t="str">
            <v>MEDIO AMBIENTE Y PLANEAMIENTO</v>
          </cell>
          <cell r="G18">
            <v>38758</v>
          </cell>
          <cell r="I18">
            <v>29913</v>
          </cell>
          <cell r="J18" t="str">
            <v>41366013</v>
          </cell>
          <cell r="K18">
            <v>2745</v>
          </cell>
          <cell r="L18">
            <v>88.548387096774192</v>
          </cell>
          <cell r="M18" t="str">
            <v>HORIZONTE</v>
          </cell>
          <cell r="N18">
            <v>26</v>
          </cell>
          <cell r="O18">
            <v>5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2302.2600000000002</v>
          </cell>
          <cell r="U18">
            <v>442.74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55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2800</v>
          </cell>
          <cell r="AF18">
            <v>0</v>
          </cell>
          <cell r="AG18">
            <v>280</v>
          </cell>
          <cell r="AH18">
            <v>24.64</v>
          </cell>
          <cell r="AI18">
            <v>54.6</v>
          </cell>
          <cell r="AJ18">
            <v>183.75</v>
          </cell>
          <cell r="AK18">
            <v>5</v>
          </cell>
          <cell r="AL18">
            <v>547.99</v>
          </cell>
          <cell r="AM18">
            <v>2252.0100000000002</v>
          </cell>
          <cell r="AN18">
            <v>0</v>
          </cell>
          <cell r="AO18">
            <v>0</v>
          </cell>
          <cell r="AP18">
            <v>0</v>
          </cell>
          <cell r="AQ18">
            <v>280</v>
          </cell>
          <cell r="AR18">
            <v>280</v>
          </cell>
          <cell r="AT18">
            <v>1972.01</v>
          </cell>
          <cell r="AU18">
            <v>252</v>
          </cell>
          <cell r="AV18">
            <v>0</v>
          </cell>
          <cell r="AW18">
            <v>51.52</v>
          </cell>
          <cell r="AX18">
            <v>0</v>
          </cell>
          <cell r="AY18">
            <v>303.52</v>
          </cell>
          <cell r="AZ18">
            <v>3103.52</v>
          </cell>
          <cell r="BA18">
            <v>233.24</v>
          </cell>
          <cell r="BB18">
            <v>233.33333333333334</v>
          </cell>
          <cell r="BC18">
            <v>466.66666666666669</v>
          </cell>
          <cell r="BD18">
            <v>933.24</v>
          </cell>
          <cell r="BE18">
            <v>4036.76</v>
          </cell>
        </row>
        <row r="19">
          <cell r="A19">
            <v>8</v>
          </cell>
          <cell r="B19" t="str">
            <v>MONTOYA NEYRA, MERY</v>
          </cell>
          <cell r="C19" t="str">
            <v>SECRETARIA</v>
          </cell>
          <cell r="G19">
            <v>38626</v>
          </cell>
          <cell r="I19">
            <v>26639</v>
          </cell>
          <cell r="J19" t="str">
            <v>29470763</v>
          </cell>
          <cell r="K19">
            <v>900</v>
          </cell>
          <cell r="L19">
            <v>29.032258064516128</v>
          </cell>
          <cell r="M19" t="str">
            <v>INTEGRA</v>
          </cell>
          <cell r="N19">
            <v>26</v>
          </cell>
          <cell r="O19">
            <v>5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754.84</v>
          </cell>
          <cell r="U19">
            <v>145.16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55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955</v>
          </cell>
          <cell r="AF19">
            <v>0</v>
          </cell>
          <cell r="AG19">
            <v>95.5</v>
          </cell>
          <cell r="AH19">
            <v>8.4</v>
          </cell>
          <cell r="AI19">
            <v>17.190000000000001</v>
          </cell>
          <cell r="AJ19">
            <v>0</v>
          </cell>
          <cell r="AK19">
            <v>0</v>
          </cell>
          <cell r="AL19">
            <v>121.09</v>
          </cell>
          <cell r="AM19">
            <v>833.91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T19">
            <v>833.91</v>
          </cell>
          <cell r="AU19">
            <v>85.95</v>
          </cell>
          <cell r="AV19">
            <v>0</v>
          </cell>
          <cell r="AW19">
            <v>0</v>
          </cell>
          <cell r="AX19">
            <v>0</v>
          </cell>
          <cell r="AY19">
            <v>85.95</v>
          </cell>
          <cell r="AZ19">
            <v>1040.95</v>
          </cell>
          <cell r="BA19">
            <v>79.551500000000004</v>
          </cell>
          <cell r="BB19">
            <v>79.583333333333329</v>
          </cell>
          <cell r="BC19">
            <v>159.16666666666666</v>
          </cell>
          <cell r="BD19">
            <v>318.30150000000003</v>
          </cell>
          <cell r="BE19">
            <v>1359.2515000000001</v>
          </cell>
        </row>
        <row r="20">
          <cell r="A20">
            <v>9</v>
          </cell>
          <cell r="B20" t="str">
            <v>PAREDES SANCHEZ, PALMIRA ZULEMA</v>
          </cell>
          <cell r="C20" t="str">
            <v>SECRETARIA</v>
          </cell>
          <cell r="G20">
            <v>38488</v>
          </cell>
          <cell r="I20">
            <v>27257</v>
          </cell>
          <cell r="J20" t="str">
            <v>30843052</v>
          </cell>
          <cell r="K20">
            <v>1000</v>
          </cell>
          <cell r="L20">
            <v>32.258064516129032</v>
          </cell>
          <cell r="M20" t="str">
            <v>INTEGRA</v>
          </cell>
          <cell r="N20">
            <v>26</v>
          </cell>
          <cell r="O20">
            <v>5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838.71</v>
          </cell>
          <cell r="U20">
            <v>161.29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55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1055</v>
          </cell>
          <cell r="AF20">
            <v>0</v>
          </cell>
          <cell r="AG20">
            <v>105.5</v>
          </cell>
          <cell r="AH20">
            <v>9.2799999999999994</v>
          </cell>
          <cell r="AI20">
            <v>18.989999999999998</v>
          </cell>
          <cell r="AJ20">
            <v>0</v>
          </cell>
          <cell r="AK20">
            <v>0</v>
          </cell>
          <cell r="AL20">
            <v>133.77000000000001</v>
          </cell>
          <cell r="AM20">
            <v>921.23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T20">
            <v>921.23</v>
          </cell>
          <cell r="AU20">
            <v>94.95</v>
          </cell>
          <cell r="AV20">
            <v>0</v>
          </cell>
          <cell r="AW20">
            <v>0</v>
          </cell>
          <cell r="AX20">
            <v>0</v>
          </cell>
          <cell r="AY20">
            <v>94.95</v>
          </cell>
          <cell r="AZ20">
            <v>1149.95</v>
          </cell>
          <cell r="BA20">
            <v>87.881500000000003</v>
          </cell>
          <cell r="BB20">
            <v>87.916666666666671</v>
          </cell>
          <cell r="BC20">
            <v>175.83333333333334</v>
          </cell>
          <cell r="BD20">
            <v>351.63150000000002</v>
          </cell>
          <cell r="BE20">
            <v>1501.5815</v>
          </cell>
        </row>
        <row r="21">
          <cell r="A21">
            <v>10</v>
          </cell>
          <cell r="B21" t="str">
            <v>PEREZ NOLASCO, MANUEL ALFREDO</v>
          </cell>
          <cell r="C21" t="str">
            <v>OPERADOR</v>
          </cell>
          <cell r="G21">
            <v>39568</v>
          </cell>
          <cell r="I21">
            <v>26913</v>
          </cell>
          <cell r="J21" t="str">
            <v>31669764</v>
          </cell>
          <cell r="K21">
            <v>900</v>
          </cell>
          <cell r="L21">
            <v>29.032258064516128</v>
          </cell>
          <cell r="M21" t="str">
            <v>PROFUTURO</v>
          </cell>
          <cell r="N21">
            <v>26</v>
          </cell>
          <cell r="O21">
            <v>5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754.84</v>
          </cell>
          <cell r="U21">
            <v>145.16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900</v>
          </cell>
          <cell r="AF21">
            <v>0</v>
          </cell>
          <cell r="AG21">
            <v>90</v>
          </cell>
          <cell r="AH21">
            <v>8.1</v>
          </cell>
          <cell r="AI21">
            <v>17.82</v>
          </cell>
          <cell r="AJ21">
            <v>0</v>
          </cell>
          <cell r="AK21">
            <v>0</v>
          </cell>
          <cell r="AL21">
            <v>115.92</v>
          </cell>
          <cell r="AM21">
            <v>784.08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600</v>
          </cell>
          <cell r="AT21">
            <v>1384.08</v>
          </cell>
          <cell r="AU21">
            <v>81</v>
          </cell>
          <cell r="AV21">
            <v>0</v>
          </cell>
          <cell r="AW21">
            <v>16.559999999999999</v>
          </cell>
          <cell r="AX21">
            <v>0</v>
          </cell>
          <cell r="AY21">
            <v>97.56</v>
          </cell>
          <cell r="AZ21">
            <v>997.56</v>
          </cell>
          <cell r="BA21">
            <v>74.97</v>
          </cell>
          <cell r="BB21">
            <v>75</v>
          </cell>
          <cell r="BC21">
            <v>150</v>
          </cell>
          <cell r="BD21">
            <v>299.97000000000003</v>
          </cell>
          <cell r="BE21">
            <v>1297.53</v>
          </cell>
        </row>
        <row r="22">
          <cell r="A22">
            <v>11</v>
          </cell>
          <cell r="B22" t="str">
            <v>QUISPE AGUILAR, PELAYO</v>
          </cell>
          <cell r="C22" t="str">
            <v>SOLDADOR</v>
          </cell>
          <cell r="G22">
            <v>39356</v>
          </cell>
          <cell r="J22" t="str">
            <v>02164991</v>
          </cell>
          <cell r="K22">
            <v>550</v>
          </cell>
          <cell r="L22">
            <v>17.741935483870968</v>
          </cell>
          <cell r="M22" t="str">
            <v>INTEGRA</v>
          </cell>
          <cell r="N22">
            <v>18</v>
          </cell>
          <cell r="O22">
            <v>3.46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319.35000000000002</v>
          </cell>
          <cell r="U22">
            <v>61.39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380.74</v>
          </cell>
          <cell r="AF22">
            <v>0</v>
          </cell>
          <cell r="AG22">
            <v>38.07</v>
          </cell>
          <cell r="AH22">
            <v>3.35</v>
          </cell>
          <cell r="AI22">
            <v>6.85</v>
          </cell>
          <cell r="AJ22">
            <v>0</v>
          </cell>
          <cell r="AK22">
            <v>0</v>
          </cell>
          <cell r="AL22">
            <v>48.27</v>
          </cell>
          <cell r="AM22">
            <v>332.47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T22">
            <v>332.47</v>
          </cell>
          <cell r="AU22">
            <v>49.5</v>
          </cell>
          <cell r="AV22">
            <v>0</v>
          </cell>
          <cell r="AW22">
            <v>7.01</v>
          </cell>
          <cell r="AX22">
            <v>0</v>
          </cell>
          <cell r="AY22">
            <v>56.51</v>
          </cell>
          <cell r="AZ22">
            <v>437.25</v>
          </cell>
          <cell r="BA22">
            <v>31.715641999999999</v>
          </cell>
          <cell r="BB22">
            <v>31.728333333333335</v>
          </cell>
          <cell r="BC22">
            <v>63.456666666666671</v>
          </cell>
          <cell r="BD22">
            <v>126.900642</v>
          </cell>
          <cell r="BE22">
            <v>564.15064200000006</v>
          </cell>
        </row>
        <row r="23">
          <cell r="A23">
            <v>12</v>
          </cell>
          <cell r="B23" t="str">
            <v>SANCHEZ REYES, CARMELO</v>
          </cell>
          <cell r="C23" t="str">
            <v>ABOGADO</v>
          </cell>
          <cell r="G23">
            <v>38749</v>
          </cell>
          <cell r="I23">
            <v>21382</v>
          </cell>
          <cell r="J23" t="str">
            <v>07946196</v>
          </cell>
          <cell r="K23">
            <v>553</v>
          </cell>
          <cell r="L23">
            <v>17.838709677419356</v>
          </cell>
          <cell r="M23" t="str">
            <v>ONP</v>
          </cell>
          <cell r="N23">
            <v>26</v>
          </cell>
          <cell r="O23">
            <v>5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463.81</v>
          </cell>
          <cell r="U23">
            <v>89.19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553</v>
          </cell>
          <cell r="AF23">
            <v>71.89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71.89</v>
          </cell>
          <cell r="AM23">
            <v>481.11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T23">
            <v>481.11</v>
          </cell>
          <cell r="AU23">
            <v>49.77</v>
          </cell>
          <cell r="AV23">
            <v>0</v>
          </cell>
          <cell r="AW23">
            <v>0</v>
          </cell>
          <cell r="AX23">
            <v>0</v>
          </cell>
          <cell r="AY23">
            <v>49.77</v>
          </cell>
          <cell r="AZ23">
            <v>602.77</v>
          </cell>
          <cell r="BA23">
            <v>46.064900000000002</v>
          </cell>
          <cell r="BB23">
            <v>46.083333333333336</v>
          </cell>
          <cell r="BC23">
            <v>92.166666666666671</v>
          </cell>
          <cell r="BD23">
            <v>184.31490000000002</v>
          </cell>
          <cell r="BE23">
            <v>787.08490000000006</v>
          </cell>
        </row>
        <row r="24">
          <cell r="A24">
            <v>13</v>
          </cell>
          <cell r="B24" t="str">
            <v>VIERA SILVA ADELENI BETY</v>
          </cell>
          <cell r="C24" t="str">
            <v>ING. MINAS</v>
          </cell>
          <cell r="G24">
            <v>38930</v>
          </cell>
          <cell r="I24">
            <v>29604</v>
          </cell>
          <cell r="J24" t="str">
            <v>40877177</v>
          </cell>
          <cell r="K24">
            <v>900</v>
          </cell>
          <cell r="L24">
            <v>29.032258064516128</v>
          </cell>
          <cell r="M24" t="str">
            <v>HORIZONTE</v>
          </cell>
          <cell r="N24">
            <v>26</v>
          </cell>
          <cell r="O24">
            <v>5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754.84</v>
          </cell>
          <cell r="U24">
            <v>145.16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900</v>
          </cell>
          <cell r="AF24">
            <v>0</v>
          </cell>
          <cell r="AG24">
            <v>90</v>
          </cell>
          <cell r="AH24">
            <v>7.92</v>
          </cell>
          <cell r="AI24">
            <v>17.55</v>
          </cell>
          <cell r="AJ24">
            <v>0</v>
          </cell>
          <cell r="AK24">
            <v>0</v>
          </cell>
          <cell r="AL24">
            <v>115.47</v>
          </cell>
          <cell r="AM24">
            <v>784.53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T24">
            <v>784.53</v>
          </cell>
          <cell r="AU24">
            <v>81</v>
          </cell>
          <cell r="AV24">
            <v>0</v>
          </cell>
          <cell r="AW24">
            <v>0</v>
          </cell>
          <cell r="AX24">
            <v>0</v>
          </cell>
          <cell r="AY24">
            <v>81</v>
          </cell>
          <cell r="AZ24">
            <v>981</v>
          </cell>
          <cell r="BA24">
            <v>74.97</v>
          </cell>
          <cell r="BB24">
            <v>75</v>
          </cell>
          <cell r="BC24">
            <v>150</v>
          </cell>
          <cell r="BD24">
            <v>299.97000000000003</v>
          </cell>
          <cell r="BE24">
            <v>1280.97</v>
          </cell>
        </row>
        <row r="25">
          <cell r="A25">
            <v>14</v>
          </cell>
          <cell r="B25" t="str">
            <v>ZARATE SICHA, JUAN CARLOS</v>
          </cell>
          <cell r="C25" t="str">
            <v>COMPRADOR</v>
          </cell>
          <cell r="G25">
            <v>39356</v>
          </cell>
          <cell r="J25" t="str">
            <v>45858603</v>
          </cell>
          <cell r="K25">
            <v>550</v>
          </cell>
          <cell r="L25">
            <v>17.741935483870968</v>
          </cell>
          <cell r="M25" t="str">
            <v>ONP</v>
          </cell>
          <cell r="N25">
            <v>24</v>
          </cell>
          <cell r="O25">
            <v>4.62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425.81</v>
          </cell>
          <cell r="U25">
            <v>81.97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507.78</v>
          </cell>
          <cell r="AF25">
            <v>66.010000000000005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66.010000000000005</v>
          </cell>
          <cell r="AM25">
            <v>441.77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T25">
            <v>441.77</v>
          </cell>
          <cell r="AU25">
            <v>49.5</v>
          </cell>
          <cell r="AV25">
            <v>0</v>
          </cell>
          <cell r="AW25">
            <v>9.34</v>
          </cell>
          <cell r="AX25">
            <v>0</v>
          </cell>
          <cell r="AY25">
            <v>58.84</v>
          </cell>
          <cell r="AZ25">
            <v>566.62</v>
          </cell>
          <cell r="BA25">
            <v>42.298074</v>
          </cell>
          <cell r="BB25">
            <v>42.314999999999998</v>
          </cell>
          <cell r="BC25">
            <v>84.63</v>
          </cell>
          <cell r="BD25">
            <v>169.24307399999998</v>
          </cell>
          <cell r="BE25">
            <v>735.86307399999998</v>
          </cell>
        </row>
        <row r="26">
          <cell r="A26">
            <v>15</v>
          </cell>
          <cell r="B26" t="str">
            <v>ZARATE SICHA, NELSON JHONATAN</v>
          </cell>
          <cell r="C26" t="str">
            <v>TORNERO</v>
          </cell>
          <cell r="G26">
            <v>39356</v>
          </cell>
          <cell r="I26">
            <v>30443</v>
          </cell>
          <cell r="J26" t="str">
            <v>41916821</v>
          </cell>
          <cell r="K26">
            <v>550</v>
          </cell>
          <cell r="L26">
            <v>17.741935483870968</v>
          </cell>
          <cell r="M26" t="str">
            <v>ONP</v>
          </cell>
          <cell r="N26">
            <v>26</v>
          </cell>
          <cell r="O26">
            <v>5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461.29</v>
          </cell>
          <cell r="U26">
            <v>88.71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550</v>
          </cell>
          <cell r="AF26">
            <v>71.5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71.5</v>
          </cell>
          <cell r="AM26">
            <v>478.5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T26">
            <v>478.5</v>
          </cell>
          <cell r="AU26">
            <v>49.5</v>
          </cell>
          <cell r="AV26">
            <v>0</v>
          </cell>
          <cell r="AW26">
            <v>10.119999999999999</v>
          </cell>
          <cell r="AX26">
            <v>0</v>
          </cell>
          <cell r="AY26">
            <v>59.62</v>
          </cell>
          <cell r="AZ26">
            <v>609.62</v>
          </cell>
          <cell r="BA26">
            <v>45.814999999999998</v>
          </cell>
          <cell r="BB26">
            <v>45.833333333333336</v>
          </cell>
          <cell r="BC26">
            <v>91.666666666666671</v>
          </cell>
          <cell r="BD26">
            <v>183.315</v>
          </cell>
          <cell r="BE26">
            <v>792.93499999999995</v>
          </cell>
        </row>
        <row r="27">
          <cell r="A27" t="str">
            <v>TOTAL OBREROS = 15</v>
          </cell>
          <cell r="N27">
            <v>380</v>
          </cell>
          <cell r="O27">
            <v>73.08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21333.8</v>
          </cell>
          <cell r="U27">
            <v>4102.7199999999984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220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25656.52</v>
          </cell>
          <cell r="AF27">
            <v>541.54999999999995</v>
          </cell>
          <cell r="AG27">
            <v>2149.0700000000002</v>
          </cell>
          <cell r="AH27">
            <v>189.04</v>
          </cell>
          <cell r="AI27">
            <v>390.25000000000006</v>
          </cell>
          <cell r="AJ27">
            <v>1496.25</v>
          </cell>
          <cell r="AK27">
            <v>5</v>
          </cell>
          <cell r="AL27">
            <v>4771.1600000000017</v>
          </cell>
          <cell r="AM27">
            <v>20885.360000000004</v>
          </cell>
          <cell r="AN27">
            <v>0</v>
          </cell>
          <cell r="AO27">
            <v>0</v>
          </cell>
          <cell r="AP27">
            <v>0</v>
          </cell>
          <cell r="AQ27">
            <v>280</v>
          </cell>
          <cell r="AR27">
            <v>280</v>
          </cell>
          <cell r="AS27">
            <v>600</v>
          </cell>
          <cell r="AT27">
            <v>21205.360000000004</v>
          </cell>
          <cell r="AU27">
            <v>2328.1200000000003</v>
          </cell>
          <cell r="AV27">
            <v>0</v>
          </cell>
          <cell r="AW27">
            <v>269.35000000000002</v>
          </cell>
          <cell r="AX27">
            <v>0</v>
          </cell>
          <cell r="AY27">
            <v>2597.4699999999998</v>
          </cell>
          <cell r="AZ27">
            <v>28253.99</v>
          </cell>
          <cell r="BA27">
            <v>2137.1881159999998</v>
          </cell>
          <cell r="BB27">
            <v>2138.0433333333331</v>
          </cell>
          <cell r="BC27">
            <v>4276.0866666666661</v>
          </cell>
          <cell r="BD27">
            <v>8551.3181160000004</v>
          </cell>
          <cell r="BE27">
            <v>36805.308116</v>
          </cell>
        </row>
        <row r="29">
          <cell r="A29" t="str">
            <v>TOTAL GENERAL</v>
          </cell>
          <cell r="N29">
            <v>380</v>
          </cell>
          <cell r="O29">
            <v>73.08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21333.8</v>
          </cell>
          <cell r="U29">
            <v>4102.7199999999984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220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25656.52</v>
          </cell>
          <cell r="AF29">
            <v>541.54999999999995</v>
          </cell>
          <cell r="AG29">
            <v>2149.0700000000002</v>
          </cell>
          <cell r="AH29">
            <v>189.04</v>
          </cell>
          <cell r="AI29">
            <v>390.25000000000006</v>
          </cell>
          <cell r="AJ29">
            <v>1496.25</v>
          </cell>
          <cell r="AK29">
            <v>5</v>
          </cell>
          <cell r="AL29">
            <v>4771.1600000000017</v>
          </cell>
          <cell r="AM29">
            <v>20885.360000000004</v>
          </cell>
          <cell r="AN29">
            <v>0</v>
          </cell>
          <cell r="AO29">
            <v>0</v>
          </cell>
          <cell r="AP29">
            <v>0</v>
          </cell>
          <cell r="AQ29">
            <v>280</v>
          </cell>
          <cell r="AR29">
            <v>280</v>
          </cell>
          <cell r="AS29">
            <v>600</v>
          </cell>
          <cell r="AT29">
            <v>21205.360000000004</v>
          </cell>
          <cell r="AU29">
            <v>2328.1200000000003</v>
          </cell>
          <cell r="AV29">
            <v>0</v>
          </cell>
          <cell r="AW29">
            <v>269.35000000000002</v>
          </cell>
          <cell r="AX29">
            <v>0</v>
          </cell>
          <cell r="AY29">
            <v>2597.4699999999998</v>
          </cell>
          <cell r="AZ29">
            <v>28253.99</v>
          </cell>
          <cell r="BA29">
            <v>2137.1881159999998</v>
          </cell>
          <cell r="BB29">
            <v>2138.0433333333331</v>
          </cell>
          <cell r="BC29">
            <v>4276.0866666666661</v>
          </cell>
          <cell r="BD29">
            <v>8551.3181160000004</v>
          </cell>
          <cell r="BE29">
            <v>36805.308116</v>
          </cell>
        </row>
        <row r="31">
          <cell r="A31" t="str">
            <v>TOTAL EN DÓLARES TC: 2.78</v>
          </cell>
          <cell r="T31">
            <v>7674.0287769784172</v>
          </cell>
          <cell r="U31">
            <v>1475.7985611510787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79.136690647482027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9228.9640287769798</v>
          </cell>
          <cell r="AF31">
            <v>194.80215827338128</v>
          </cell>
          <cell r="AG31">
            <v>773.04676258992822</v>
          </cell>
          <cell r="AH31">
            <v>68</v>
          </cell>
          <cell r="AI31">
            <v>140.37769784172664</v>
          </cell>
          <cell r="AJ31">
            <v>538.2194244604317</v>
          </cell>
          <cell r="AK31">
            <v>1.7985611510791368</v>
          </cell>
          <cell r="AL31">
            <v>1716.2446043165476</v>
          </cell>
          <cell r="AM31">
            <v>7512.7194244604334</v>
          </cell>
          <cell r="AN31">
            <v>0</v>
          </cell>
          <cell r="AO31">
            <v>0</v>
          </cell>
          <cell r="AP31">
            <v>0</v>
          </cell>
          <cell r="AQ31">
            <v>100.71942446043167</v>
          </cell>
          <cell r="AR31">
            <v>100.71942446043167</v>
          </cell>
          <cell r="AS31">
            <v>215.82733812949641</v>
          </cell>
          <cell r="AT31">
            <v>7627.8273381294985</v>
          </cell>
          <cell r="AU31">
            <v>837.45323741007212</v>
          </cell>
          <cell r="AV31">
            <v>0</v>
          </cell>
          <cell r="AW31">
            <v>96.888489208633104</v>
          </cell>
          <cell r="AX31">
            <v>0</v>
          </cell>
          <cell r="AY31">
            <v>934.34172661870502</v>
          </cell>
          <cell r="AZ31">
            <v>10163.305755395684</v>
          </cell>
          <cell r="BA31">
            <v>768.77270359712224</v>
          </cell>
          <cell r="BB31">
            <v>769.08033573141483</v>
          </cell>
          <cell r="BC31">
            <v>1538.1606714628297</v>
          </cell>
          <cell r="BD31">
            <v>3076.0137107913674</v>
          </cell>
          <cell r="BE31">
            <v>13239.319466187051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PARACION REMESAS"/>
      <sheetName val="PROCEDIMIENTO"/>
      <sheetName val="PLANILLA OK"/>
      <sheetName val="PLANILLA LIQ."/>
      <sheetName val="REMESA"/>
      <sheetName val="COMEDORES"/>
      <sheetName val="LIQUIDACIONES"/>
      <sheetName val="BOLETAS PAGO "/>
      <sheetName val="BOLETAS VACAC"/>
      <sheetName val="BOLETAS EMPLEADOS"/>
      <sheetName val="Hoja1"/>
      <sheetName val="planilla"/>
      <sheetName val="PLAN"/>
    </sheetNames>
    <sheetDataSet>
      <sheetData sheetId="0" refreshError="1"/>
      <sheetData sheetId="1" refreshError="1"/>
      <sheetData sheetId="2">
        <row r="1">
          <cell r="C1" t="str">
            <v>CONTRATISTAS GENERALES EN MINERIA JH.SAC</v>
          </cell>
        </row>
        <row r="2">
          <cell r="C2" t="str">
            <v>CONGEMIN</v>
          </cell>
        </row>
        <row r="3">
          <cell r="Y3" t="str">
            <v>PLANILLA DE  SALARIOS Y SUELDOS ANTAPITE   MES  DE JUNIO  DEL  2004</v>
          </cell>
        </row>
        <row r="5">
          <cell r="B5" t="str">
            <v>1.-  PLANILLA OBREROS:</v>
          </cell>
        </row>
        <row r="6">
          <cell r="B6" t="str">
            <v>Nº</v>
          </cell>
          <cell r="C6" t="str">
            <v>NOMBRE  Y  APELLIDOS</v>
          </cell>
          <cell r="D6" t="str">
            <v>CARGO
OCUPACION</v>
          </cell>
          <cell r="E6" t="str">
            <v xml:space="preserve">FECHA   INGRESO  PDT </v>
          </cell>
          <cell r="F6" t="str">
            <v>FECHA   CESE</v>
          </cell>
          <cell r="G6" t="str">
            <v>LIBRETA  ELECTORAL</v>
          </cell>
          <cell r="H6" t="str">
            <v>JOR.</v>
          </cell>
          <cell r="I6" t="str">
            <v>IMPORTE  HORA</v>
          </cell>
          <cell r="J6" t="str">
            <v>AFP/ONP</v>
          </cell>
          <cell r="K6" t="str">
            <v>JORNADA</v>
          </cell>
          <cell r="P6" t="str">
            <v>REMUNERACIONES</v>
          </cell>
          <cell r="Z6" t="str">
            <v>TOTAL 
REMUNERACION</v>
          </cell>
          <cell r="AA6" t="str">
            <v>RETENCIONES A CARGO DEL TRABAJADOR POR TRIBUTOS, APORTES PREVISIONALES, CUOTAS Y OTROS CONCEPTOS</v>
          </cell>
          <cell r="AF6" t="str">
            <v xml:space="preserve">TOTAL                   DCTO                   LEY </v>
          </cell>
          <cell r="AG6" t="str">
            <v>ADELANTO VACACIONES JUNIO-04  PAGADO REMESA MAYO-04</v>
          </cell>
          <cell r="AH6" t="str">
            <v>TOTAL  DCTO LEY  +  ADELANTO VACACIONES</v>
          </cell>
          <cell r="AI6" t="str">
            <v>TOTAL A GANAR</v>
          </cell>
          <cell r="AJ6" t="str">
            <v>DCTO  PENSION   Y MERCANTIL</v>
          </cell>
          <cell r="AK6" t="str">
            <v>DCTO  PENSION   Y MERCANTIL   CONGEMIN</v>
          </cell>
          <cell r="AL6" t="str">
            <v>TOTAL  POR MERCANTIL, PENSION</v>
          </cell>
          <cell r="AM6" t="str">
            <v>ADELANTOS  CONGEMIN</v>
          </cell>
          <cell r="AN6" t="str">
            <v>TOTAL   NETO     GANADO</v>
          </cell>
          <cell r="AO6" t="str">
            <v>TRIBUTOS Y APORTES A CARGO DEL EMPLEADOR</v>
          </cell>
          <cell r="AV6" t="str">
            <v>COSTO   PLANILLA                          S / BS</v>
          </cell>
          <cell r="AW6" t="str">
            <v xml:space="preserve">CTS                                                                              </v>
          </cell>
          <cell r="AX6" t="str">
            <v xml:space="preserve">VACACIONES  TRUNCAS    </v>
          </cell>
          <cell r="AY6" t="str">
            <v xml:space="preserve">GRATIFICAC    TRUNCA      </v>
          </cell>
          <cell r="AZ6" t="str">
            <v>TOTAL   BENEFICIOS SOCIALES</v>
          </cell>
          <cell r="BA6" t="str">
            <v>GRAN   TOTAL COSTO PLANILLA</v>
          </cell>
          <cell r="BB6" t="str">
            <v xml:space="preserve">COSTO  TOTAL  TAREAS </v>
          </cell>
          <cell r="BC6" t="str">
            <v>VARIACION PORCENTUAL CON EL JORNAL</v>
          </cell>
          <cell r="BE6" t="str">
            <v>N °</v>
          </cell>
          <cell r="BF6" t="str">
            <v>NOMBRES  Y  APELLIDOS</v>
          </cell>
          <cell r="BG6" t="str">
            <v>TANIA SANTA GUTIERREZ TORRES</v>
          </cell>
          <cell r="BH6" t="str">
            <v>TEOFILA ASTOCAZA SULCA</v>
          </cell>
          <cell r="BI6" t="str">
            <v>YOLANDA JUANA HUACHUA ASTOCAZA</v>
          </cell>
          <cell r="BJ6" t="str">
            <v>NANCY HUARCAYA ASTOCAZA</v>
          </cell>
          <cell r="BK6" t="str">
            <v>EFIGENIA CESAR HERNANDEZ</v>
          </cell>
          <cell r="BL6" t="str">
            <v>SABINA YANA DE HUAYLLA</v>
          </cell>
          <cell r="BM6" t="str">
            <v>ILDA ELIDER CESAR ASTOHUAMAN</v>
          </cell>
          <cell r="BN6" t="str">
            <v>DIONILDA MUÑOZ DE HUAMAN</v>
          </cell>
          <cell r="BO6" t="str">
            <v>JULIA CRISPIN DE ASTOHUAMAN</v>
          </cell>
          <cell r="BP6" t="str">
            <v>ANTIA ELEUTERIA HERNANDEZ RODRIGUEZ</v>
          </cell>
          <cell r="BQ6" t="str">
            <v>KATTY ASTOHUAMAN HUAMANI</v>
          </cell>
          <cell r="BR6" t="str">
            <v>DORIS DANIA DAVILA QUISPE</v>
          </cell>
          <cell r="BS6" t="str">
            <v>INES MARIA MEDINA REYES</v>
          </cell>
          <cell r="BT6" t="str">
            <v>JACINTA TAPARA PALOMINO</v>
          </cell>
          <cell r="BU6" t="str">
            <v>LUIS ALBERTO SULCA MALLMA</v>
          </cell>
          <cell r="BV6" t="str">
            <v>VICTOR ROLANDO QUISPE TACO</v>
          </cell>
          <cell r="BW6" t="str">
            <v>TOTAL</v>
          </cell>
        </row>
        <row r="7">
          <cell r="K7" t="str">
            <v>T.O</v>
          </cell>
          <cell r="L7" t="str">
            <v>D Y F     LEY</v>
          </cell>
          <cell r="M7" t="str">
            <v>SUBSID</v>
          </cell>
          <cell r="N7" t="str">
            <v>H.E 
25%</v>
          </cell>
          <cell r="O7" t="str">
            <v>H.E 
100%</v>
          </cell>
          <cell r="P7" t="str">
            <v>IMPORTES</v>
          </cell>
          <cell r="U7" t="str">
            <v>ASIG. FAMILIAR</v>
          </cell>
          <cell r="V7" t="str">
            <v xml:space="preserve">REINTEGROS    </v>
          </cell>
          <cell r="W7" t="str">
            <v>VACACION   JUNIO-04</v>
          </cell>
          <cell r="X7" t="str">
            <v>VAC  TRUNCAS</v>
          </cell>
          <cell r="Y7" t="str">
            <v>GRATIF.    PROPORCIONAL</v>
          </cell>
          <cell r="AA7" t="str">
            <v>S.  N.  P.</v>
          </cell>
          <cell r="AB7" t="str">
            <v>SISTEMA PRIVADO DE PENSIONES</v>
          </cell>
          <cell r="AE7" t="str">
            <v>IPSS               VIDA</v>
          </cell>
          <cell r="AO7" t="str">
            <v xml:space="preserve">ESSALUD           
 </v>
          </cell>
          <cell r="AP7" t="str">
            <v xml:space="preserve">I.E.S  
</v>
          </cell>
          <cell r="AQ7" t="str">
            <v xml:space="preserve">SCTR               </v>
          </cell>
          <cell r="AR7" t="str">
            <v xml:space="preserve">LEY  27252       ALTO RIESGO     </v>
          </cell>
          <cell r="AS7" t="str">
            <v xml:space="preserve">SCTR-P        RIMAC              </v>
          </cell>
          <cell r="AT7" t="str">
            <v xml:space="preserve">VIDA LEY  RIMAC        </v>
          </cell>
          <cell r="AU7" t="str">
            <v xml:space="preserve">TOTAL APORTES      </v>
          </cell>
        </row>
        <row r="8">
          <cell r="P8" t="str">
            <v>ORDINARIO</v>
          </cell>
          <cell r="Q8" t="str">
            <v>DOM Y FER</v>
          </cell>
          <cell r="R8" t="str">
            <v>SUBSIDIOS</v>
          </cell>
          <cell r="S8" t="str">
            <v>EXT                                  25%</v>
          </cell>
          <cell r="T8" t="str">
            <v>EXT                                  100%</v>
          </cell>
          <cell r="AB8" t="str">
            <v xml:space="preserve">Obligat. 8% + 2%              ley 27252  </v>
          </cell>
          <cell r="AC8" t="str">
            <v>SEG.</v>
          </cell>
          <cell r="AD8" t="str">
            <v>COMISI</v>
          </cell>
        </row>
        <row r="9">
          <cell r="AO9">
            <v>9.0355527411937225E-2</v>
          </cell>
          <cell r="AP9">
            <v>1.7039556882602839E-2</v>
          </cell>
          <cell r="AQ9">
            <v>1.7468735299641183E-2</v>
          </cell>
          <cell r="AR9">
            <v>1.7539636866468897E-2</v>
          </cell>
          <cell r="AS9">
            <v>2.7402823563431409E-2</v>
          </cell>
          <cell r="AT9">
            <v>1.4675628612214858E-2</v>
          </cell>
          <cell r="AU9">
            <v>0.1844819086362964</v>
          </cell>
          <cell r="AW9">
            <v>8.3333333333333329E-2</v>
          </cell>
          <cell r="AX9">
            <v>9.1252099483408039E-2</v>
          </cell>
          <cell r="AY9">
            <v>0.18975332044483723</v>
          </cell>
          <cell r="AZ9">
            <v>0.36433875326157861</v>
          </cell>
          <cell r="BA9">
            <v>1.548820661897875</v>
          </cell>
          <cell r="BB9">
            <v>61.356960713541667</v>
          </cell>
          <cell r="BC9">
            <v>0.50708231994662534</v>
          </cell>
        </row>
        <row r="10">
          <cell r="A10">
            <v>1</v>
          </cell>
          <cell r="B10">
            <v>1</v>
          </cell>
          <cell r="C10" t="str">
            <v>AFFATA QUISPE, Julio Emilio</v>
          </cell>
          <cell r="D10" t="str">
            <v>MECANICO</v>
          </cell>
          <cell r="E10">
            <v>38108</v>
          </cell>
          <cell r="G10" t="str">
            <v>30761634</v>
          </cell>
          <cell r="H10">
            <v>31</v>
          </cell>
          <cell r="I10">
            <v>3.875</v>
          </cell>
          <cell r="J10" t="str">
            <v>INTEGRA</v>
          </cell>
          <cell r="K10">
            <v>25</v>
          </cell>
          <cell r="L10">
            <v>5</v>
          </cell>
          <cell r="M10">
            <v>0</v>
          </cell>
          <cell r="N10">
            <v>20</v>
          </cell>
          <cell r="P10">
            <v>775</v>
          </cell>
          <cell r="Q10">
            <v>155</v>
          </cell>
          <cell r="R10">
            <v>0</v>
          </cell>
          <cell r="S10">
            <v>96.875</v>
          </cell>
          <cell r="T10">
            <v>0</v>
          </cell>
          <cell r="Z10">
            <v>1026.875</v>
          </cell>
          <cell r="AA10">
            <v>0</v>
          </cell>
          <cell r="AB10">
            <v>102.6875</v>
          </cell>
          <cell r="AC10">
            <v>9.0365000000000002</v>
          </cell>
          <cell r="AD10">
            <v>21.564375000000002</v>
          </cell>
          <cell r="AF10">
            <v>133.288375</v>
          </cell>
          <cell r="AH10">
            <v>133.288375</v>
          </cell>
          <cell r="AI10">
            <v>893.58662500000003</v>
          </cell>
          <cell r="AJ10">
            <v>342.1</v>
          </cell>
          <cell r="AK10">
            <v>0</v>
          </cell>
          <cell r="AL10">
            <v>342.1</v>
          </cell>
          <cell r="AM10">
            <v>0</v>
          </cell>
          <cell r="AN10">
            <v>551.486625</v>
          </cell>
          <cell r="AO10">
            <v>92.418750000000003</v>
          </cell>
          <cell r="AP10">
            <v>17.456875</v>
          </cell>
          <cell r="AQ10">
            <v>17.867625</v>
          </cell>
          <cell r="AR10">
            <v>20.537500000000001</v>
          </cell>
          <cell r="AS10">
            <v>28.028553124999998</v>
          </cell>
          <cell r="AT10">
            <v>13.577999999999999</v>
          </cell>
          <cell r="AU10">
            <v>189.88730312500002</v>
          </cell>
          <cell r="AV10">
            <v>1216.762303125</v>
          </cell>
          <cell r="AW10">
            <v>85.572916666666671</v>
          </cell>
          <cell r="AX10">
            <v>93.323941927083339</v>
          </cell>
          <cell r="AY10">
            <v>202.79371718749999</v>
          </cell>
          <cell r="AZ10">
            <v>381.69057578125</v>
          </cell>
          <cell r="BA10">
            <v>1598.4528789062501</v>
          </cell>
          <cell r="BB10">
            <v>63.938115156250007</v>
          </cell>
          <cell r="BC10">
            <v>206.25198437500001</v>
          </cell>
          <cell r="BE10">
            <v>1</v>
          </cell>
          <cell r="BF10" t="str">
            <v xml:space="preserve">AFFATA QUISPE, Julio Emilio   </v>
          </cell>
          <cell r="BN10">
            <v>200</v>
          </cell>
          <cell r="BO10">
            <v>48.6</v>
          </cell>
          <cell r="BQ10">
            <v>93.5</v>
          </cell>
          <cell r="BW10">
            <v>342.1</v>
          </cell>
          <cell r="BX10">
            <v>342.1</v>
          </cell>
          <cell r="BY10">
            <v>0</v>
          </cell>
        </row>
        <row r="11">
          <cell r="A11">
            <v>2</v>
          </cell>
          <cell r="B11">
            <v>2</v>
          </cell>
          <cell r="C11" t="str">
            <v>APFATA CJURO, Augusto</v>
          </cell>
          <cell r="D11" t="str">
            <v>PERFORISTA</v>
          </cell>
          <cell r="E11">
            <v>37291</v>
          </cell>
          <cell r="G11">
            <v>24803752</v>
          </cell>
          <cell r="H11">
            <v>31</v>
          </cell>
          <cell r="I11">
            <v>3.875</v>
          </cell>
          <cell r="J11" t="str">
            <v>HORIZONTE</v>
          </cell>
          <cell r="K11">
            <v>16</v>
          </cell>
          <cell r="L11">
            <v>2.75</v>
          </cell>
          <cell r="M11">
            <v>0</v>
          </cell>
          <cell r="N11">
            <v>0</v>
          </cell>
          <cell r="P11">
            <v>496</v>
          </cell>
          <cell r="Q11">
            <v>85.25</v>
          </cell>
          <cell r="R11">
            <v>0</v>
          </cell>
          <cell r="S11">
            <v>0</v>
          </cell>
          <cell r="T11">
            <v>0</v>
          </cell>
          <cell r="U11">
            <v>28.750000000000004</v>
          </cell>
          <cell r="Z11">
            <v>610</v>
          </cell>
          <cell r="AA11">
            <v>0</v>
          </cell>
          <cell r="AB11">
            <v>61</v>
          </cell>
          <cell r="AC11">
            <v>5.4290000000000003</v>
          </cell>
          <cell r="AD11">
            <v>13.725</v>
          </cell>
          <cell r="AF11">
            <v>80.153999999999996</v>
          </cell>
          <cell r="AH11">
            <v>80.153999999999996</v>
          </cell>
          <cell r="AI11">
            <v>529.846</v>
          </cell>
          <cell r="AJ11">
            <v>177.3</v>
          </cell>
          <cell r="AK11">
            <v>0</v>
          </cell>
          <cell r="AL11">
            <v>177.3</v>
          </cell>
          <cell r="AM11">
            <v>24</v>
          </cell>
          <cell r="AN11">
            <v>328.54599999999999</v>
          </cell>
          <cell r="AO11">
            <v>54.9</v>
          </cell>
          <cell r="AP11">
            <v>10.370000000000001</v>
          </cell>
          <cell r="AQ11">
            <v>10.613999999999999</v>
          </cell>
          <cell r="AR11">
            <v>12.200000000000001</v>
          </cell>
          <cell r="AS11">
            <v>16.64995</v>
          </cell>
          <cell r="AT11">
            <v>8.9060000000000006</v>
          </cell>
          <cell r="AU11">
            <v>113.63995000000001</v>
          </cell>
          <cell r="AV11">
            <v>723.63995</v>
          </cell>
          <cell r="AW11">
            <v>50.833333333333336</v>
          </cell>
          <cell r="AX11">
            <v>60.303329166666664</v>
          </cell>
          <cell r="AY11">
            <v>115.81499166666667</v>
          </cell>
          <cell r="AZ11">
            <v>226.95165416666669</v>
          </cell>
          <cell r="BA11">
            <v>950.59160416666668</v>
          </cell>
          <cell r="BB11">
            <v>59.411975260416668</v>
          </cell>
          <cell r="BC11">
            <v>191.65153309811828</v>
          </cell>
          <cell r="BE11">
            <v>2</v>
          </cell>
          <cell r="BF11" t="str">
            <v>APFATA CJURO, Augusto</v>
          </cell>
          <cell r="BJ11">
            <v>9.8000000000000007</v>
          </cell>
          <cell r="BL11">
            <v>109.5</v>
          </cell>
          <cell r="BM11">
            <v>24</v>
          </cell>
          <cell r="BU11">
            <v>34</v>
          </cell>
          <cell r="BW11">
            <v>177.3</v>
          </cell>
          <cell r="BX11">
            <v>177.3</v>
          </cell>
          <cell r="BY11">
            <v>0</v>
          </cell>
        </row>
        <row r="12">
          <cell r="A12">
            <v>3</v>
          </cell>
          <cell r="B12">
            <v>3</v>
          </cell>
          <cell r="C12" t="str">
            <v>ARANGO GARCIA, Daniel</v>
          </cell>
          <cell r="D12" t="str">
            <v>AYUDANTE</v>
          </cell>
          <cell r="E12">
            <v>37776</v>
          </cell>
          <cell r="G12">
            <v>21551296</v>
          </cell>
          <cell r="H12">
            <v>28.5</v>
          </cell>
          <cell r="I12">
            <v>3.5625</v>
          </cell>
          <cell r="J12" t="str">
            <v>PROFUTURO</v>
          </cell>
          <cell r="K12">
            <v>22</v>
          </cell>
          <cell r="L12">
            <v>4.25</v>
          </cell>
          <cell r="M12">
            <v>0</v>
          </cell>
          <cell r="N12">
            <v>11</v>
          </cell>
          <cell r="P12">
            <v>627</v>
          </cell>
          <cell r="Q12">
            <v>121.125</v>
          </cell>
          <cell r="R12">
            <v>0</v>
          </cell>
          <cell r="S12">
            <v>48.984375</v>
          </cell>
          <cell r="T12">
            <v>0</v>
          </cell>
          <cell r="V12">
            <v>80</v>
          </cell>
          <cell r="Z12">
            <v>877.109375</v>
          </cell>
          <cell r="AA12">
            <v>0</v>
          </cell>
          <cell r="AB12">
            <v>87.7109375</v>
          </cell>
          <cell r="AC12">
            <v>8.946515625</v>
          </cell>
          <cell r="AD12">
            <v>21.489179687500002</v>
          </cell>
          <cell r="AF12">
            <v>118.1466328125</v>
          </cell>
          <cell r="AH12">
            <v>118.1466328125</v>
          </cell>
          <cell r="AI12">
            <v>758.9627421875</v>
          </cell>
          <cell r="AJ12">
            <v>166.8</v>
          </cell>
          <cell r="AK12">
            <v>0</v>
          </cell>
          <cell r="AL12">
            <v>166.8</v>
          </cell>
          <cell r="AM12">
            <v>0</v>
          </cell>
          <cell r="AN12">
            <v>592.16274218750004</v>
          </cell>
          <cell r="AO12">
            <v>78.939843749999994</v>
          </cell>
          <cell r="AP12">
            <v>14.910859375000001</v>
          </cell>
          <cell r="AQ12">
            <v>15.261703124999999</v>
          </cell>
          <cell r="AR12">
            <v>17.542187500000001</v>
          </cell>
          <cell r="AS12">
            <v>23.940700390624997</v>
          </cell>
          <cell r="AT12">
            <v>10.922625</v>
          </cell>
          <cell r="AU12">
            <v>161.517919140625</v>
          </cell>
          <cell r="AV12">
            <v>1038.6272941406251</v>
          </cell>
          <cell r="AW12">
            <v>73.092447916666671</v>
          </cell>
          <cell r="AX12">
            <v>75.803576595052093</v>
          </cell>
          <cell r="AY12">
            <v>159.77121569010419</v>
          </cell>
          <cell r="AZ12">
            <v>308.66724020182295</v>
          </cell>
          <cell r="BA12">
            <v>1347.2945343424481</v>
          </cell>
          <cell r="BB12">
            <v>61.24066065192946</v>
          </cell>
          <cell r="BC12">
            <v>214.87951105940161</v>
          </cell>
          <cell r="BE12">
            <v>3</v>
          </cell>
          <cell r="BF12" t="str">
            <v>ARANGO GARCIA, Daniel</v>
          </cell>
          <cell r="BK12">
            <v>16.5</v>
          </cell>
          <cell r="BN12">
            <v>100</v>
          </cell>
          <cell r="BO12">
            <v>9.8000000000000007</v>
          </cell>
          <cell r="BQ12">
            <v>6.5</v>
          </cell>
          <cell r="BS12">
            <v>34</v>
          </cell>
          <cell r="BW12">
            <v>166.8</v>
          </cell>
          <cell r="BX12">
            <v>166.8</v>
          </cell>
          <cell r="BY12">
            <v>0</v>
          </cell>
        </row>
        <row r="13">
          <cell r="A13">
            <v>4</v>
          </cell>
          <cell r="B13">
            <v>4</v>
          </cell>
          <cell r="C13" t="str">
            <v>ASTOCAZA ANTONIO, Narciso</v>
          </cell>
          <cell r="D13" t="str">
            <v>AYUDANTE</v>
          </cell>
          <cell r="E13">
            <v>37552</v>
          </cell>
          <cell r="G13">
            <v>15413422</v>
          </cell>
          <cell r="H13">
            <v>28.5</v>
          </cell>
          <cell r="I13">
            <v>3.5625</v>
          </cell>
          <cell r="J13" t="str">
            <v>UNION</v>
          </cell>
          <cell r="K13">
            <v>23</v>
          </cell>
          <cell r="L13">
            <v>4.5</v>
          </cell>
          <cell r="M13">
            <v>0</v>
          </cell>
          <cell r="N13">
            <v>14</v>
          </cell>
          <cell r="P13">
            <v>655.5</v>
          </cell>
          <cell r="Q13">
            <v>128.25</v>
          </cell>
          <cell r="R13">
            <v>0</v>
          </cell>
          <cell r="S13">
            <v>62.34375</v>
          </cell>
          <cell r="T13">
            <v>0</v>
          </cell>
          <cell r="U13">
            <v>42.166666666666671</v>
          </cell>
          <cell r="Z13">
            <v>888.26041666666663</v>
          </cell>
          <cell r="AA13">
            <v>0</v>
          </cell>
          <cell r="AB13">
            <v>88.826041666666669</v>
          </cell>
          <cell r="AC13">
            <v>7.9943437500000005</v>
          </cell>
          <cell r="AD13">
            <v>20.163511458333335</v>
          </cell>
          <cell r="AF13">
            <v>116.983896875</v>
          </cell>
          <cell r="AH13">
            <v>116.983896875</v>
          </cell>
          <cell r="AI13">
            <v>771.2765197916666</v>
          </cell>
          <cell r="AJ13">
            <v>50</v>
          </cell>
          <cell r="AK13">
            <v>0</v>
          </cell>
          <cell r="AL13">
            <v>50</v>
          </cell>
          <cell r="AM13">
            <v>0</v>
          </cell>
          <cell r="AN13">
            <v>721.2765197916666</v>
          </cell>
          <cell r="AO13">
            <v>79.943437499999987</v>
          </cell>
          <cell r="AP13">
            <v>15.100427083333333</v>
          </cell>
          <cell r="AQ13">
            <v>15.455731249999998</v>
          </cell>
          <cell r="AR13">
            <v>17.765208333333334</v>
          </cell>
          <cell r="AS13">
            <v>24.245068072916666</v>
          </cell>
          <cell r="AT13">
            <v>12.058383333333333</v>
          </cell>
          <cell r="AU13">
            <v>164.56825557291663</v>
          </cell>
          <cell r="AV13">
            <v>1052.8286722395833</v>
          </cell>
          <cell r="AW13">
            <v>74.021701388888886</v>
          </cell>
          <cell r="AX13">
            <v>82.540410186631945</v>
          </cell>
          <cell r="AY13">
            <v>168.44366759548612</v>
          </cell>
          <cell r="AZ13">
            <v>325.00577917100691</v>
          </cell>
          <cell r="BA13">
            <v>1377.8344514105902</v>
          </cell>
          <cell r="BB13">
            <v>59.905845713503922</v>
          </cell>
          <cell r="BC13">
            <v>210.19594987194358</v>
          </cell>
          <cell r="BE13">
            <v>4</v>
          </cell>
          <cell r="BF13" t="str">
            <v>ASTOCAZA ANTONIO, Narciso</v>
          </cell>
          <cell r="BP13">
            <v>50</v>
          </cell>
          <cell r="BW13">
            <v>50</v>
          </cell>
          <cell r="BX13">
            <v>50</v>
          </cell>
          <cell r="BY13">
            <v>0</v>
          </cell>
        </row>
        <row r="14">
          <cell r="A14">
            <v>5</v>
          </cell>
          <cell r="B14">
            <v>5</v>
          </cell>
          <cell r="C14" t="str">
            <v>ASTOCAZA ASTOCAZA, Roman  Justo</v>
          </cell>
          <cell r="D14" t="str">
            <v>AYUDANTE</v>
          </cell>
          <cell r="E14">
            <v>38157</v>
          </cell>
          <cell r="G14" t="str">
            <v>21497003</v>
          </cell>
          <cell r="H14">
            <v>28.5</v>
          </cell>
          <cell r="I14">
            <v>3.5625</v>
          </cell>
          <cell r="J14" t="str">
            <v>UNION</v>
          </cell>
          <cell r="K14">
            <v>9</v>
          </cell>
          <cell r="L14">
            <v>1</v>
          </cell>
          <cell r="M14">
            <v>0</v>
          </cell>
          <cell r="N14">
            <v>0</v>
          </cell>
          <cell r="P14">
            <v>256.5</v>
          </cell>
          <cell r="Q14">
            <v>28.5</v>
          </cell>
          <cell r="R14">
            <v>0</v>
          </cell>
          <cell r="S14">
            <v>0</v>
          </cell>
          <cell r="T14">
            <v>0</v>
          </cell>
          <cell r="Z14">
            <v>285</v>
          </cell>
          <cell r="AA14">
            <v>0</v>
          </cell>
          <cell r="AB14">
            <v>28.5</v>
          </cell>
          <cell r="AC14">
            <v>2.5650000000000004</v>
          </cell>
          <cell r="AD14">
            <v>6.4695</v>
          </cell>
          <cell r="AF14">
            <v>37.534500000000001</v>
          </cell>
          <cell r="AH14">
            <v>37.534500000000001</v>
          </cell>
          <cell r="AI14">
            <v>247.46549999999999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247.46549999999999</v>
          </cell>
          <cell r="AO14">
            <v>25.65</v>
          </cell>
          <cell r="AP14">
            <v>4.8450000000000006</v>
          </cell>
          <cell r="AQ14">
            <v>4.9589999999999996</v>
          </cell>
          <cell r="AR14">
            <v>5.7</v>
          </cell>
          <cell r="AS14">
            <v>7.7790750000000006</v>
          </cell>
          <cell r="AT14">
            <v>4.1610000000000005</v>
          </cell>
          <cell r="AU14">
            <v>53.094074999999997</v>
          </cell>
          <cell r="AV14">
            <v>338.09407499999998</v>
          </cell>
          <cell r="AW14">
            <v>23.75</v>
          </cell>
          <cell r="AX14">
            <v>28.174506249999997</v>
          </cell>
          <cell r="AY14">
            <v>56.349012499999994</v>
          </cell>
          <cell r="AZ14">
            <v>108.27351874999999</v>
          </cell>
          <cell r="BA14">
            <v>446.36759374999997</v>
          </cell>
          <cell r="BB14">
            <v>49.596399305555551</v>
          </cell>
          <cell r="BC14">
            <v>174.02245370370369</v>
          </cell>
          <cell r="BE14">
            <v>5</v>
          </cell>
          <cell r="BF14" t="str">
            <v>ASTOCAZA ASTOCAZA, Roman Justo</v>
          </cell>
          <cell r="BW14">
            <v>0</v>
          </cell>
          <cell r="BX14">
            <v>0</v>
          </cell>
          <cell r="BY14">
            <v>0</v>
          </cell>
        </row>
        <row r="15">
          <cell r="A15">
            <v>6</v>
          </cell>
          <cell r="B15">
            <v>6</v>
          </cell>
          <cell r="C15" t="str">
            <v>ASTOCAZA ASTOCAZA, Serapio Claudio</v>
          </cell>
          <cell r="D15" t="str">
            <v>AYUDANTE</v>
          </cell>
          <cell r="E15">
            <v>37414</v>
          </cell>
          <cell r="G15">
            <v>22064903</v>
          </cell>
          <cell r="H15">
            <v>28.5</v>
          </cell>
          <cell r="I15">
            <v>3.5625</v>
          </cell>
          <cell r="J15" t="str">
            <v>PROFUTURO</v>
          </cell>
          <cell r="K15">
            <v>25</v>
          </cell>
          <cell r="L15">
            <v>5</v>
          </cell>
          <cell r="M15">
            <v>0</v>
          </cell>
          <cell r="N15">
            <v>20</v>
          </cell>
          <cell r="P15">
            <v>712.5</v>
          </cell>
          <cell r="Q15">
            <v>142.5</v>
          </cell>
          <cell r="R15">
            <v>0</v>
          </cell>
          <cell r="S15">
            <v>89.0625</v>
          </cell>
          <cell r="T15">
            <v>0</v>
          </cell>
          <cell r="U15">
            <v>46</v>
          </cell>
          <cell r="Z15">
            <v>990.0625</v>
          </cell>
          <cell r="AA15">
            <v>0</v>
          </cell>
          <cell r="AB15">
            <v>99.006250000000009</v>
          </cell>
          <cell r="AC15">
            <v>10.098637500000001</v>
          </cell>
          <cell r="AD15">
            <v>24.256531250000002</v>
          </cell>
          <cell r="AF15">
            <v>133.36141875000001</v>
          </cell>
          <cell r="AH15">
            <v>133.36141875000001</v>
          </cell>
          <cell r="AI15">
            <v>856.70108125000002</v>
          </cell>
          <cell r="AJ15">
            <v>80</v>
          </cell>
          <cell r="AK15">
            <v>0</v>
          </cell>
          <cell r="AL15">
            <v>80</v>
          </cell>
          <cell r="AM15">
            <v>0</v>
          </cell>
          <cell r="AN15">
            <v>776.70108125000002</v>
          </cell>
          <cell r="AO15">
            <v>89.105625000000003</v>
          </cell>
          <cell r="AP15">
            <v>16.831062500000002</v>
          </cell>
          <cell r="AQ15">
            <v>17.2270875</v>
          </cell>
          <cell r="AR15">
            <v>19.80125</v>
          </cell>
          <cell r="AS15">
            <v>27.023755937499999</v>
          </cell>
          <cell r="AT15">
            <v>13.1546</v>
          </cell>
          <cell r="AU15">
            <v>183.14338093749998</v>
          </cell>
          <cell r="AV15">
            <v>1173.2058809375001</v>
          </cell>
          <cell r="AW15">
            <v>82.505208333333329</v>
          </cell>
          <cell r="AX15">
            <v>90.345281744791677</v>
          </cell>
          <cell r="AY15">
            <v>187.86764682291667</v>
          </cell>
          <cell r="AZ15">
            <v>360.7181369010417</v>
          </cell>
          <cell r="BA15">
            <v>1533.9240178385417</v>
          </cell>
          <cell r="BB15">
            <v>61.356960713541667</v>
          </cell>
          <cell r="BC15">
            <v>215.28758145102339</v>
          </cell>
          <cell r="BE15">
            <v>6</v>
          </cell>
          <cell r="BF15" t="str">
            <v>ASTOCAZA ASTOCAZA, Serapio Claudio</v>
          </cell>
          <cell r="BO15">
            <v>80</v>
          </cell>
          <cell r="BW15">
            <v>80</v>
          </cell>
          <cell r="BX15">
            <v>80</v>
          </cell>
          <cell r="BY15">
            <v>0</v>
          </cell>
        </row>
        <row r="16">
          <cell r="A16">
            <v>7</v>
          </cell>
          <cell r="B16">
            <v>7</v>
          </cell>
          <cell r="C16" t="str">
            <v>ASTOHUAMAN HUAMANI, Niltohn Florencio</v>
          </cell>
          <cell r="D16" t="str">
            <v>PEON</v>
          </cell>
          <cell r="E16">
            <v>38156</v>
          </cell>
          <cell r="G16" t="str">
            <v>41973144</v>
          </cell>
          <cell r="H16">
            <v>26.5</v>
          </cell>
          <cell r="I16">
            <v>3.3125</v>
          </cell>
          <cell r="J16" t="str">
            <v>PROFUTURO</v>
          </cell>
          <cell r="K16">
            <v>10</v>
          </cell>
          <cell r="L16">
            <v>1.25</v>
          </cell>
          <cell r="M16">
            <v>0</v>
          </cell>
          <cell r="N16">
            <v>0</v>
          </cell>
          <cell r="P16">
            <v>265</v>
          </cell>
          <cell r="Q16">
            <v>33.125</v>
          </cell>
          <cell r="R16">
            <v>0</v>
          </cell>
          <cell r="S16">
            <v>0</v>
          </cell>
          <cell r="T16">
            <v>0</v>
          </cell>
          <cell r="Z16">
            <v>298.125</v>
          </cell>
          <cell r="AA16">
            <v>0</v>
          </cell>
          <cell r="AB16">
            <v>29.8125</v>
          </cell>
          <cell r="AC16">
            <v>3.0408750000000002</v>
          </cell>
          <cell r="AD16">
            <v>7.3040625000000006</v>
          </cell>
          <cell r="AF16">
            <v>40.1574375</v>
          </cell>
          <cell r="AH16">
            <v>40.1574375</v>
          </cell>
          <cell r="AI16">
            <v>257.96756249999999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257.96756249999999</v>
          </cell>
          <cell r="AO16">
            <v>26.831250000000001</v>
          </cell>
          <cell r="AP16">
            <v>5.0681250000000002</v>
          </cell>
          <cell r="AQ16">
            <v>5.1873749999999994</v>
          </cell>
          <cell r="AR16">
            <v>5.9625000000000004</v>
          </cell>
          <cell r="AS16">
            <v>8.1373218749999996</v>
          </cell>
          <cell r="AT16">
            <v>4.3526249999999997</v>
          </cell>
          <cell r="AU16">
            <v>55.539196874999988</v>
          </cell>
          <cell r="AV16">
            <v>353.66419687500002</v>
          </cell>
          <cell r="AW16">
            <v>24.84375</v>
          </cell>
          <cell r="AX16">
            <v>29.472016406250003</v>
          </cell>
          <cell r="AY16">
            <v>58.944032812500005</v>
          </cell>
          <cell r="AZ16">
            <v>113.25979921875</v>
          </cell>
          <cell r="BA16">
            <v>466.92399609375002</v>
          </cell>
          <cell r="BB16">
            <v>46.692399609375002</v>
          </cell>
          <cell r="BC16">
            <v>176.19773437500001</v>
          </cell>
          <cell r="BE16">
            <v>7</v>
          </cell>
          <cell r="BF16" t="str">
            <v>ASTOHUAMAN HUAMANI, Nilthon Florencio</v>
          </cell>
          <cell r="BW16">
            <v>0</v>
          </cell>
          <cell r="BX16">
            <v>0</v>
          </cell>
          <cell r="BY16">
            <v>0</v>
          </cell>
        </row>
        <row r="17">
          <cell r="A17">
            <v>8</v>
          </cell>
          <cell r="B17">
            <v>8</v>
          </cell>
          <cell r="C17" t="str">
            <v>CARDENAS MAMANI, Casildo</v>
          </cell>
          <cell r="D17" t="str">
            <v>PERFORISTA</v>
          </cell>
          <cell r="E17">
            <v>37001</v>
          </cell>
          <cell r="G17" t="str">
            <v>02447735</v>
          </cell>
          <cell r="H17">
            <v>31</v>
          </cell>
          <cell r="I17">
            <v>3.875</v>
          </cell>
          <cell r="J17" t="str">
            <v>INTEGRA</v>
          </cell>
          <cell r="K17">
            <v>25</v>
          </cell>
          <cell r="L17">
            <v>5</v>
          </cell>
          <cell r="M17">
            <v>0</v>
          </cell>
          <cell r="N17">
            <v>20</v>
          </cell>
          <cell r="P17">
            <v>775</v>
          </cell>
          <cell r="Q17">
            <v>155</v>
          </cell>
          <cell r="R17">
            <v>0</v>
          </cell>
          <cell r="S17">
            <v>96.875</v>
          </cell>
          <cell r="T17">
            <v>0</v>
          </cell>
          <cell r="U17">
            <v>46</v>
          </cell>
          <cell r="V17">
            <v>80</v>
          </cell>
          <cell r="W17">
            <v>976</v>
          </cell>
          <cell r="Z17">
            <v>2128.875</v>
          </cell>
          <cell r="AA17">
            <v>0</v>
          </cell>
          <cell r="AB17">
            <v>212.88750000000002</v>
          </cell>
          <cell r="AC17">
            <v>18.734100000000002</v>
          </cell>
          <cell r="AD17">
            <v>44.706375000000001</v>
          </cell>
          <cell r="AF17">
            <v>276.32797500000004</v>
          </cell>
          <cell r="AG17">
            <v>849.32</v>
          </cell>
          <cell r="AH17">
            <v>1125.6479750000001</v>
          </cell>
          <cell r="AI17">
            <v>1003.2270249999999</v>
          </cell>
          <cell r="AJ17">
            <v>255.5</v>
          </cell>
          <cell r="AK17">
            <v>0</v>
          </cell>
          <cell r="AL17">
            <v>255.5</v>
          </cell>
          <cell r="AM17">
            <v>0</v>
          </cell>
          <cell r="AN17">
            <v>747.72702499999991</v>
          </cell>
          <cell r="AO17">
            <v>191.59875</v>
          </cell>
          <cell r="AP17">
            <v>36.190875000000005</v>
          </cell>
          <cell r="AQ17">
            <v>37.042424999999994</v>
          </cell>
          <cell r="AR17">
            <v>42.577500000000001</v>
          </cell>
          <cell r="AS17">
            <v>58.107643125000003</v>
          </cell>
          <cell r="AT17">
            <v>14.249600000000001</v>
          </cell>
          <cell r="AU17">
            <v>379.76679312499994</v>
          </cell>
          <cell r="AV17">
            <v>2508.6417931249998</v>
          </cell>
          <cell r="AW17">
            <v>177.40625</v>
          </cell>
          <cell r="AX17">
            <v>112.98056609374999</v>
          </cell>
          <cell r="AY17">
            <v>234.44029885416663</v>
          </cell>
          <cell r="AZ17">
            <v>524.82711494791658</v>
          </cell>
          <cell r="BA17">
            <v>3033.4689080729163</v>
          </cell>
          <cell r="BB17">
            <v>121.33875632291665</v>
          </cell>
          <cell r="BC17">
            <v>391.41534297715049</v>
          </cell>
          <cell r="BE17">
            <v>8</v>
          </cell>
          <cell r="BF17" t="str">
            <v>CARDENAS MAMANI, Casildo</v>
          </cell>
          <cell r="BI17">
            <v>210</v>
          </cell>
          <cell r="BM17">
            <v>4</v>
          </cell>
          <cell r="BQ17">
            <v>9.5</v>
          </cell>
          <cell r="BR17">
            <v>32</v>
          </cell>
          <cell r="BW17">
            <v>255.5</v>
          </cell>
          <cell r="BX17">
            <v>255.5</v>
          </cell>
          <cell r="BY17">
            <v>0</v>
          </cell>
        </row>
        <row r="18">
          <cell r="A18">
            <v>9</v>
          </cell>
          <cell r="B18">
            <v>9</v>
          </cell>
          <cell r="C18" t="str">
            <v>CARDENAS MAMANI, Policarpio</v>
          </cell>
          <cell r="D18" t="str">
            <v>AYUDANTE</v>
          </cell>
          <cell r="E18">
            <v>38123</v>
          </cell>
          <cell r="G18" t="str">
            <v>02435724</v>
          </cell>
          <cell r="H18">
            <v>28.5</v>
          </cell>
          <cell r="I18">
            <v>3.5625</v>
          </cell>
          <cell r="J18" t="str">
            <v>INTEGRA</v>
          </cell>
          <cell r="K18">
            <v>24</v>
          </cell>
          <cell r="L18">
            <v>4.75</v>
          </cell>
          <cell r="M18">
            <v>0</v>
          </cell>
          <cell r="N18">
            <v>17</v>
          </cell>
          <cell r="P18">
            <v>684</v>
          </cell>
          <cell r="Q18">
            <v>135.375</v>
          </cell>
          <cell r="R18">
            <v>0</v>
          </cell>
          <cell r="S18">
            <v>75.703125</v>
          </cell>
          <cell r="T18">
            <v>0</v>
          </cell>
          <cell r="Z18">
            <v>895.078125</v>
          </cell>
          <cell r="AA18">
            <v>0</v>
          </cell>
          <cell r="AB18">
            <v>89.5078125</v>
          </cell>
          <cell r="AC18">
            <v>7.8766875000000001</v>
          </cell>
          <cell r="AD18">
            <v>18.796640625000002</v>
          </cell>
          <cell r="AF18">
            <v>116.18114062500001</v>
          </cell>
          <cell r="AH18">
            <v>116.18114062500001</v>
          </cell>
          <cell r="AI18">
            <v>778.89698437499999</v>
          </cell>
          <cell r="AJ18">
            <v>65.2</v>
          </cell>
          <cell r="AK18">
            <v>0</v>
          </cell>
          <cell r="AL18">
            <v>65.2</v>
          </cell>
          <cell r="AM18">
            <v>0</v>
          </cell>
          <cell r="AN18">
            <v>713.69698437499994</v>
          </cell>
          <cell r="AO18">
            <v>80.557031249999994</v>
          </cell>
          <cell r="AP18">
            <v>15.216328125</v>
          </cell>
          <cell r="AQ18">
            <v>15.574359374999998</v>
          </cell>
          <cell r="AR18">
            <v>17.901562500000001</v>
          </cell>
          <cell r="AS18">
            <v>24.431157421875</v>
          </cell>
          <cell r="AT18">
            <v>11.962875</v>
          </cell>
          <cell r="AU18">
            <v>165.64331367187498</v>
          </cell>
          <cell r="AV18">
            <v>1060.7214386718749</v>
          </cell>
          <cell r="AW18">
            <v>74.58984375</v>
          </cell>
          <cell r="AX18">
            <v>82.084859472656248</v>
          </cell>
          <cell r="AY18">
            <v>176.7869064453125</v>
          </cell>
          <cell r="AZ18">
            <v>333.46160966796879</v>
          </cell>
          <cell r="BA18">
            <v>1394.1830483398437</v>
          </cell>
          <cell r="BB18">
            <v>58.090960347493485</v>
          </cell>
          <cell r="BC18">
            <v>203.8279310438368</v>
          </cell>
          <cell r="BE18">
            <v>9</v>
          </cell>
          <cell r="BF18" t="str">
            <v>CARDENAS MAMANI, Policarpio</v>
          </cell>
          <cell r="BM18">
            <v>30</v>
          </cell>
          <cell r="BO18">
            <v>35.200000000000003</v>
          </cell>
          <cell r="BW18">
            <v>65.2</v>
          </cell>
          <cell r="BX18">
            <v>65.2</v>
          </cell>
          <cell r="BY18">
            <v>0</v>
          </cell>
        </row>
        <row r="19">
          <cell r="A19">
            <v>10</v>
          </cell>
          <cell r="B19">
            <v>10</v>
          </cell>
          <cell r="C19" t="str">
            <v>CARHUAPOMA RAMOS, Moises</v>
          </cell>
          <cell r="D19" t="str">
            <v>PERFORISTA</v>
          </cell>
          <cell r="E19">
            <v>38047</v>
          </cell>
          <cell r="G19">
            <v>23200873</v>
          </cell>
          <cell r="H19">
            <v>31</v>
          </cell>
          <cell r="I19">
            <v>3.875</v>
          </cell>
          <cell r="J19" t="str">
            <v>INTEGRA</v>
          </cell>
          <cell r="K19">
            <v>24</v>
          </cell>
          <cell r="L19">
            <v>4.75</v>
          </cell>
          <cell r="M19">
            <v>0</v>
          </cell>
          <cell r="N19">
            <v>17</v>
          </cell>
          <cell r="P19">
            <v>744</v>
          </cell>
          <cell r="Q19">
            <v>147.25</v>
          </cell>
          <cell r="R19">
            <v>0</v>
          </cell>
          <cell r="S19">
            <v>82.34375</v>
          </cell>
          <cell r="T19">
            <v>0</v>
          </cell>
          <cell r="U19">
            <v>44.083333333333336</v>
          </cell>
          <cell r="Z19">
            <v>1017.6770833333334</v>
          </cell>
          <cell r="AA19">
            <v>0</v>
          </cell>
          <cell r="AB19">
            <v>101.76770833333335</v>
          </cell>
          <cell r="AC19">
            <v>8.9555583333333342</v>
          </cell>
          <cell r="AD19">
            <v>21.371218750000001</v>
          </cell>
          <cell r="AF19">
            <v>132.09448541666669</v>
          </cell>
          <cell r="AH19">
            <v>132.09448541666669</v>
          </cell>
          <cell r="AI19">
            <v>885.58259791666671</v>
          </cell>
          <cell r="AJ19">
            <v>193.3</v>
          </cell>
          <cell r="AK19">
            <v>0</v>
          </cell>
          <cell r="AL19">
            <v>193.3</v>
          </cell>
          <cell r="AM19">
            <v>0</v>
          </cell>
          <cell r="AN19">
            <v>692.28259791666665</v>
          </cell>
          <cell r="AO19">
            <v>91.590937499999995</v>
          </cell>
          <cell r="AP19">
            <v>17.300510416666668</v>
          </cell>
          <cell r="AQ19">
            <v>17.70758125</v>
          </cell>
          <cell r="AR19">
            <v>20.353541666666668</v>
          </cell>
          <cell r="AS19">
            <v>27.777495989583336</v>
          </cell>
          <cell r="AT19">
            <v>13.655866666666668</v>
          </cell>
          <cell r="AU19">
            <v>188.38593348958335</v>
          </cell>
          <cell r="AV19">
            <v>1206.0630168229168</v>
          </cell>
          <cell r="AW19">
            <v>84.806423611111114</v>
          </cell>
          <cell r="AX19">
            <v>93.64327223524306</v>
          </cell>
          <cell r="AY19">
            <v>193.66328058159721</v>
          </cell>
          <cell r="AZ19">
            <v>372.11297642795137</v>
          </cell>
          <cell r="BA19">
            <v>1578.175993250868</v>
          </cell>
          <cell r="BB19">
            <v>65.757333052119506</v>
          </cell>
          <cell r="BC19">
            <v>212.1204292003855</v>
          </cell>
          <cell r="BE19">
            <v>10</v>
          </cell>
          <cell r="BF19" t="str">
            <v>CARHUAPOMA RAMOS, Moises</v>
          </cell>
          <cell r="BI19">
            <v>20.5</v>
          </cell>
          <cell r="BL19">
            <v>151</v>
          </cell>
          <cell r="BO19">
            <v>21.8</v>
          </cell>
          <cell r="BW19">
            <v>193.3</v>
          </cell>
          <cell r="BX19">
            <v>193.3</v>
          </cell>
          <cell r="BY19">
            <v>0</v>
          </cell>
        </row>
        <row r="20">
          <cell r="A20">
            <v>11</v>
          </cell>
          <cell r="B20">
            <v>11</v>
          </cell>
          <cell r="C20" t="str">
            <v>CARHUARICRA BERROCAL, Severo</v>
          </cell>
          <cell r="D20" t="str">
            <v>PERFORISTA</v>
          </cell>
          <cell r="E20">
            <v>37197</v>
          </cell>
          <cell r="G20" t="str">
            <v>20094105</v>
          </cell>
          <cell r="H20">
            <v>31</v>
          </cell>
          <cell r="I20">
            <v>3.875</v>
          </cell>
          <cell r="J20" t="str">
            <v>UNION</v>
          </cell>
          <cell r="K20">
            <v>22</v>
          </cell>
          <cell r="L20">
            <v>4.25</v>
          </cell>
          <cell r="M20">
            <v>0</v>
          </cell>
          <cell r="N20">
            <v>11</v>
          </cell>
          <cell r="P20">
            <v>682</v>
          </cell>
          <cell r="Q20">
            <v>131.75</v>
          </cell>
          <cell r="R20">
            <v>0</v>
          </cell>
          <cell r="S20">
            <v>53.28125</v>
          </cell>
          <cell r="T20">
            <v>0</v>
          </cell>
          <cell r="U20">
            <v>40.25</v>
          </cell>
          <cell r="Z20">
            <v>907.28125</v>
          </cell>
          <cell r="AA20">
            <v>0</v>
          </cell>
          <cell r="AB20">
            <v>90.728125000000006</v>
          </cell>
          <cell r="AC20">
            <v>8.1655312500000008</v>
          </cell>
          <cell r="AD20">
            <v>20.595284375000002</v>
          </cell>
          <cell r="AF20">
            <v>119.48894062500001</v>
          </cell>
          <cell r="AH20">
            <v>119.48894062500001</v>
          </cell>
          <cell r="AI20">
            <v>787.79230937499995</v>
          </cell>
          <cell r="AJ20">
            <v>446</v>
          </cell>
          <cell r="AK20">
            <v>0</v>
          </cell>
          <cell r="AL20">
            <v>446</v>
          </cell>
          <cell r="AM20">
            <v>22</v>
          </cell>
          <cell r="AN20">
            <v>319.79230937499995</v>
          </cell>
          <cell r="AO20">
            <v>81.655312499999994</v>
          </cell>
          <cell r="AP20">
            <v>15.423781250000001</v>
          </cell>
          <cell r="AQ20">
            <v>15.78669375</v>
          </cell>
          <cell r="AR20">
            <v>18.145624999999999</v>
          </cell>
          <cell r="AS20">
            <v>24.76424171875</v>
          </cell>
          <cell r="AT20">
            <v>12.468400000000001</v>
          </cell>
          <cell r="AU20">
            <v>168.24405421874999</v>
          </cell>
          <cell r="AV20">
            <v>1075.5253042187501</v>
          </cell>
          <cell r="AW20">
            <v>75.606770833333329</v>
          </cell>
          <cell r="AX20">
            <v>85.187004518229159</v>
          </cell>
          <cell r="AY20">
            <v>172.54588403645835</v>
          </cell>
          <cell r="AZ20">
            <v>333.33965938802083</v>
          </cell>
          <cell r="BA20">
            <v>1408.864963606771</v>
          </cell>
          <cell r="BB20">
            <v>64.039316527580496</v>
          </cell>
          <cell r="BC20">
            <v>206.57844041154999</v>
          </cell>
          <cell r="BE20">
            <v>11</v>
          </cell>
          <cell r="BF20" t="str">
            <v>CARHUARICRA BERROCAL, Severo</v>
          </cell>
          <cell r="BG20">
            <v>70</v>
          </cell>
          <cell r="BI20">
            <v>230</v>
          </cell>
          <cell r="BM20">
            <v>30</v>
          </cell>
          <cell r="BQ20">
            <v>100</v>
          </cell>
          <cell r="BR20">
            <v>16</v>
          </cell>
          <cell r="BW20">
            <v>446</v>
          </cell>
          <cell r="BX20">
            <v>446</v>
          </cell>
          <cell r="BY20">
            <v>0</v>
          </cell>
        </row>
        <row r="21">
          <cell r="A21">
            <v>12</v>
          </cell>
          <cell r="B21">
            <v>12</v>
          </cell>
          <cell r="C21" t="str">
            <v>CASTILLO TAMAYO, Juan</v>
          </cell>
          <cell r="D21" t="str">
            <v>AYUDANTE</v>
          </cell>
          <cell r="E21">
            <v>38157</v>
          </cell>
          <cell r="G21" t="str">
            <v>02405542</v>
          </cell>
          <cell r="H21">
            <v>28.5</v>
          </cell>
          <cell r="I21">
            <v>3.5625</v>
          </cell>
          <cell r="J21" t="str">
            <v>PROFUTURO</v>
          </cell>
          <cell r="K21">
            <v>9</v>
          </cell>
          <cell r="L21">
            <v>1</v>
          </cell>
          <cell r="M21">
            <v>0</v>
          </cell>
          <cell r="N21">
            <v>0</v>
          </cell>
          <cell r="P21">
            <v>256.5</v>
          </cell>
          <cell r="Q21">
            <v>28.5</v>
          </cell>
          <cell r="R21">
            <v>0</v>
          </cell>
          <cell r="S21">
            <v>0</v>
          </cell>
          <cell r="T21">
            <v>0</v>
          </cell>
          <cell r="Z21">
            <v>285</v>
          </cell>
          <cell r="AA21">
            <v>0</v>
          </cell>
          <cell r="AB21">
            <v>28.5</v>
          </cell>
          <cell r="AC21">
            <v>2.907</v>
          </cell>
          <cell r="AD21">
            <v>6.9824999999999999</v>
          </cell>
          <cell r="AF21">
            <v>38.389499999999998</v>
          </cell>
          <cell r="AH21">
            <v>38.389499999999998</v>
          </cell>
          <cell r="AI21">
            <v>246.6105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246.6105</v>
          </cell>
          <cell r="AO21">
            <v>25.65</v>
          </cell>
          <cell r="AP21">
            <v>4.8450000000000006</v>
          </cell>
          <cell r="AQ21">
            <v>4.9589999999999996</v>
          </cell>
          <cell r="AR21">
            <v>5.7</v>
          </cell>
          <cell r="AS21">
            <v>7.7790750000000006</v>
          </cell>
          <cell r="AT21">
            <v>4.1610000000000005</v>
          </cell>
          <cell r="AU21">
            <v>53.094074999999997</v>
          </cell>
          <cell r="AV21">
            <v>338.09407499999998</v>
          </cell>
          <cell r="AW21">
            <v>23.75</v>
          </cell>
          <cell r="AX21">
            <v>28.174506249999997</v>
          </cell>
          <cell r="AY21">
            <v>56.349012499999994</v>
          </cell>
          <cell r="AZ21">
            <v>108.27351874999999</v>
          </cell>
          <cell r="BA21">
            <v>446.36759374999997</v>
          </cell>
          <cell r="BB21">
            <v>49.596399305555551</v>
          </cell>
          <cell r="BC21">
            <v>174.02245370370369</v>
          </cell>
          <cell r="BE21">
            <v>12</v>
          </cell>
          <cell r="BF21" t="str">
            <v>CASTILLO TAMAYO, Juan</v>
          </cell>
          <cell r="BW21">
            <v>0</v>
          </cell>
          <cell r="BX21">
            <v>0</v>
          </cell>
          <cell r="BY21">
            <v>0</v>
          </cell>
        </row>
        <row r="22">
          <cell r="A22">
            <v>13</v>
          </cell>
          <cell r="B22">
            <v>13</v>
          </cell>
          <cell r="C22" t="str">
            <v>CATUMA HUAMANI, Apolinar</v>
          </cell>
          <cell r="D22" t="str">
            <v>AYUDANTE</v>
          </cell>
          <cell r="E22">
            <v>38157</v>
          </cell>
          <cell r="G22" t="str">
            <v>30498820</v>
          </cell>
          <cell r="H22">
            <v>28.5</v>
          </cell>
          <cell r="I22">
            <v>3.5625</v>
          </cell>
          <cell r="J22" t="str">
            <v>PROFUTURO</v>
          </cell>
          <cell r="K22">
            <v>9</v>
          </cell>
          <cell r="L22">
            <v>1</v>
          </cell>
          <cell r="M22">
            <v>0</v>
          </cell>
          <cell r="N22">
            <v>0</v>
          </cell>
          <cell r="P22">
            <v>256.5</v>
          </cell>
          <cell r="Q22">
            <v>28.5</v>
          </cell>
          <cell r="R22">
            <v>0</v>
          </cell>
          <cell r="S22">
            <v>0</v>
          </cell>
          <cell r="T22">
            <v>0</v>
          </cell>
          <cell r="Z22">
            <v>285</v>
          </cell>
          <cell r="AA22">
            <v>0</v>
          </cell>
          <cell r="AB22">
            <v>28.5</v>
          </cell>
          <cell r="AC22">
            <v>2.907</v>
          </cell>
          <cell r="AD22">
            <v>6.9824999999999999</v>
          </cell>
          <cell r="AF22">
            <v>38.389499999999998</v>
          </cell>
          <cell r="AH22">
            <v>38.389499999999998</v>
          </cell>
          <cell r="AI22">
            <v>246.6105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246.6105</v>
          </cell>
          <cell r="AO22">
            <v>25.65</v>
          </cell>
          <cell r="AP22">
            <v>4.8450000000000006</v>
          </cell>
          <cell r="AQ22">
            <v>4.9589999999999996</v>
          </cell>
          <cell r="AR22">
            <v>5.7</v>
          </cell>
          <cell r="AS22">
            <v>7.7790750000000006</v>
          </cell>
          <cell r="AT22">
            <v>4.1610000000000005</v>
          </cell>
          <cell r="AU22">
            <v>53.094074999999997</v>
          </cell>
          <cell r="AV22">
            <v>338.09407499999998</v>
          </cell>
          <cell r="AW22">
            <v>23.75</v>
          </cell>
          <cell r="AX22">
            <v>28.174506249999997</v>
          </cell>
          <cell r="AY22">
            <v>56.349012499999994</v>
          </cell>
          <cell r="AZ22">
            <v>108.27351874999999</v>
          </cell>
          <cell r="BA22">
            <v>446.36759374999997</v>
          </cell>
          <cell r="BB22">
            <v>49.596399305555551</v>
          </cell>
          <cell r="BC22">
            <v>174.02245370370369</v>
          </cell>
          <cell r="BE22">
            <v>13</v>
          </cell>
          <cell r="BF22" t="str">
            <v>CATUMA HUAMANI, Apolinar</v>
          </cell>
          <cell r="BW22">
            <v>0</v>
          </cell>
          <cell r="BX22">
            <v>0</v>
          </cell>
          <cell r="BY22">
            <v>0</v>
          </cell>
        </row>
        <row r="23">
          <cell r="A23">
            <v>14</v>
          </cell>
          <cell r="B23">
            <v>14</v>
          </cell>
          <cell r="C23" t="str">
            <v>CCARI CCARI, Jesus</v>
          </cell>
          <cell r="D23" t="str">
            <v>PERFORISTA</v>
          </cell>
          <cell r="E23">
            <v>37269</v>
          </cell>
          <cell r="G23" t="str">
            <v>01560315</v>
          </cell>
          <cell r="H23">
            <v>31</v>
          </cell>
          <cell r="I23">
            <v>3.875</v>
          </cell>
          <cell r="J23" t="str">
            <v>UNION</v>
          </cell>
          <cell r="K23">
            <v>25</v>
          </cell>
          <cell r="L23">
            <v>5</v>
          </cell>
          <cell r="M23">
            <v>0</v>
          </cell>
          <cell r="N23">
            <v>20</v>
          </cell>
          <cell r="P23">
            <v>775</v>
          </cell>
          <cell r="Q23">
            <v>155</v>
          </cell>
          <cell r="R23">
            <v>0</v>
          </cell>
          <cell r="S23">
            <v>96.875</v>
          </cell>
          <cell r="T23">
            <v>0</v>
          </cell>
          <cell r="U23">
            <v>46</v>
          </cell>
          <cell r="V23">
            <v>80</v>
          </cell>
          <cell r="Z23">
            <v>1152.875</v>
          </cell>
          <cell r="AA23">
            <v>0</v>
          </cell>
          <cell r="AB23">
            <v>115.28750000000001</v>
          </cell>
          <cell r="AC23">
            <v>10.375875000000001</v>
          </cell>
          <cell r="AD23">
            <v>26.170262500000003</v>
          </cell>
          <cell r="AF23">
            <v>151.83363750000001</v>
          </cell>
          <cell r="AH23">
            <v>151.83363750000001</v>
          </cell>
          <cell r="AI23">
            <v>1001.0413625</v>
          </cell>
          <cell r="AJ23">
            <v>246.2</v>
          </cell>
          <cell r="AK23">
            <v>0</v>
          </cell>
          <cell r="AL23">
            <v>246.2</v>
          </cell>
          <cell r="AM23">
            <v>0</v>
          </cell>
          <cell r="AN23">
            <v>754.84136250000006</v>
          </cell>
          <cell r="AO23">
            <v>103.75874999999999</v>
          </cell>
          <cell r="AP23">
            <v>19.598875000000003</v>
          </cell>
          <cell r="AQ23">
            <v>20.060025</v>
          </cell>
          <cell r="AR23">
            <v>23.057500000000001</v>
          </cell>
          <cell r="AS23">
            <v>31.467723124999999</v>
          </cell>
          <cell r="AT23">
            <v>14.249600000000001</v>
          </cell>
          <cell r="AU23">
            <v>212.19247312499999</v>
          </cell>
          <cell r="AV23">
            <v>1365.0674731250001</v>
          </cell>
          <cell r="AW23">
            <v>96.072916666666671</v>
          </cell>
          <cell r="AX23">
            <v>99.016039427083342</v>
          </cell>
          <cell r="AY23">
            <v>206.51124552083334</v>
          </cell>
          <cell r="AZ23">
            <v>401.6002016145834</v>
          </cell>
          <cell r="BA23">
            <v>1766.6676747395836</v>
          </cell>
          <cell r="BB23">
            <v>70.666706989583346</v>
          </cell>
          <cell r="BC23">
            <v>227.95711932123658</v>
          </cell>
          <cell r="BE23">
            <v>14</v>
          </cell>
          <cell r="BF23" t="str">
            <v>CCARI CCARI, Jesus</v>
          </cell>
          <cell r="BI23">
            <v>175.5</v>
          </cell>
          <cell r="BJ23">
            <v>3</v>
          </cell>
          <cell r="BL23">
            <v>10</v>
          </cell>
          <cell r="BQ23">
            <v>18.7</v>
          </cell>
          <cell r="BR23">
            <v>39</v>
          </cell>
          <cell r="BW23">
            <v>246.2</v>
          </cell>
          <cell r="BX23">
            <v>246.2</v>
          </cell>
          <cell r="BY23">
            <v>0</v>
          </cell>
        </row>
        <row r="24">
          <cell r="A24">
            <v>15</v>
          </cell>
          <cell r="B24">
            <v>15</v>
          </cell>
          <cell r="C24" t="str">
            <v>COLQUE COLQUE, Roy Daniel</v>
          </cell>
          <cell r="D24" t="str">
            <v>AYUDANTE</v>
          </cell>
          <cell r="E24">
            <v>38087</v>
          </cell>
          <cell r="G24">
            <v>42048071</v>
          </cell>
          <cell r="H24">
            <v>28.5</v>
          </cell>
          <cell r="I24">
            <v>3.5625</v>
          </cell>
          <cell r="J24" t="str">
            <v>PROFUTURO</v>
          </cell>
          <cell r="K24">
            <v>23</v>
          </cell>
          <cell r="L24">
            <v>4.5</v>
          </cell>
          <cell r="M24">
            <v>0</v>
          </cell>
          <cell r="N24">
            <v>14</v>
          </cell>
          <cell r="O24">
            <v>88</v>
          </cell>
          <cell r="P24">
            <v>655.5</v>
          </cell>
          <cell r="Q24">
            <v>128.25</v>
          </cell>
          <cell r="R24">
            <v>0</v>
          </cell>
          <cell r="S24">
            <v>62.34375</v>
          </cell>
          <cell r="T24">
            <v>627</v>
          </cell>
          <cell r="Z24">
            <v>1473.09375</v>
          </cell>
          <cell r="AA24">
            <v>0</v>
          </cell>
          <cell r="AB24">
            <v>147.30937500000002</v>
          </cell>
          <cell r="AC24">
            <v>15.025556250000001</v>
          </cell>
          <cell r="AD24">
            <v>36.090796875000002</v>
          </cell>
          <cell r="AF24">
            <v>198.42572812500001</v>
          </cell>
          <cell r="AH24">
            <v>198.42572812500001</v>
          </cell>
          <cell r="AI24">
            <v>1274.668021875</v>
          </cell>
          <cell r="AJ24">
            <v>261.60000000000002</v>
          </cell>
          <cell r="AK24">
            <v>0</v>
          </cell>
          <cell r="AL24">
            <v>261.60000000000002</v>
          </cell>
          <cell r="AM24">
            <v>10</v>
          </cell>
          <cell r="AN24">
            <v>1003.068021875</v>
          </cell>
          <cell r="AO24">
            <v>132.57843750000001</v>
          </cell>
          <cell r="AP24">
            <v>25.042593750000002</v>
          </cell>
          <cell r="AQ24">
            <v>25.631831249999998</v>
          </cell>
          <cell r="AR24">
            <v>29.461874999999999</v>
          </cell>
          <cell r="AS24">
            <v>40.208093906249992</v>
          </cell>
          <cell r="AT24">
            <v>11.44275</v>
          </cell>
          <cell r="AU24">
            <v>264.36558140624999</v>
          </cell>
          <cell r="AV24">
            <v>1737.4593314062499</v>
          </cell>
          <cell r="AW24">
            <v>122.7578125</v>
          </cell>
          <cell r="AX24">
            <v>87.342965117187489</v>
          </cell>
          <cell r="AY24">
            <v>185.07655523437498</v>
          </cell>
          <cell r="AZ24">
            <v>395.17733285156248</v>
          </cell>
          <cell r="BA24">
            <v>2132.6366642578123</v>
          </cell>
          <cell r="BB24">
            <v>92.723333228600538</v>
          </cell>
          <cell r="BC24">
            <v>325.34502887228263</v>
          </cell>
          <cell r="BE24">
            <v>15</v>
          </cell>
          <cell r="BF24" t="str">
            <v>COLQUE COLQUE, Roy Daniel</v>
          </cell>
          <cell r="BI24">
            <v>206</v>
          </cell>
          <cell r="BJ24">
            <v>44.5</v>
          </cell>
          <cell r="BO24">
            <v>11.1</v>
          </cell>
          <cell r="BW24">
            <v>261.60000000000002</v>
          </cell>
          <cell r="BX24">
            <v>261.60000000000002</v>
          </cell>
          <cell r="BY24">
            <v>0</v>
          </cell>
        </row>
        <row r="25">
          <cell r="A25">
            <v>16</v>
          </cell>
          <cell r="B25">
            <v>16</v>
          </cell>
          <cell r="C25" t="str">
            <v>CRUZ PARI, Martin Nestor</v>
          </cell>
          <cell r="D25" t="str">
            <v>AYUDANTE</v>
          </cell>
          <cell r="E25">
            <v>37905</v>
          </cell>
          <cell r="G25">
            <v>29651671</v>
          </cell>
          <cell r="H25">
            <v>28.5</v>
          </cell>
          <cell r="I25">
            <v>3.5625</v>
          </cell>
          <cell r="J25" t="str">
            <v>UNION</v>
          </cell>
          <cell r="K25">
            <v>25</v>
          </cell>
          <cell r="L25">
            <v>5</v>
          </cell>
          <cell r="M25">
            <v>0</v>
          </cell>
          <cell r="N25">
            <v>20</v>
          </cell>
          <cell r="P25">
            <v>712.5</v>
          </cell>
          <cell r="Q25">
            <v>142.5</v>
          </cell>
          <cell r="R25">
            <v>0</v>
          </cell>
          <cell r="S25">
            <v>89.0625</v>
          </cell>
          <cell r="T25">
            <v>0</v>
          </cell>
          <cell r="U25">
            <v>46</v>
          </cell>
          <cell r="V25">
            <v>80</v>
          </cell>
          <cell r="Z25">
            <v>1070.0625</v>
          </cell>
          <cell r="AA25">
            <v>0</v>
          </cell>
          <cell r="AB25">
            <v>107.00625000000001</v>
          </cell>
          <cell r="AC25">
            <v>9.6305625000000017</v>
          </cell>
          <cell r="AD25">
            <v>24.290418750000001</v>
          </cell>
          <cell r="AF25">
            <v>140.92723125000001</v>
          </cell>
          <cell r="AH25">
            <v>140.92723125000001</v>
          </cell>
          <cell r="AI25">
            <v>929.13526875000002</v>
          </cell>
          <cell r="AJ25">
            <v>218.5</v>
          </cell>
          <cell r="AK25">
            <v>0</v>
          </cell>
          <cell r="AL25">
            <v>218.5</v>
          </cell>
          <cell r="AM25">
            <v>0</v>
          </cell>
          <cell r="AN25">
            <v>710.63526875000002</v>
          </cell>
          <cell r="AO25">
            <v>96.305624999999992</v>
          </cell>
          <cell r="AP25">
            <v>18.191062500000001</v>
          </cell>
          <cell r="AQ25">
            <v>18.619087499999999</v>
          </cell>
          <cell r="AR25">
            <v>21.401250000000001</v>
          </cell>
          <cell r="AS25">
            <v>29.207355937500001</v>
          </cell>
          <cell r="AT25">
            <v>13.1546</v>
          </cell>
          <cell r="AU25">
            <v>196.87898093749999</v>
          </cell>
          <cell r="AV25">
            <v>1266.9414809375</v>
          </cell>
          <cell r="AW25">
            <v>89.171875</v>
          </cell>
          <cell r="AX25">
            <v>91.489915078125009</v>
          </cell>
          <cell r="AY25">
            <v>190.15691348958333</v>
          </cell>
          <cell r="AZ25">
            <v>370.81870356770833</v>
          </cell>
          <cell r="BA25">
            <v>1637.7601845052084</v>
          </cell>
          <cell r="BB25">
            <v>65.510407380208335</v>
          </cell>
          <cell r="BC25">
            <v>229.86107852704677</v>
          </cell>
          <cell r="BE25">
            <v>16</v>
          </cell>
          <cell r="BF25" t="str">
            <v>CRUZ PARI, Martin Nestor</v>
          </cell>
          <cell r="BI25">
            <v>0</v>
          </cell>
          <cell r="BK25">
            <v>3</v>
          </cell>
          <cell r="BL25">
            <v>143.5</v>
          </cell>
          <cell r="BQ25">
            <v>20</v>
          </cell>
          <cell r="BR25">
            <v>52</v>
          </cell>
          <cell r="BW25">
            <v>218.5</v>
          </cell>
          <cell r="BX25">
            <v>218.5</v>
          </cell>
          <cell r="BY25">
            <v>0</v>
          </cell>
        </row>
        <row r="26">
          <cell r="A26">
            <v>17</v>
          </cell>
          <cell r="B26">
            <v>17</v>
          </cell>
          <cell r="C26" t="str">
            <v>CUAQUIRA CABANA, Maximiano</v>
          </cell>
          <cell r="D26" t="str">
            <v>PERFORISTA</v>
          </cell>
          <cell r="E26">
            <v>37453</v>
          </cell>
          <cell r="G26" t="str">
            <v>02173311</v>
          </cell>
          <cell r="H26">
            <v>31</v>
          </cell>
          <cell r="I26">
            <v>3.875</v>
          </cell>
          <cell r="J26" t="str">
            <v>HORIZONTE</v>
          </cell>
          <cell r="M26">
            <v>30</v>
          </cell>
          <cell r="P26">
            <v>0</v>
          </cell>
          <cell r="Q26">
            <v>0</v>
          </cell>
          <cell r="R26">
            <v>930</v>
          </cell>
          <cell r="S26">
            <v>0</v>
          </cell>
          <cell r="T26">
            <v>0</v>
          </cell>
          <cell r="U26">
            <v>46</v>
          </cell>
          <cell r="Z26">
            <v>976</v>
          </cell>
          <cell r="AA26">
            <v>0</v>
          </cell>
          <cell r="AB26">
            <v>97.600000000000009</v>
          </cell>
          <cell r="AC26">
            <v>8.6864000000000008</v>
          </cell>
          <cell r="AD26">
            <v>21.96</v>
          </cell>
          <cell r="AF26">
            <v>128.24640000000002</v>
          </cell>
          <cell r="AH26">
            <v>128.24640000000002</v>
          </cell>
          <cell r="AI26">
            <v>847.75360000000001</v>
          </cell>
          <cell r="AJ26">
            <v>28</v>
          </cell>
          <cell r="AK26">
            <v>0</v>
          </cell>
          <cell r="AL26">
            <v>28</v>
          </cell>
          <cell r="AM26">
            <v>51</v>
          </cell>
          <cell r="AN26">
            <v>768.75360000000001</v>
          </cell>
          <cell r="AO26">
            <v>87.84</v>
          </cell>
          <cell r="AP26">
            <v>16.592000000000002</v>
          </cell>
          <cell r="AQ26">
            <v>16.982399999999998</v>
          </cell>
          <cell r="AR26">
            <v>19.52</v>
          </cell>
          <cell r="AS26">
            <v>26.63992</v>
          </cell>
          <cell r="AT26">
            <v>14.249600000000001</v>
          </cell>
          <cell r="AU26">
            <v>181.82391999999999</v>
          </cell>
          <cell r="AV26">
            <v>1157.82392</v>
          </cell>
          <cell r="AW26">
            <v>81.333333333333329</v>
          </cell>
          <cell r="AX26">
            <v>96.485326666666666</v>
          </cell>
          <cell r="AY26">
            <v>185.30398666666667</v>
          </cell>
          <cell r="AZ26">
            <v>363.1226466666667</v>
          </cell>
          <cell r="BA26">
            <v>1520.9465666666667</v>
          </cell>
          <cell r="BB26">
            <v>0</v>
          </cell>
          <cell r="BC26">
            <v>0</v>
          </cell>
          <cell r="BE26">
            <v>17</v>
          </cell>
          <cell r="BF26" t="str">
            <v>CUAQUIRA CABANA, Maximiano</v>
          </cell>
          <cell r="BG26">
            <v>20</v>
          </cell>
          <cell r="BL26">
            <v>8</v>
          </cell>
          <cell r="BW26">
            <v>28</v>
          </cell>
          <cell r="BX26">
            <v>28</v>
          </cell>
          <cell r="BY26">
            <v>0</v>
          </cell>
        </row>
        <row r="27">
          <cell r="A27">
            <v>18</v>
          </cell>
          <cell r="B27">
            <v>18</v>
          </cell>
          <cell r="C27" t="str">
            <v>CHAGUA SUERE,  Eder Juan</v>
          </cell>
          <cell r="D27" t="str">
            <v>PERFORISTA</v>
          </cell>
          <cell r="E27">
            <v>38029</v>
          </cell>
          <cell r="G27">
            <v>19977362</v>
          </cell>
          <cell r="H27">
            <v>31</v>
          </cell>
          <cell r="I27">
            <v>3.875</v>
          </cell>
          <cell r="J27" t="str">
            <v>UNION</v>
          </cell>
          <cell r="K27">
            <v>25</v>
          </cell>
          <cell r="L27">
            <v>5</v>
          </cell>
          <cell r="M27">
            <v>0</v>
          </cell>
          <cell r="N27">
            <v>20</v>
          </cell>
          <cell r="P27">
            <v>775</v>
          </cell>
          <cell r="Q27">
            <v>155</v>
          </cell>
          <cell r="R27">
            <v>0</v>
          </cell>
          <cell r="S27">
            <v>96.875</v>
          </cell>
          <cell r="T27">
            <v>0</v>
          </cell>
          <cell r="Z27">
            <v>1026.875</v>
          </cell>
          <cell r="AA27">
            <v>0</v>
          </cell>
          <cell r="AB27">
            <v>102.6875</v>
          </cell>
          <cell r="AC27">
            <v>9.2418750000000003</v>
          </cell>
          <cell r="AD27">
            <v>23.310062500000001</v>
          </cell>
          <cell r="AF27">
            <v>135.23943750000001</v>
          </cell>
          <cell r="AH27">
            <v>135.23943750000001</v>
          </cell>
          <cell r="AI27">
            <v>891.63556249999999</v>
          </cell>
          <cell r="AJ27">
            <v>300.89999999999998</v>
          </cell>
          <cell r="AK27">
            <v>0</v>
          </cell>
          <cell r="AL27">
            <v>300.89999999999998</v>
          </cell>
          <cell r="AM27">
            <v>0</v>
          </cell>
          <cell r="AN27">
            <v>590.73556250000001</v>
          </cell>
          <cell r="AO27">
            <v>92.418750000000003</v>
          </cell>
          <cell r="AP27">
            <v>17.456875</v>
          </cell>
          <cell r="AQ27">
            <v>17.867625</v>
          </cell>
          <cell r="AR27">
            <v>20.537500000000001</v>
          </cell>
          <cell r="AS27">
            <v>28.028553124999998</v>
          </cell>
          <cell r="AT27">
            <v>13.577999999999999</v>
          </cell>
          <cell r="AU27">
            <v>189.88730312500002</v>
          </cell>
          <cell r="AV27">
            <v>1216.762303125</v>
          </cell>
          <cell r="AW27">
            <v>85.572916666666671</v>
          </cell>
          <cell r="AX27">
            <v>93.323941927083339</v>
          </cell>
          <cell r="AY27">
            <v>202.79371718749999</v>
          </cell>
          <cell r="AZ27">
            <v>381.69057578125</v>
          </cell>
          <cell r="BA27">
            <v>1598.4528789062501</v>
          </cell>
          <cell r="BB27">
            <v>63.938115156250007</v>
          </cell>
          <cell r="BC27">
            <v>206.25198437500001</v>
          </cell>
          <cell r="BE27">
            <v>18</v>
          </cell>
          <cell r="BF27" t="str">
            <v>CHAGUA SUERE,  Eder Juan</v>
          </cell>
          <cell r="BJ27">
            <v>5</v>
          </cell>
          <cell r="BL27">
            <v>177</v>
          </cell>
          <cell r="BO27">
            <v>40</v>
          </cell>
          <cell r="BQ27">
            <v>60</v>
          </cell>
          <cell r="BS27">
            <v>18.899999999999999</v>
          </cell>
          <cell r="BW27">
            <v>300.89999999999998</v>
          </cell>
          <cell r="BX27">
            <v>300.89999999999998</v>
          </cell>
          <cell r="BY27">
            <v>0</v>
          </cell>
        </row>
        <row r="28">
          <cell r="A28">
            <v>19</v>
          </cell>
          <cell r="B28">
            <v>19</v>
          </cell>
          <cell r="C28" t="str">
            <v>CHIPANA QUISPE, Luis</v>
          </cell>
          <cell r="D28" t="str">
            <v>PERFORISTA</v>
          </cell>
          <cell r="E28">
            <v>37643</v>
          </cell>
          <cell r="G28">
            <v>40639553</v>
          </cell>
          <cell r="H28">
            <v>31</v>
          </cell>
          <cell r="I28">
            <v>3.875</v>
          </cell>
          <cell r="J28" t="str">
            <v>ONP</v>
          </cell>
          <cell r="K28">
            <v>25</v>
          </cell>
          <cell r="L28">
            <v>5</v>
          </cell>
          <cell r="M28">
            <v>0</v>
          </cell>
          <cell r="N28">
            <v>20</v>
          </cell>
          <cell r="P28">
            <v>775</v>
          </cell>
          <cell r="Q28">
            <v>155</v>
          </cell>
          <cell r="R28">
            <v>0</v>
          </cell>
          <cell r="S28">
            <v>96.875</v>
          </cell>
          <cell r="T28">
            <v>0</v>
          </cell>
          <cell r="V28">
            <v>80</v>
          </cell>
          <cell r="Z28">
            <v>1106.875</v>
          </cell>
          <cell r="AA28">
            <v>143.89375000000001</v>
          </cell>
          <cell r="AB28">
            <v>0</v>
          </cell>
          <cell r="AC28">
            <v>0</v>
          </cell>
          <cell r="AD28">
            <v>0</v>
          </cell>
          <cell r="AF28">
            <v>143.89375000000001</v>
          </cell>
          <cell r="AH28">
            <v>143.89375000000001</v>
          </cell>
          <cell r="AI28">
            <v>962.98125000000005</v>
          </cell>
          <cell r="AJ28">
            <v>397.2</v>
          </cell>
          <cell r="AK28">
            <v>0</v>
          </cell>
          <cell r="AL28">
            <v>397.2</v>
          </cell>
          <cell r="AM28">
            <v>0</v>
          </cell>
          <cell r="AN28">
            <v>565.78125</v>
          </cell>
          <cell r="AO28">
            <v>99.618749999999991</v>
          </cell>
          <cell r="AP28">
            <v>18.816875000000003</v>
          </cell>
          <cell r="AQ28">
            <v>19.259625</v>
          </cell>
          <cell r="AR28">
            <v>0</v>
          </cell>
          <cell r="AS28">
            <v>30.212153125</v>
          </cell>
          <cell r="AT28">
            <v>13.577999999999999</v>
          </cell>
          <cell r="AU28">
            <v>181.48540312499998</v>
          </cell>
          <cell r="AV28">
            <v>1288.3604031249999</v>
          </cell>
          <cell r="AW28">
            <v>92.239583333333329</v>
          </cell>
          <cell r="AX28">
            <v>92.623783593749991</v>
          </cell>
          <cell r="AY28">
            <v>201.39340052083332</v>
          </cell>
          <cell r="AZ28">
            <v>386.25676744791667</v>
          </cell>
          <cell r="BA28">
            <v>1674.6171705729166</v>
          </cell>
          <cell r="BB28">
            <v>66.984686822916672</v>
          </cell>
          <cell r="BC28">
            <v>216.07963491263442</v>
          </cell>
          <cell r="BE28">
            <v>19</v>
          </cell>
          <cell r="BF28" t="str">
            <v>CHIPANA QUISPE, Luis</v>
          </cell>
          <cell r="BI28">
            <v>51</v>
          </cell>
          <cell r="BL28">
            <v>190</v>
          </cell>
          <cell r="BO28">
            <v>22.7</v>
          </cell>
          <cell r="BQ28">
            <v>100</v>
          </cell>
          <cell r="BR28">
            <v>33.5</v>
          </cell>
          <cell r="BW28">
            <v>397.2</v>
          </cell>
          <cell r="BX28">
            <v>397.2</v>
          </cell>
          <cell r="BY28">
            <v>0</v>
          </cell>
        </row>
        <row r="29">
          <cell r="A29">
            <v>20</v>
          </cell>
          <cell r="B29">
            <v>20</v>
          </cell>
          <cell r="C29" t="str">
            <v>DAMIAN SOLANO, Julio</v>
          </cell>
          <cell r="D29" t="str">
            <v>AYUDANTE</v>
          </cell>
          <cell r="E29">
            <v>37967</v>
          </cell>
          <cell r="G29">
            <v>41372653</v>
          </cell>
          <cell r="H29">
            <v>28.5</v>
          </cell>
          <cell r="I29">
            <v>3.5625</v>
          </cell>
          <cell r="J29" t="str">
            <v>PROFUTURO</v>
          </cell>
          <cell r="K29">
            <v>25</v>
          </cell>
          <cell r="L29">
            <v>5</v>
          </cell>
          <cell r="M29">
            <v>0</v>
          </cell>
          <cell r="N29">
            <v>20</v>
          </cell>
          <cell r="O29">
            <v>99</v>
          </cell>
          <cell r="P29">
            <v>712.5</v>
          </cell>
          <cell r="Q29">
            <v>142.5</v>
          </cell>
          <cell r="R29">
            <v>0</v>
          </cell>
          <cell r="S29">
            <v>89.0625</v>
          </cell>
          <cell r="T29">
            <v>705.375</v>
          </cell>
          <cell r="V29">
            <v>80</v>
          </cell>
          <cell r="Z29">
            <v>1729.4375</v>
          </cell>
          <cell r="AA29">
            <v>0</v>
          </cell>
          <cell r="AB29">
            <v>172.94375000000002</v>
          </cell>
          <cell r="AC29">
            <v>17.640262500000002</v>
          </cell>
          <cell r="AD29">
            <v>42.371218750000004</v>
          </cell>
          <cell r="AF29">
            <v>232.95523125000003</v>
          </cell>
          <cell r="AH29">
            <v>232.95523125000003</v>
          </cell>
          <cell r="AI29">
            <v>1496.48226875</v>
          </cell>
          <cell r="AJ29">
            <v>350.7</v>
          </cell>
          <cell r="AK29">
            <v>0</v>
          </cell>
          <cell r="AL29">
            <v>350.7</v>
          </cell>
          <cell r="AM29">
            <v>4</v>
          </cell>
          <cell r="AN29">
            <v>1141.78226875</v>
          </cell>
          <cell r="AO29">
            <v>155.64937499999999</v>
          </cell>
          <cell r="AP29">
            <v>29.400437500000002</v>
          </cell>
          <cell r="AQ29">
            <v>30.092212499999999</v>
          </cell>
          <cell r="AR29">
            <v>34.588749999999997</v>
          </cell>
          <cell r="AS29">
            <v>47.204996562499993</v>
          </cell>
          <cell r="AT29">
            <v>12.483000000000001</v>
          </cell>
          <cell r="AU29">
            <v>309.41877156250001</v>
          </cell>
          <cell r="AV29">
            <v>2038.8562715625001</v>
          </cell>
          <cell r="AW29">
            <v>144.11979166666666</v>
          </cell>
          <cell r="AX29">
            <v>97.034897630208334</v>
          </cell>
          <cell r="AY29">
            <v>208.91354526041667</v>
          </cell>
          <cell r="AZ29">
            <v>450.0682345572917</v>
          </cell>
          <cell r="BA29">
            <v>2488.9245061197917</v>
          </cell>
          <cell r="BB29">
            <v>99.55698024479166</v>
          </cell>
          <cell r="BC29">
            <v>349.32273770102336</v>
          </cell>
          <cell r="BE29">
            <v>20</v>
          </cell>
          <cell r="BF29" t="str">
            <v>DAMIAN SOLANO, Julio</v>
          </cell>
          <cell r="BG29">
            <v>40</v>
          </cell>
          <cell r="BH29">
            <v>230.7</v>
          </cell>
          <cell r="BO29">
            <v>80</v>
          </cell>
          <cell r="BW29">
            <v>350.7</v>
          </cell>
          <cell r="BX29">
            <v>350.7</v>
          </cell>
          <cell r="BY29">
            <v>0</v>
          </cell>
        </row>
        <row r="30">
          <cell r="A30">
            <v>21</v>
          </cell>
          <cell r="B30">
            <v>21</v>
          </cell>
          <cell r="C30" t="str">
            <v>DE LA CRUZ TAPARA, Carlomagno</v>
          </cell>
          <cell r="D30" t="str">
            <v>AYUDANTE</v>
          </cell>
          <cell r="E30">
            <v>37818</v>
          </cell>
          <cell r="G30">
            <v>23720230</v>
          </cell>
          <cell r="H30">
            <v>28.5</v>
          </cell>
          <cell r="I30">
            <v>3.5625</v>
          </cell>
          <cell r="J30" t="str">
            <v>HORIZONTE</v>
          </cell>
          <cell r="K30">
            <v>25</v>
          </cell>
          <cell r="L30">
            <v>5</v>
          </cell>
          <cell r="M30">
            <v>0</v>
          </cell>
          <cell r="N30">
            <v>20</v>
          </cell>
          <cell r="P30">
            <v>712.5</v>
          </cell>
          <cell r="Q30">
            <v>142.5</v>
          </cell>
          <cell r="R30">
            <v>0</v>
          </cell>
          <cell r="S30">
            <v>89.0625</v>
          </cell>
          <cell r="T30">
            <v>0</v>
          </cell>
          <cell r="U30">
            <v>46</v>
          </cell>
          <cell r="V30">
            <v>80</v>
          </cell>
          <cell r="Z30">
            <v>1070.0625</v>
          </cell>
          <cell r="AA30">
            <v>0</v>
          </cell>
          <cell r="AB30">
            <v>107.00625000000001</v>
          </cell>
          <cell r="AC30">
            <v>9.5235562500000004</v>
          </cell>
          <cell r="AD30">
            <v>24.076406249999998</v>
          </cell>
          <cell r="AF30">
            <v>140.6062125</v>
          </cell>
          <cell r="AH30">
            <v>140.6062125</v>
          </cell>
          <cell r="AI30">
            <v>929.45628750000003</v>
          </cell>
          <cell r="AJ30">
            <v>96.3</v>
          </cell>
          <cell r="AK30">
            <v>0</v>
          </cell>
          <cell r="AL30">
            <v>96.3</v>
          </cell>
          <cell r="AM30">
            <v>1</v>
          </cell>
          <cell r="AN30">
            <v>832.15628750000008</v>
          </cell>
          <cell r="AO30">
            <v>96.305624999999992</v>
          </cell>
          <cell r="AP30">
            <v>18.191062500000001</v>
          </cell>
          <cell r="AQ30">
            <v>18.619087499999999</v>
          </cell>
          <cell r="AR30">
            <v>21.401250000000001</v>
          </cell>
          <cell r="AS30">
            <v>29.207355937500001</v>
          </cell>
          <cell r="AT30">
            <v>13.1546</v>
          </cell>
          <cell r="AU30">
            <v>196.87898093749999</v>
          </cell>
          <cell r="AV30">
            <v>1266.9414809375</v>
          </cell>
          <cell r="AW30">
            <v>89.171875</v>
          </cell>
          <cell r="AX30">
            <v>91.489915078125009</v>
          </cell>
          <cell r="AY30">
            <v>190.15691348958333</v>
          </cell>
          <cell r="AZ30">
            <v>370.81870356770833</v>
          </cell>
          <cell r="BA30">
            <v>1637.7601845052084</v>
          </cell>
          <cell r="BB30">
            <v>65.510407380208335</v>
          </cell>
          <cell r="BC30">
            <v>229.86107852704677</v>
          </cell>
          <cell r="BE30">
            <v>21</v>
          </cell>
          <cell r="BF30" t="str">
            <v>DE LA CRUZ TAPARA, Carlomagno</v>
          </cell>
          <cell r="BK30">
            <v>8.5</v>
          </cell>
          <cell r="BM30">
            <v>10.8</v>
          </cell>
          <cell r="BQ30">
            <v>77</v>
          </cell>
          <cell r="BW30">
            <v>96.3</v>
          </cell>
          <cell r="BX30">
            <v>96.3</v>
          </cell>
          <cell r="BY30">
            <v>0</v>
          </cell>
        </row>
        <row r="31">
          <cell r="A31">
            <v>22</v>
          </cell>
          <cell r="B31">
            <v>22</v>
          </cell>
          <cell r="C31" t="str">
            <v>DOZA MEZA, Maximo Fabio</v>
          </cell>
          <cell r="D31" t="str">
            <v>PERFORISTA</v>
          </cell>
          <cell r="E31">
            <v>38140</v>
          </cell>
          <cell r="G31" t="str">
            <v>16123250</v>
          </cell>
          <cell r="H31">
            <v>31</v>
          </cell>
          <cell r="I31">
            <v>3.875</v>
          </cell>
          <cell r="J31" t="str">
            <v>INTEGRA</v>
          </cell>
          <cell r="K31">
            <v>23</v>
          </cell>
          <cell r="L31">
            <v>4.5</v>
          </cell>
          <cell r="M31">
            <v>1</v>
          </cell>
          <cell r="N31">
            <v>14</v>
          </cell>
          <cell r="P31">
            <v>713</v>
          </cell>
          <cell r="Q31">
            <v>139.5</v>
          </cell>
          <cell r="R31">
            <v>31</v>
          </cell>
          <cell r="S31">
            <v>67.8125</v>
          </cell>
          <cell r="T31">
            <v>0</v>
          </cell>
          <cell r="Z31">
            <v>951.3125</v>
          </cell>
          <cell r="AA31">
            <v>0</v>
          </cell>
          <cell r="AB31">
            <v>95.131250000000009</v>
          </cell>
          <cell r="AC31">
            <v>8.3715500000000009</v>
          </cell>
          <cell r="AD31">
            <v>19.977562500000001</v>
          </cell>
          <cell r="AF31">
            <v>123.48036250000001</v>
          </cell>
          <cell r="AH31">
            <v>123.48036250000001</v>
          </cell>
          <cell r="AI31">
            <v>827.83213750000004</v>
          </cell>
          <cell r="AJ31">
            <v>11.3</v>
          </cell>
          <cell r="AK31">
            <v>0</v>
          </cell>
          <cell r="AL31">
            <v>11.3</v>
          </cell>
          <cell r="AM31">
            <v>0</v>
          </cell>
          <cell r="AN31">
            <v>816.53213750000009</v>
          </cell>
          <cell r="AO31">
            <v>85.618124999999992</v>
          </cell>
          <cell r="AP31">
            <v>16.1723125</v>
          </cell>
          <cell r="AQ31">
            <v>16.552837499999999</v>
          </cell>
          <cell r="AR31">
            <v>19.026250000000001</v>
          </cell>
          <cell r="AS31">
            <v>25.966074687499997</v>
          </cell>
          <cell r="AT31">
            <v>12.899100000000001</v>
          </cell>
          <cell r="AU31">
            <v>176.23469968749998</v>
          </cell>
          <cell r="AV31">
            <v>1127.5471996874999</v>
          </cell>
          <cell r="AW31">
            <v>79.276041666666671</v>
          </cell>
          <cell r="AX31">
            <v>88.311224973958318</v>
          </cell>
          <cell r="AY31">
            <v>187.92453328124998</v>
          </cell>
          <cell r="AZ31">
            <v>355.51179992187497</v>
          </cell>
          <cell r="BA31">
            <v>1483.058999609375</v>
          </cell>
          <cell r="BB31">
            <v>64.480826069972821</v>
          </cell>
          <cell r="BC31">
            <v>208.00266474184781</v>
          </cell>
          <cell r="BE31">
            <v>22</v>
          </cell>
          <cell r="BF31" t="str">
            <v>DOZA MEZA, Maximo Fabio</v>
          </cell>
          <cell r="BO31">
            <v>11.3</v>
          </cell>
          <cell r="BW31">
            <v>11.3</v>
          </cell>
          <cell r="BX31">
            <v>11.3</v>
          </cell>
          <cell r="BY31">
            <v>0</v>
          </cell>
        </row>
        <row r="32">
          <cell r="A32">
            <v>23</v>
          </cell>
          <cell r="B32">
            <v>23</v>
          </cell>
          <cell r="C32" t="str">
            <v>ESPINOZA CANAZA, Marcelino</v>
          </cell>
          <cell r="D32" t="str">
            <v>PERFORISTA</v>
          </cell>
          <cell r="E32">
            <v>37573</v>
          </cell>
          <cell r="G32">
            <v>19435063</v>
          </cell>
          <cell r="H32">
            <v>31</v>
          </cell>
          <cell r="I32">
            <v>3.875</v>
          </cell>
          <cell r="J32" t="str">
            <v>INTEGRA</v>
          </cell>
          <cell r="K32">
            <v>25</v>
          </cell>
          <cell r="L32">
            <v>5</v>
          </cell>
          <cell r="M32">
            <v>0</v>
          </cell>
          <cell r="N32">
            <v>20</v>
          </cell>
          <cell r="P32">
            <v>775</v>
          </cell>
          <cell r="Q32">
            <v>155</v>
          </cell>
          <cell r="R32">
            <v>0</v>
          </cell>
          <cell r="S32">
            <v>96.875</v>
          </cell>
          <cell r="T32">
            <v>0</v>
          </cell>
          <cell r="V32">
            <v>80</v>
          </cell>
          <cell r="Z32">
            <v>1106.875</v>
          </cell>
          <cell r="AA32">
            <v>0</v>
          </cell>
          <cell r="AB32">
            <v>110.6875</v>
          </cell>
          <cell r="AC32">
            <v>9.7405000000000008</v>
          </cell>
          <cell r="AD32">
            <v>23.244375000000002</v>
          </cell>
          <cell r="AF32">
            <v>143.67237499999999</v>
          </cell>
          <cell r="AH32">
            <v>143.67237499999999</v>
          </cell>
          <cell r="AI32">
            <v>963.20262500000001</v>
          </cell>
          <cell r="AJ32">
            <v>78</v>
          </cell>
          <cell r="AK32">
            <v>0</v>
          </cell>
          <cell r="AL32">
            <v>78</v>
          </cell>
          <cell r="AM32">
            <v>0</v>
          </cell>
          <cell r="AN32">
            <v>885.20262500000001</v>
          </cell>
          <cell r="AO32">
            <v>99.618749999999991</v>
          </cell>
          <cell r="AP32">
            <v>18.816875000000003</v>
          </cell>
          <cell r="AQ32">
            <v>19.259625</v>
          </cell>
          <cell r="AR32">
            <v>22.137499999999999</v>
          </cell>
          <cell r="AS32">
            <v>30.212153125</v>
          </cell>
          <cell r="AT32">
            <v>13.577999999999999</v>
          </cell>
          <cell r="AU32">
            <v>203.62290312499997</v>
          </cell>
          <cell r="AV32">
            <v>1310.497903125</v>
          </cell>
          <cell r="AW32">
            <v>92.239583333333329</v>
          </cell>
          <cell r="AX32">
            <v>94.468575260416671</v>
          </cell>
          <cell r="AY32">
            <v>205.08298385416666</v>
          </cell>
          <cell r="AZ32">
            <v>391.79114244791663</v>
          </cell>
          <cell r="BA32">
            <v>1702.2890455729166</v>
          </cell>
          <cell r="BB32">
            <v>68.09156182291666</v>
          </cell>
          <cell r="BC32">
            <v>219.65019942876341</v>
          </cell>
          <cell r="BE32">
            <v>23</v>
          </cell>
          <cell r="BF32" t="str">
            <v>ESPINOZA CANAZA, Marcelino</v>
          </cell>
          <cell r="BJ32">
            <v>6.5</v>
          </cell>
          <cell r="BM32">
            <v>50</v>
          </cell>
          <cell r="BQ32">
            <v>21.5</v>
          </cell>
          <cell r="BW32">
            <v>78</v>
          </cell>
          <cell r="BX32">
            <v>78</v>
          </cell>
          <cell r="BY32">
            <v>0</v>
          </cell>
        </row>
        <row r="33">
          <cell r="A33">
            <v>24</v>
          </cell>
          <cell r="B33">
            <v>24</v>
          </cell>
          <cell r="C33" t="str">
            <v>FLORES PEREZ, Mardonio</v>
          </cell>
          <cell r="D33" t="str">
            <v>AYUDANTE</v>
          </cell>
          <cell r="E33">
            <v>37897</v>
          </cell>
          <cell r="G33">
            <v>20585708</v>
          </cell>
          <cell r="H33">
            <v>28.5</v>
          </cell>
          <cell r="I33">
            <v>3.5625</v>
          </cell>
          <cell r="J33" t="str">
            <v>ONP</v>
          </cell>
          <cell r="K33">
            <v>25</v>
          </cell>
          <cell r="L33">
            <v>5</v>
          </cell>
          <cell r="M33">
            <v>0</v>
          </cell>
          <cell r="N33">
            <v>20</v>
          </cell>
          <cell r="P33">
            <v>712.5</v>
          </cell>
          <cell r="Q33">
            <v>142.5</v>
          </cell>
          <cell r="R33">
            <v>0</v>
          </cell>
          <cell r="S33">
            <v>89.0625</v>
          </cell>
          <cell r="T33">
            <v>0</v>
          </cell>
          <cell r="U33">
            <v>46</v>
          </cell>
          <cell r="V33">
            <v>225</v>
          </cell>
          <cell r="Z33">
            <v>1215.0625</v>
          </cell>
          <cell r="AA33">
            <v>157.958125</v>
          </cell>
          <cell r="AB33">
            <v>0</v>
          </cell>
          <cell r="AC33">
            <v>0</v>
          </cell>
          <cell r="AD33">
            <v>0</v>
          </cell>
          <cell r="AF33">
            <v>157.958125</v>
          </cell>
          <cell r="AH33">
            <v>157.958125</v>
          </cell>
          <cell r="AI33">
            <v>1057.1043749999999</v>
          </cell>
          <cell r="AJ33">
            <v>149</v>
          </cell>
          <cell r="AK33">
            <v>0</v>
          </cell>
          <cell r="AL33">
            <v>149</v>
          </cell>
          <cell r="AM33">
            <v>0</v>
          </cell>
          <cell r="AN33">
            <v>908.10437499999989</v>
          </cell>
          <cell r="AO33">
            <v>109.35562499999999</v>
          </cell>
          <cell r="AP33">
            <v>20.656062500000001</v>
          </cell>
          <cell r="AQ33">
            <v>21.142087499999999</v>
          </cell>
          <cell r="AR33">
            <v>0</v>
          </cell>
          <cell r="AS33">
            <v>33.165130937500003</v>
          </cell>
          <cell r="AT33">
            <v>13.1546</v>
          </cell>
          <cell r="AU33">
            <v>197.47350593749999</v>
          </cell>
          <cell r="AV33">
            <v>1412.5360059375</v>
          </cell>
          <cell r="AW33">
            <v>101.25520833333333</v>
          </cell>
          <cell r="AX33">
            <v>91.539458828125007</v>
          </cell>
          <cell r="AY33">
            <v>190.25600098958333</v>
          </cell>
          <cell r="AZ33">
            <v>383.05066815104169</v>
          </cell>
          <cell r="BA33">
            <v>1795.5866740885417</v>
          </cell>
          <cell r="BB33">
            <v>71.823466963541662</v>
          </cell>
          <cell r="BC33">
            <v>252.01216478435674</v>
          </cell>
          <cell r="BE33">
            <v>24</v>
          </cell>
          <cell r="BF33" t="str">
            <v>FLORES PEREZ, Mardonio</v>
          </cell>
          <cell r="BH33">
            <v>143.5</v>
          </cell>
          <cell r="BJ33">
            <v>5.5</v>
          </cell>
          <cell r="BW33">
            <v>149</v>
          </cell>
          <cell r="BX33">
            <v>149</v>
          </cell>
          <cell r="BY33">
            <v>0</v>
          </cell>
        </row>
        <row r="34">
          <cell r="A34">
            <v>25</v>
          </cell>
          <cell r="B34">
            <v>25</v>
          </cell>
          <cell r="C34" t="str">
            <v>GONZALES LAVY,Jose Luis</v>
          </cell>
          <cell r="D34" t="str">
            <v>PERFORISTA</v>
          </cell>
          <cell r="E34">
            <v>37408</v>
          </cell>
          <cell r="G34">
            <v>16023441</v>
          </cell>
          <cell r="H34">
            <v>31</v>
          </cell>
          <cell r="I34">
            <v>3.875</v>
          </cell>
          <cell r="J34" t="str">
            <v>UNION</v>
          </cell>
          <cell r="K34">
            <v>23</v>
          </cell>
          <cell r="L34">
            <v>4.5</v>
          </cell>
          <cell r="M34">
            <v>0</v>
          </cell>
          <cell r="N34">
            <v>14</v>
          </cell>
          <cell r="P34">
            <v>713</v>
          </cell>
          <cell r="Q34">
            <v>139.5</v>
          </cell>
          <cell r="R34">
            <v>0</v>
          </cell>
          <cell r="S34">
            <v>67.8125</v>
          </cell>
          <cell r="T34">
            <v>0</v>
          </cell>
          <cell r="V34">
            <v>80</v>
          </cell>
          <cell r="Z34">
            <v>1000.3125</v>
          </cell>
          <cell r="AA34">
            <v>0</v>
          </cell>
          <cell r="AB34">
            <v>100.03125</v>
          </cell>
          <cell r="AC34">
            <v>9.002812500000001</v>
          </cell>
          <cell r="AD34">
            <v>22.707093750000002</v>
          </cell>
          <cell r="AF34">
            <v>131.74115625000002</v>
          </cell>
          <cell r="AH34">
            <v>131.74115625000002</v>
          </cell>
          <cell r="AI34">
            <v>868.57134374999998</v>
          </cell>
          <cell r="AJ34">
            <v>38</v>
          </cell>
          <cell r="AK34">
            <v>0</v>
          </cell>
          <cell r="AL34">
            <v>38</v>
          </cell>
          <cell r="AM34">
            <v>0</v>
          </cell>
          <cell r="AN34">
            <v>830.57134374999998</v>
          </cell>
          <cell r="AO34">
            <v>90.028125000000003</v>
          </cell>
          <cell r="AP34">
            <v>17.005312500000002</v>
          </cell>
          <cell r="AQ34">
            <v>17.405437499999998</v>
          </cell>
          <cell r="AR34">
            <v>20.006250000000001</v>
          </cell>
          <cell r="AS34">
            <v>27.303529687499999</v>
          </cell>
          <cell r="AT34">
            <v>12.4465</v>
          </cell>
          <cell r="AU34">
            <v>184.19515468750001</v>
          </cell>
          <cell r="AV34">
            <v>1184.5076546875</v>
          </cell>
          <cell r="AW34">
            <v>83.359375</v>
          </cell>
          <cell r="AX34">
            <v>86.391262890625001</v>
          </cell>
          <cell r="AY34">
            <v>184.08460911458334</v>
          </cell>
          <cell r="AZ34">
            <v>353.83524700520832</v>
          </cell>
          <cell r="BA34">
            <v>1538.3429016927084</v>
          </cell>
          <cell r="BB34">
            <v>66.884473986639492</v>
          </cell>
          <cell r="BC34">
            <v>215.7563676988371</v>
          </cell>
          <cell r="BE34">
            <v>25</v>
          </cell>
          <cell r="BF34" t="str">
            <v>GONZALES LAVY,Jose Luis</v>
          </cell>
          <cell r="BJ34">
            <v>13</v>
          </cell>
          <cell r="BS34">
            <v>25</v>
          </cell>
          <cell r="BW34">
            <v>38</v>
          </cell>
          <cell r="BX34">
            <v>38</v>
          </cell>
          <cell r="BY34">
            <v>0</v>
          </cell>
        </row>
        <row r="35">
          <cell r="A35">
            <v>26</v>
          </cell>
          <cell r="B35">
            <v>26</v>
          </cell>
          <cell r="C35" t="str">
            <v xml:space="preserve">GUILLEN QUICAÑA, Froylan </v>
          </cell>
          <cell r="D35" t="str">
            <v>AYUDANTE</v>
          </cell>
          <cell r="E35">
            <v>37666</v>
          </cell>
          <cell r="G35">
            <v>42152012</v>
          </cell>
          <cell r="H35">
            <v>28.5</v>
          </cell>
          <cell r="I35">
            <v>3.5625</v>
          </cell>
          <cell r="J35" t="str">
            <v>PROFUTURO</v>
          </cell>
          <cell r="K35">
            <v>24</v>
          </cell>
          <cell r="L35">
            <v>4.75</v>
          </cell>
          <cell r="M35">
            <v>0</v>
          </cell>
          <cell r="N35">
            <v>17</v>
          </cell>
          <cell r="P35">
            <v>684</v>
          </cell>
          <cell r="Q35">
            <v>135.375</v>
          </cell>
          <cell r="R35">
            <v>0</v>
          </cell>
          <cell r="S35">
            <v>75.703125</v>
          </cell>
          <cell r="T35">
            <v>0</v>
          </cell>
          <cell r="Z35">
            <v>895.078125</v>
          </cell>
          <cell r="AA35">
            <v>0</v>
          </cell>
          <cell r="AB35">
            <v>89.5078125</v>
          </cell>
          <cell r="AC35">
            <v>9.1297968750000003</v>
          </cell>
          <cell r="AD35">
            <v>21.929414062500001</v>
          </cell>
          <cell r="AF35">
            <v>120.5670234375</v>
          </cell>
          <cell r="AH35">
            <v>120.5670234375</v>
          </cell>
          <cell r="AI35">
            <v>774.51110156250002</v>
          </cell>
          <cell r="AJ35">
            <v>387.5</v>
          </cell>
          <cell r="AK35">
            <v>0</v>
          </cell>
          <cell r="AL35">
            <v>387.5</v>
          </cell>
          <cell r="AM35">
            <v>7</v>
          </cell>
          <cell r="AN35">
            <v>380.01110156250002</v>
          </cell>
          <cell r="AO35">
            <v>80.557031249999994</v>
          </cell>
          <cell r="AP35">
            <v>15.216328125</v>
          </cell>
          <cell r="AQ35">
            <v>15.574359374999998</v>
          </cell>
          <cell r="AR35">
            <v>17.901562500000001</v>
          </cell>
          <cell r="AS35">
            <v>24.431157421875</v>
          </cell>
          <cell r="AT35">
            <v>11.962875</v>
          </cell>
          <cell r="AU35">
            <v>165.64331367187498</v>
          </cell>
          <cell r="AV35">
            <v>1060.7214386718749</v>
          </cell>
          <cell r="AW35">
            <v>74.58984375</v>
          </cell>
          <cell r="AX35">
            <v>82.084859472656248</v>
          </cell>
          <cell r="AY35">
            <v>176.7869064453125</v>
          </cell>
          <cell r="AZ35">
            <v>333.46160966796879</v>
          </cell>
          <cell r="BA35">
            <v>1394.1830483398437</v>
          </cell>
          <cell r="BB35">
            <v>58.090960347493485</v>
          </cell>
          <cell r="BC35">
            <v>203.8279310438368</v>
          </cell>
          <cell r="BE35">
            <v>26</v>
          </cell>
          <cell r="BF35" t="str">
            <v xml:space="preserve">GUILLEN QUICAÑA, Froylan </v>
          </cell>
          <cell r="BI35">
            <v>171</v>
          </cell>
          <cell r="BK35">
            <v>3</v>
          </cell>
          <cell r="BM35">
            <v>17</v>
          </cell>
          <cell r="BN35">
            <v>136</v>
          </cell>
          <cell r="BO35">
            <v>19.5</v>
          </cell>
          <cell r="BQ35">
            <v>22</v>
          </cell>
          <cell r="BR35">
            <v>19</v>
          </cell>
          <cell r="BW35">
            <v>387.5</v>
          </cell>
          <cell r="BX35">
            <v>387.5</v>
          </cell>
          <cell r="BY35">
            <v>0</v>
          </cell>
        </row>
        <row r="36">
          <cell r="A36">
            <v>27</v>
          </cell>
          <cell r="B36">
            <v>27</v>
          </cell>
          <cell r="C36" t="str">
            <v>GUZMAN ICHPAS, Eliseo</v>
          </cell>
          <cell r="D36" t="str">
            <v>AYUDANTE</v>
          </cell>
          <cell r="E36">
            <v>37627</v>
          </cell>
          <cell r="G36">
            <v>41328475</v>
          </cell>
          <cell r="H36">
            <v>28.5</v>
          </cell>
          <cell r="I36">
            <v>3.5625</v>
          </cell>
          <cell r="J36" t="str">
            <v>PROFUTURO</v>
          </cell>
          <cell r="K36">
            <v>25</v>
          </cell>
          <cell r="L36">
            <v>5</v>
          </cell>
          <cell r="M36">
            <v>0</v>
          </cell>
          <cell r="N36">
            <v>20</v>
          </cell>
          <cell r="P36">
            <v>712.5</v>
          </cell>
          <cell r="Q36">
            <v>142.5</v>
          </cell>
          <cell r="R36">
            <v>0</v>
          </cell>
          <cell r="S36">
            <v>89.0625</v>
          </cell>
          <cell r="T36">
            <v>0</v>
          </cell>
          <cell r="U36">
            <v>46</v>
          </cell>
          <cell r="Z36">
            <v>990.0625</v>
          </cell>
          <cell r="AA36">
            <v>0</v>
          </cell>
          <cell r="AB36">
            <v>99.006250000000009</v>
          </cell>
          <cell r="AC36">
            <v>10.098637500000001</v>
          </cell>
          <cell r="AD36">
            <v>24.256531250000002</v>
          </cell>
          <cell r="AF36">
            <v>133.36141875000001</v>
          </cell>
          <cell r="AH36">
            <v>133.36141875000001</v>
          </cell>
          <cell r="AI36">
            <v>856.70108125000002</v>
          </cell>
          <cell r="AJ36">
            <v>12</v>
          </cell>
          <cell r="AK36">
            <v>0</v>
          </cell>
          <cell r="AL36">
            <v>12</v>
          </cell>
          <cell r="AM36">
            <v>5</v>
          </cell>
          <cell r="AN36">
            <v>839.70108125000002</v>
          </cell>
          <cell r="AO36">
            <v>89.105625000000003</v>
          </cell>
          <cell r="AP36">
            <v>16.831062500000002</v>
          </cell>
          <cell r="AQ36">
            <v>17.2270875</v>
          </cell>
          <cell r="AR36">
            <v>19.80125</v>
          </cell>
          <cell r="AS36">
            <v>27.023755937499999</v>
          </cell>
          <cell r="AT36">
            <v>13.1546</v>
          </cell>
          <cell r="AU36">
            <v>183.14338093749998</v>
          </cell>
          <cell r="AV36">
            <v>1173.2058809375001</v>
          </cell>
          <cell r="AW36">
            <v>82.505208333333329</v>
          </cell>
          <cell r="AX36">
            <v>90.345281744791677</v>
          </cell>
          <cell r="AY36">
            <v>187.86764682291667</v>
          </cell>
          <cell r="AZ36">
            <v>360.7181369010417</v>
          </cell>
          <cell r="BA36">
            <v>1533.9240178385417</v>
          </cell>
          <cell r="BB36">
            <v>61.356960713541667</v>
          </cell>
          <cell r="BC36">
            <v>215.28758145102339</v>
          </cell>
          <cell r="BE36">
            <v>27</v>
          </cell>
          <cell r="BF36" t="str">
            <v>GUZMAN ICHPAS, Eliseo</v>
          </cell>
          <cell r="BQ36">
            <v>12</v>
          </cell>
          <cell r="BW36">
            <v>12</v>
          </cell>
          <cell r="BX36">
            <v>12</v>
          </cell>
          <cell r="BY36">
            <v>0</v>
          </cell>
        </row>
        <row r="37">
          <cell r="A37">
            <v>28</v>
          </cell>
          <cell r="B37">
            <v>28</v>
          </cell>
          <cell r="C37" t="str">
            <v>HERNANDEZ MORALES, Juan</v>
          </cell>
          <cell r="D37" t="str">
            <v>PEON</v>
          </cell>
          <cell r="E37">
            <v>35712</v>
          </cell>
          <cell r="G37">
            <v>23530966</v>
          </cell>
          <cell r="H37">
            <v>26.5</v>
          </cell>
          <cell r="I37">
            <v>3.3125</v>
          </cell>
          <cell r="J37" t="str">
            <v>ONP</v>
          </cell>
          <cell r="K37">
            <v>25</v>
          </cell>
          <cell r="L37">
            <v>5</v>
          </cell>
          <cell r="M37">
            <v>0</v>
          </cell>
          <cell r="N37">
            <v>20</v>
          </cell>
          <cell r="P37">
            <v>662.5</v>
          </cell>
          <cell r="Q37">
            <v>132.5</v>
          </cell>
          <cell r="R37">
            <v>0</v>
          </cell>
          <cell r="S37">
            <v>82.8125</v>
          </cell>
          <cell r="T37">
            <v>0</v>
          </cell>
          <cell r="U37">
            <v>46</v>
          </cell>
          <cell r="Z37">
            <v>923.8125</v>
          </cell>
          <cell r="AA37">
            <v>120.095625</v>
          </cell>
          <cell r="AB37">
            <v>0</v>
          </cell>
          <cell r="AC37">
            <v>0</v>
          </cell>
          <cell r="AD37">
            <v>0</v>
          </cell>
          <cell r="AF37">
            <v>120.095625</v>
          </cell>
          <cell r="AH37">
            <v>120.095625</v>
          </cell>
          <cell r="AI37">
            <v>803.71687499999996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803.71687499999996</v>
          </cell>
          <cell r="AO37">
            <v>83.143124999999998</v>
          </cell>
          <cell r="AP37">
            <v>15.704812500000001</v>
          </cell>
          <cell r="AQ37">
            <v>16.074337499999999</v>
          </cell>
          <cell r="AR37">
            <v>0</v>
          </cell>
          <cell r="AS37">
            <v>25.215462187500002</v>
          </cell>
          <cell r="AT37">
            <v>12.278600000000001</v>
          </cell>
          <cell r="AU37">
            <v>152.41633718750001</v>
          </cell>
          <cell r="AV37">
            <v>1076.2288371874999</v>
          </cell>
          <cell r="AW37">
            <v>76.984375</v>
          </cell>
          <cell r="AX37">
            <v>82.784694765624991</v>
          </cell>
          <cell r="AY37">
            <v>171.70480619791667</v>
          </cell>
          <cell r="AZ37">
            <v>331.47387596354167</v>
          </cell>
          <cell r="BA37">
            <v>1407.7027131510417</v>
          </cell>
          <cell r="BB37">
            <v>56.308108526041671</v>
          </cell>
          <cell r="BC37">
            <v>212.48342840015724</v>
          </cell>
          <cell r="BE37">
            <v>28</v>
          </cell>
          <cell r="BF37" t="str">
            <v>HERNANDEZ MORALES, Juan</v>
          </cell>
          <cell r="BW37">
            <v>0</v>
          </cell>
          <cell r="BX37">
            <v>0</v>
          </cell>
          <cell r="BY37">
            <v>0</v>
          </cell>
        </row>
        <row r="38">
          <cell r="A38">
            <v>29</v>
          </cell>
          <cell r="B38">
            <v>29</v>
          </cell>
          <cell r="C38" t="str">
            <v>HIDALGO MARIN, Martin Modesto</v>
          </cell>
          <cell r="D38" t="str">
            <v>PERFORISTA</v>
          </cell>
          <cell r="E38">
            <v>37926</v>
          </cell>
          <cell r="G38" t="str">
            <v>02398388</v>
          </cell>
          <cell r="H38">
            <v>31</v>
          </cell>
          <cell r="I38">
            <v>3.875</v>
          </cell>
          <cell r="J38" t="str">
            <v>INTEGRA</v>
          </cell>
          <cell r="K38">
            <v>25</v>
          </cell>
          <cell r="L38">
            <v>5</v>
          </cell>
          <cell r="M38">
            <v>0</v>
          </cell>
          <cell r="N38">
            <v>20</v>
          </cell>
          <cell r="P38">
            <v>775</v>
          </cell>
          <cell r="Q38">
            <v>155</v>
          </cell>
          <cell r="R38">
            <v>0</v>
          </cell>
          <cell r="S38">
            <v>96.875</v>
          </cell>
          <cell r="T38">
            <v>0</v>
          </cell>
          <cell r="V38">
            <v>300</v>
          </cell>
          <cell r="Z38">
            <v>1326.875</v>
          </cell>
          <cell r="AA38">
            <v>0</v>
          </cell>
          <cell r="AB38">
            <v>132.6875</v>
          </cell>
          <cell r="AC38">
            <v>11.676500000000001</v>
          </cell>
          <cell r="AD38">
            <v>27.864375000000003</v>
          </cell>
          <cell r="AF38">
            <v>172.228375</v>
          </cell>
          <cell r="AH38">
            <v>172.228375</v>
          </cell>
          <cell r="AI38">
            <v>1154.6466250000001</v>
          </cell>
          <cell r="AJ38">
            <v>273</v>
          </cell>
          <cell r="AK38">
            <v>0</v>
          </cell>
          <cell r="AL38">
            <v>273</v>
          </cell>
          <cell r="AM38">
            <v>0</v>
          </cell>
          <cell r="AN38">
            <v>881.64662500000009</v>
          </cell>
          <cell r="AO38">
            <v>119.41874999999999</v>
          </cell>
          <cell r="AP38">
            <v>22.556875000000002</v>
          </cell>
          <cell r="AQ38">
            <v>23.087624999999999</v>
          </cell>
          <cell r="AR38">
            <v>26.537500000000001</v>
          </cell>
          <cell r="AS38">
            <v>36.217053125</v>
          </cell>
          <cell r="AT38">
            <v>13.577999999999999</v>
          </cell>
          <cell r="AU38">
            <v>241.39580312499999</v>
          </cell>
          <cell r="AV38">
            <v>1568.2708031249999</v>
          </cell>
          <cell r="AW38">
            <v>110.57291666666667</v>
          </cell>
          <cell r="AX38">
            <v>97.616316927083332</v>
          </cell>
          <cell r="AY38">
            <v>211.37846718749998</v>
          </cell>
          <cell r="AZ38">
            <v>419.56770078124998</v>
          </cell>
          <cell r="BA38">
            <v>1987.83850390625</v>
          </cell>
          <cell r="BB38">
            <v>79.513540156250002</v>
          </cell>
          <cell r="BC38">
            <v>256.49529082661292</v>
          </cell>
          <cell r="BE38">
            <v>29</v>
          </cell>
          <cell r="BF38" t="str">
            <v>HIDALGO MARIN, Martin Modesto</v>
          </cell>
          <cell r="BL38">
            <v>205</v>
          </cell>
          <cell r="BM38">
            <v>8</v>
          </cell>
          <cell r="BQ38">
            <v>60</v>
          </cell>
          <cell r="BW38">
            <v>273</v>
          </cell>
          <cell r="BX38">
            <v>273</v>
          </cell>
          <cell r="BY38">
            <v>0</v>
          </cell>
        </row>
        <row r="39">
          <cell r="A39">
            <v>30</v>
          </cell>
          <cell r="B39">
            <v>30</v>
          </cell>
          <cell r="C39" t="str">
            <v>HIDALGO QUISPE,Antonio Teodoro</v>
          </cell>
          <cell r="D39" t="str">
            <v>AYUDANTE</v>
          </cell>
          <cell r="E39">
            <v>38123</v>
          </cell>
          <cell r="G39" t="str">
            <v>02398223</v>
          </cell>
          <cell r="H39">
            <v>28.5</v>
          </cell>
          <cell r="I39">
            <v>3.5625</v>
          </cell>
          <cell r="J39" t="str">
            <v>HORIZONTE</v>
          </cell>
          <cell r="K39">
            <v>25</v>
          </cell>
          <cell r="L39">
            <v>5</v>
          </cell>
          <cell r="M39">
            <v>0</v>
          </cell>
          <cell r="N39">
            <v>20</v>
          </cell>
          <cell r="P39">
            <v>712.5</v>
          </cell>
          <cell r="Q39">
            <v>142.5</v>
          </cell>
          <cell r="R39">
            <v>0</v>
          </cell>
          <cell r="S39">
            <v>89.0625</v>
          </cell>
          <cell r="T39">
            <v>0</v>
          </cell>
          <cell r="Z39">
            <v>944.0625</v>
          </cell>
          <cell r="AA39">
            <v>0</v>
          </cell>
          <cell r="AB39">
            <v>94.40625</v>
          </cell>
          <cell r="AC39">
            <v>8.4021562499999991</v>
          </cell>
          <cell r="AD39">
            <v>21.241406250000001</v>
          </cell>
          <cell r="AF39">
            <v>124.0498125</v>
          </cell>
          <cell r="AH39">
            <v>124.0498125</v>
          </cell>
          <cell r="AI39">
            <v>820.01268749999997</v>
          </cell>
          <cell r="AJ39">
            <v>263.8</v>
          </cell>
          <cell r="AK39">
            <v>0</v>
          </cell>
          <cell r="AL39">
            <v>263.8</v>
          </cell>
          <cell r="AM39">
            <v>0</v>
          </cell>
          <cell r="AN39">
            <v>556.2126874999999</v>
          </cell>
          <cell r="AO39">
            <v>84.965625000000003</v>
          </cell>
          <cell r="AP39">
            <v>16.049062500000002</v>
          </cell>
          <cell r="AQ39">
            <v>16.4266875</v>
          </cell>
          <cell r="AR39">
            <v>18.881250000000001</v>
          </cell>
          <cell r="AS39">
            <v>25.768185937499997</v>
          </cell>
          <cell r="AT39">
            <v>12.483000000000001</v>
          </cell>
          <cell r="AU39">
            <v>174.57381093750001</v>
          </cell>
          <cell r="AV39">
            <v>1118.6363109375</v>
          </cell>
          <cell r="AW39">
            <v>78.671875</v>
          </cell>
          <cell r="AX39">
            <v>85.797817578124992</v>
          </cell>
          <cell r="AY39">
            <v>186.43938515624998</v>
          </cell>
          <cell r="AZ39">
            <v>350.90907773437493</v>
          </cell>
          <cell r="BA39">
            <v>1469.5453886718749</v>
          </cell>
          <cell r="BB39">
            <v>58.781815546874995</v>
          </cell>
          <cell r="BC39">
            <v>206.25198437499995</v>
          </cell>
          <cell r="BE39">
            <v>30</v>
          </cell>
          <cell r="BF39" t="str">
            <v>HIDALGO QUISPE, Antonio Teodoro</v>
          </cell>
          <cell r="BH39">
            <v>247.5</v>
          </cell>
          <cell r="BM39">
            <v>16.3</v>
          </cell>
          <cell r="BW39">
            <v>263.8</v>
          </cell>
          <cell r="BX39">
            <v>263.8</v>
          </cell>
          <cell r="BY39">
            <v>0</v>
          </cell>
        </row>
        <row r="40">
          <cell r="A40">
            <v>31</v>
          </cell>
          <cell r="B40">
            <v>31</v>
          </cell>
          <cell r="C40" t="str">
            <v>HUACHO ICHPAS, Edgar</v>
          </cell>
          <cell r="D40" t="str">
            <v>AYUDANTE</v>
          </cell>
          <cell r="E40">
            <v>37728</v>
          </cell>
          <cell r="G40">
            <v>40738938</v>
          </cell>
          <cell r="H40">
            <v>28.5</v>
          </cell>
          <cell r="I40">
            <v>3.5625</v>
          </cell>
          <cell r="J40" t="str">
            <v>INTEGRA</v>
          </cell>
          <cell r="K40">
            <v>25</v>
          </cell>
          <cell r="L40">
            <v>5</v>
          </cell>
          <cell r="M40">
            <v>0</v>
          </cell>
          <cell r="N40">
            <v>20</v>
          </cell>
          <cell r="P40">
            <v>712.5</v>
          </cell>
          <cell r="Q40">
            <v>142.5</v>
          </cell>
          <cell r="R40">
            <v>0</v>
          </cell>
          <cell r="S40">
            <v>89.0625</v>
          </cell>
          <cell r="T40">
            <v>0</v>
          </cell>
          <cell r="U40">
            <v>46</v>
          </cell>
          <cell r="V40">
            <v>225</v>
          </cell>
          <cell r="W40">
            <v>901</v>
          </cell>
          <cell r="Z40">
            <v>2116.0625</v>
          </cell>
          <cell r="AA40">
            <v>0</v>
          </cell>
          <cell r="AB40">
            <v>211.60625000000002</v>
          </cell>
          <cell r="AC40">
            <v>18.62135</v>
          </cell>
          <cell r="AD40">
            <v>44.437312500000004</v>
          </cell>
          <cell r="AF40">
            <v>274.66491250000001</v>
          </cell>
          <cell r="AG40">
            <v>784.05</v>
          </cell>
          <cell r="AH40">
            <v>1058.7149125000001</v>
          </cell>
          <cell r="AI40">
            <v>1057.3475874999999</v>
          </cell>
          <cell r="AJ40">
            <v>65.3</v>
          </cell>
          <cell r="AK40">
            <v>0</v>
          </cell>
          <cell r="AL40">
            <v>65.3</v>
          </cell>
          <cell r="AM40">
            <v>0</v>
          </cell>
          <cell r="AN40">
            <v>992.04758749999996</v>
          </cell>
          <cell r="AO40">
            <v>190.44562500000001</v>
          </cell>
          <cell r="AP40">
            <v>35.973062500000005</v>
          </cell>
          <cell r="AQ40">
            <v>36.819487499999994</v>
          </cell>
          <cell r="AR40">
            <v>42.321249999999999</v>
          </cell>
          <cell r="AS40">
            <v>57.757925937500005</v>
          </cell>
          <cell r="AT40">
            <v>13.1546</v>
          </cell>
          <cell r="AU40">
            <v>376.47195093750003</v>
          </cell>
          <cell r="AV40">
            <v>2492.5344509375</v>
          </cell>
          <cell r="AW40">
            <v>176.33854166666666</v>
          </cell>
          <cell r="AX40">
            <v>106.45599591145833</v>
          </cell>
          <cell r="AY40">
            <v>220.08907515625</v>
          </cell>
          <cell r="AZ40">
            <v>502.88361273437499</v>
          </cell>
          <cell r="BA40">
            <v>2995.4180636718747</v>
          </cell>
          <cell r="BB40">
            <v>119.81672254687498</v>
          </cell>
          <cell r="BC40">
            <v>420.40955279605259</v>
          </cell>
          <cell r="BE40">
            <v>31</v>
          </cell>
          <cell r="BF40" t="str">
            <v>HUACHO ICHPAS, Edgar</v>
          </cell>
          <cell r="BO40">
            <v>17</v>
          </cell>
          <cell r="BQ40">
            <v>31.9</v>
          </cell>
          <cell r="BR40">
            <v>16.399999999999999</v>
          </cell>
          <cell r="BW40">
            <v>65.3</v>
          </cell>
          <cell r="BX40">
            <v>65.3</v>
          </cell>
          <cell r="BY40">
            <v>0</v>
          </cell>
        </row>
        <row r="41">
          <cell r="A41">
            <v>32</v>
          </cell>
          <cell r="B41">
            <v>32</v>
          </cell>
          <cell r="C41" t="str">
            <v>HUAMANCAYO HUINCHO, Christian</v>
          </cell>
          <cell r="D41" t="str">
            <v>AYUDANTE</v>
          </cell>
          <cell r="E41">
            <v>38157</v>
          </cell>
          <cell r="G41" t="str">
            <v>23471652</v>
          </cell>
          <cell r="H41">
            <v>28.5</v>
          </cell>
          <cell r="I41">
            <v>3.5625</v>
          </cell>
          <cell r="J41" t="str">
            <v>INTEGRA</v>
          </cell>
          <cell r="K41">
            <v>9</v>
          </cell>
          <cell r="L41">
            <v>1</v>
          </cell>
          <cell r="M41">
            <v>0</v>
          </cell>
          <cell r="N41">
            <v>0</v>
          </cell>
          <cell r="P41">
            <v>256.5</v>
          </cell>
          <cell r="Q41">
            <v>28.5</v>
          </cell>
          <cell r="R41">
            <v>0</v>
          </cell>
          <cell r="S41">
            <v>0</v>
          </cell>
          <cell r="T41">
            <v>0</v>
          </cell>
          <cell r="Z41">
            <v>285</v>
          </cell>
          <cell r="AA41">
            <v>0</v>
          </cell>
          <cell r="AB41">
            <v>28.5</v>
          </cell>
          <cell r="AC41">
            <v>2.508</v>
          </cell>
          <cell r="AD41">
            <v>5.9850000000000003</v>
          </cell>
          <cell r="AF41">
            <v>36.993000000000002</v>
          </cell>
          <cell r="AH41">
            <v>36.993000000000002</v>
          </cell>
          <cell r="AI41">
            <v>248.00700000000001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248.00700000000001</v>
          </cell>
          <cell r="AO41">
            <v>25.65</v>
          </cell>
          <cell r="AP41">
            <v>4.8450000000000006</v>
          </cell>
          <cell r="AQ41">
            <v>4.9589999999999996</v>
          </cell>
          <cell r="AR41">
            <v>5.7</v>
          </cell>
          <cell r="AS41">
            <v>7.7790750000000006</v>
          </cell>
          <cell r="AT41">
            <v>4.1610000000000005</v>
          </cell>
          <cell r="AU41">
            <v>53.094074999999997</v>
          </cell>
          <cell r="AV41">
            <v>338.09407499999998</v>
          </cell>
          <cell r="AW41">
            <v>23.75</v>
          </cell>
          <cell r="AX41">
            <v>28.174506249999997</v>
          </cell>
          <cell r="AY41">
            <v>56.349012499999994</v>
          </cell>
          <cell r="AZ41">
            <v>108.27351874999999</v>
          </cell>
          <cell r="BA41">
            <v>446.36759374999997</v>
          </cell>
          <cell r="BB41">
            <v>49.596399305555551</v>
          </cell>
          <cell r="BC41">
            <v>174.02245370370369</v>
          </cell>
          <cell r="BE41">
            <v>32</v>
          </cell>
          <cell r="BF41" t="str">
            <v>HUAMANCAYO HUINCHO, Christian</v>
          </cell>
          <cell r="BW41">
            <v>0</v>
          </cell>
          <cell r="BX41">
            <v>0</v>
          </cell>
          <cell r="BY41">
            <v>0</v>
          </cell>
        </row>
        <row r="42">
          <cell r="A42">
            <v>33</v>
          </cell>
          <cell r="B42">
            <v>33</v>
          </cell>
          <cell r="C42" t="str">
            <v>HUAMANI AYALA,Wilmer Arturo</v>
          </cell>
          <cell r="D42" t="str">
            <v>AYUDANTE</v>
          </cell>
          <cell r="E42">
            <v>38108</v>
          </cell>
          <cell r="G42" t="str">
            <v>29082058</v>
          </cell>
          <cell r="H42">
            <v>28.5</v>
          </cell>
          <cell r="I42">
            <v>3.5625</v>
          </cell>
          <cell r="J42" t="str">
            <v>ONP</v>
          </cell>
          <cell r="K42">
            <v>25</v>
          </cell>
          <cell r="L42">
            <v>5</v>
          </cell>
          <cell r="M42">
            <v>0</v>
          </cell>
          <cell r="N42">
            <v>20</v>
          </cell>
          <cell r="P42">
            <v>712.5</v>
          </cell>
          <cell r="Q42">
            <v>142.5</v>
          </cell>
          <cell r="R42">
            <v>0</v>
          </cell>
          <cell r="S42">
            <v>89.0625</v>
          </cell>
          <cell r="T42">
            <v>0</v>
          </cell>
          <cell r="Z42">
            <v>944.0625</v>
          </cell>
          <cell r="AA42">
            <v>122.72812500000001</v>
          </cell>
          <cell r="AB42">
            <v>0</v>
          </cell>
          <cell r="AC42">
            <v>0</v>
          </cell>
          <cell r="AD42">
            <v>0</v>
          </cell>
          <cell r="AF42">
            <v>122.72812500000001</v>
          </cell>
          <cell r="AH42">
            <v>122.72812500000001</v>
          </cell>
          <cell r="AI42">
            <v>821.33437500000002</v>
          </cell>
          <cell r="AJ42">
            <v>15</v>
          </cell>
          <cell r="AK42">
            <v>7</v>
          </cell>
          <cell r="AL42">
            <v>22</v>
          </cell>
          <cell r="AM42">
            <v>0</v>
          </cell>
          <cell r="AN42">
            <v>799.33437500000002</v>
          </cell>
          <cell r="AO42">
            <v>84.965625000000003</v>
          </cell>
          <cell r="AP42">
            <v>16.049062500000002</v>
          </cell>
          <cell r="AQ42">
            <v>16.4266875</v>
          </cell>
          <cell r="AR42">
            <v>0</v>
          </cell>
          <cell r="AS42">
            <v>25.768185937499997</v>
          </cell>
          <cell r="AT42">
            <v>12.483000000000001</v>
          </cell>
          <cell r="AU42">
            <v>155.69256093750002</v>
          </cell>
          <cell r="AV42">
            <v>1099.7550609375</v>
          </cell>
          <cell r="AW42">
            <v>78.671875</v>
          </cell>
          <cell r="AX42">
            <v>84.224380078125009</v>
          </cell>
          <cell r="AY42">
            <v>183.29251015625002</v>
          </cell>
          <cell r="AZ42">
            <v>346.18876523437507</v>
          </cell>
          <cell r="BA42">
            <v>1445.9438261718751</v>
          </cell>
          <cell r="BB42">
            <v>57.837753046875008</v>
          </cell>
          <cell r="BC42">
            <v>202.93948437500003</v>
          </cell>
          <cell r="BE42">
            <v>33</v>
          </cell>
          <cell r="BF42" t="str">
            <v>HUAMANI AYALA, Wilmer Arturo</v>
          </cell>
          <cell r="BM42">
            <v>15</v>
          </cell>
          <cell r="BW42">
            <v>15</v>
          </cell>
          <cell r="BX42">
            <v>15</v>
          </cell>
          <cell r="BY42">
            <v>0</v>
          </cell>
        </row>
        <row r="43">
          <cell r="A43">
            <v>34</v>
          </cell>
          <cell r="B43">
            <v>34</v>
          </cell>
          <cell r="C43" t="str">
            <v>HUARCAYA APARCO, Mario</v>
          </cell>
          <cell r="D43" t="str">
            <v>AYUDANTE</v>
          </cell>
          <cell r="E43">
            <v>37818</v>
          </cell>
          <cell r="G43">
            <v>40199043</v>
          </cell>
          <cell r="H43">
            <v>28.5</v>
          </cell>
          <cell r="I43">
            <v>3.5625</v>
          </cell>
          <cell r="J43" t="str">
            <v>PROFUTURO</v>
          </cell>
          <cell r="K43">
            <v>21</v>
          </cell>
          <cell r="L43">
            <v>4</v>
          </cell>
          <cell r="M43">
            <v>2</v>
          </cell>
          <cell r="N43">
            <v>8</v>
          </cell>
          <cell r="P43">
            <v>598.5</v>
          </cell>
          <cell r="Q43">
            <v>114</v>
          </cell>
          <cell r="R43">
            <v>57</v>
          </cell>
          <cell r="S43">
            <v>35.625</v>
          </cell>
          <cell r="T43">
            <v>0</v>
          </cell>
          <cell r="U43">
            <v>41.400000000000006</v>
          </cell>
          <cell r="V43">
            <v>80</v>
          </cell>
          <cell r="Z43">
            <v>926.52499999999998</v>
          </cell>
          <cell r="AA43">
            <v>0</v>
          </cell>
          <cell r="AB43">
            <v>92.652500000000003</v>
          </cell>
          <cell r="AC43">
            <v>9.4505549999999996</v>
          </cell>
          <cell r="AD43">
            <v>22.699862500000002</v>
          </cell>
          <cell r="AF43">
            <v>124.80291750000001</v>
          </cell>
          <cell r="AH43">
            <v>124.80291750000001</v>
          </cell>
          <cell r="AI43">
            <v>801.72208249999994</v>
          </cell>
          <cell r="AJ43">
            <v>373.7</v>
          </cell>
          <cell r="AK43">
            <v>0</v>
          </cell>
          <cell r="AL43">
            <v>373.7</v>
          </cell>
          <cell r="AM43">
            <v>7</v>
          </cell>
          <cell r="AN43">
            <v>421.02208249999995</v>
          </cell>
          <cell r="AO43">
            <v>83.387249999999995</v>
          </cell>
          <cell r="AP43">
            <v>15.750925000000001</v>
          </cell>
          <cell r="AQ43">
            <v>16.121534999999998</v>
          </cell>
          <cell r="AR43">
            <v>18.5305</v>
          </cell>
          <cell r="AS43">
            <v>25.289499874999997</v>
          </cell>
          <cell r="AT43">
            <v>11.83914</v>
          </cell>
          <cell r="AU43">
            <v>170.91884987499998</v>
          </cell>
          <cell r="AV43">
            <v>1097.4438498750001</v>
          </cell>
          <cell r="AW43">
            <v>77.21041666666666</v>
          </cell>
          <cell r="AX43">
            <v>81.818237489583325</v>
          </cell>
          <cell r="AY43">
            <v>162.67397497916667</v>
          </cell>
          <cell r="AZ43">
            <v>321.70262913541666</v>
          </cell>
          <cell r="BA43">
            <v>1419.1464790104167</v>
          </cell>
          <cell r="BB43">
            <v>67.578403762400796</v>
          </cell>
          <cell r="BC43">
            <v>237.11720618386244</v>
          </cell>
          <cell r="BE43">
            <v>34</v>
          </cell>
          <cell r="BF43" t="str">
            <v>HUARCAYA APARCO, Mario</v>
          </cell>
          <cell r="BG43">
            <v>30</v>
          </cell>
          <cell r="BI43">
            <v>0</v>
          </cell>
          <cell r="BJ43">
            <v>11</v>
          </cell>
          <cell r="BL43">
            <v>291.7</v>
          </cell>
          <cell r="BM43">
            <v>19.5</v>
          </cell>
          <cell r="BO43">
            <v>5.7</v>
          </cell>
          <cell r="BR43">
            <v>15.8</v>
          </cell>
          <cell r="BW43">
            <v>373.7</v>
          </cell>
          <cell r="BX43">
            <v>373.7</v>
          </cell>
          <cell r="BY43">
            <v>0</v>
          </cell>
        </row>
        <row r="44">
          <cell r="A44">
            <v>35</v>
          </cell>
          <cell r="B44">
            <v>35</v>
          </cell>
          <cell r="C44" t="str">
            <v>HUARICALLO MAYTA, Angel</v>
          </cell>
          <cell r="D44" t="str">
            <v>AYUDANTE</v>
          </cell>
          <cell r="E44">
            <v>38157</v>
          </cell>
          <cell r="G44" t="str">
            <v>01559578</v>
          </cell>
          <cell r="H44">
            <v>28.5</v>
          </cell>
          <cell r="I44">
            <v>3.5625</v>
          </cell>
          <cell r="J44" t="str">
            <v>PROFUTURO</v>
          </cell>
          <cell r="K44">
            <v>9</v>
          </cell>
          <cell r="L44">
            <v>1</v>
          </cell>
          <cell r="M44">
            <v>0</v>
          </cell>
          <cell r="N44">
            <v>0</v>
          </cell>
          <cell r="P44">
            <v>256.5</v>
          </cell>
          <cell r="Q44">
            <v>28.5</v>
          </cell>
          <cell r="R44">
            <v>0</v>
          </cell>
          <cell r="S44">
            <v>0</v>
          </cell>
          <cell r="T44">
            <v>0</v>
          </cell>
          <cell r="Z44">
            <v>285</v>
          </cell>
          <cell r="AA44">
            <v>0</v>
          </cell>
          <cell r="AB44">
            <v>28.5</v>
          </cell>
          <cell r="AC44">
            <v>2.907</v>
          </cell>
          <cell r="AD44">
            <v>6.9824999999999999</v>
          </cell>
          <cell r="AF44">
            <v>38.389499999999998</v>
          </cell>
          <cell r="AH44">
            <v>38.389499999999998</v>
          </cell>
          <cell r="AI44">
            <v>246.6105</v>
          </cell>
          <cell r="AJ44">
            <v>93</v>
          </cell>
          <cell r="AK44">
            <v>0</v>
          </cell>
          <cell r="AL44">
            <v>93</v>
          </cell>
          <cell r="AM44">
            <v>0</v>
          </cell>
          <cell r="AN44">
            <v>153.6105</v>
          </cell>
          <cell r="AO44">
            <v>25.65</v>
          </cell>
          <cell r="AP44">
            <v>4.8450000000000006</v>
          </cell>
          <cell r="AQ44">
            <v>4.9589999999999996</v>
          </cell>
          <cell r="AR44">
            <v>5.7</v>
          </cell>
          <cell r="AS44">
            <v>7.7790750000000006</v>
          </cell>
          <cell r="AT44">
            <v>4.1610000000000005</v>
          </cell>
          <cell r="AU44">
            <v>53.094074999999997</v>
          </cell>
          <cell r="AV44">
            <v>338.09407499999998</v>
          </cell>
          <cell r="AW44">
            <v>23.75</v>
          </cell>
          <cell r="AX44">
            <v>28.174506249999997</v>
          </cell>
          <cell r="AY44">
            <v>56.349012499999994</v>
          </cell>
          <cell r="AZ44">
            <v>108.27351874999999</v>
          </cell>
          <cell r="BA44">
            <v>446.36759374999997</v>
          </cell>
          <cell r="BB44">
            <v>49.596399305555551</v>
          </cell>
          <cell r="BC44">
            <v>174.02245370370369</v>
          </cell>
          <cell r="BE44">
            <v>35</v>
          </cell>
          <cell r="BF44" t="str">
            <v>HUARICALLO MAYTA, Angel</v>
          </cell>
          <cell r="BO44">
            <v>93</v>
          </cell>
          <cell r="BW44">
            <v>93</v>
          </cell>
          <cell r="BX44">
            <v>93</v>
          </cell>
          <cell r="BY44">
            <v>0</v>
          </cell>
        </row>
        <row r="45">
          <cell r="A45">
            <v>36</v>
          </cell>
          <cell r="B45">
            <v>36</v>
          </cell>
          <cell r="C45" t="str">
            <v>HUAYLLANI BRAÑEZ, Angel Edgar</v>
          </cell>
          <cell r="D45" t="str">
            <v>AYUDANTE</v>
          </cell>
          <cell r="E45">
            <v>38047</v>
          </cell>
          <cell r="F45">
            <v>38134</v>
          </cell>
          <cell r="G45">
            <v>23266568</v>
          </cell>
          <cell r="H45">
            <v>28.5</v>
          </cell>
          <cell r="I45">
            <v>3.5625</v>
          </cell>
          <cell r="J45" t="str">
            <v>INTEGRA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X45">
            <v>215.24</v>
          </cell>
          <cell r="Y45">
            <v>150.16999999999999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F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32.886900000000004</v>
          </cell>
          <cell r="AP45">
            <v>3.6590800000000003</v>
          </cell>
          <cell r="AQ45">
            <v>6.3581339999999997</v>
          </cell>
          <cell r="AR45">
            <v>7.3082000000000003</v>
          </cell>
          <cell r="AS45">
            <v>9.9738659500000004</v>
          </cell>
          <cell r="AT45">
            <v>5.3349860000000007</v>
          </cell>
          <cell r="AU45">
            <v>65.521165950000011</v>
          </cell>
          <cell r="AV45">
            <v>65.521165950000011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65.521165950000011</v>
          </cell>
          <cell r="BB45">
            <v>0</v>
          </cell>
          <cell r="BC45">
            <v>65.521165950000011</v>
          </cell>
          <cell r="BE45">
            <v>36</v>
          </cell>
          <cell r="BF45" t="str">
            <v>HUAYLLANI BRAÑEZ, Angel Edgar</v>
          </cell>
          <cell r="BM45">
            <v>14</v>
          </cell>
          <cell r="BO45">
            <v>21.8</v>
          </cell>
          <cell r="BU45">
            <v>34</v>
          </cell>
          <cell r="BW45">
            <v>69.8</v>
          </cell>
          <cell r="BX45">
            <v>69.8</v>
          </cell>
          <cell r="BY45">
            <v>0</v>
          </cell>
        </row>
        <row r="46">
          <cell r="A46">
            <v>37</v>
          </cell>
          <cell r="B46">
            <v>37</v>
          </cell>
          <cell r="C46" t="str">
            <v>INGA SANCHEZ, Ronal</v>
          </cell>
          <cell r="D46" t="str">
            <v>AYUDANTE</v>
          </cell>
          <cell r="E46">
            <v>37682</v>
          </cell>
          <cell r="G46">
            <v>21283462</v>
          </cell>
          <cell r="H46">
            <v>28.5</v>
          </cell>
          <cell r="I46">
            <v>3.5625</v>
          </cell>
          <cell r="J46" t="str">
            <v>ONP</v>
          </cell>
          <cell r="K46">
            <v>25</v>
          </cell>
          <cell r="L46">
            <v>5</v>
          </cell>
          <cell r="M46">
            <v>0</v>
          </cell>
          <cell r="N46">
            <v>20</v>
          </cell>
          <cell r="P46">
            <v>712.5</v>
          </cell>
          <cell r="Q46">
            <v>142.5</v>
          </cell>
          <cell r="R46">
            <v>0</v>
          </cell>
          <cell r="S46">
            <v>89.0625</v>
          </cell>
          <cell r="T46">
            <v>0</v>
          </cell>
          <cell r="U46">
            <v>46</v>
          </cell>
          <cell r="Z46">
            <v>990.0625</v>
          </cell>
          <cell r="AA46">
            <v>128.708125</v>
          </cell>
          <cell r="AB46">
            <v>0</v>
          </cell>
          <cell r="AC46">
            <v>0</v>
          </cell>
          <cell r="AD46">
            <v>0</v>
          </cell>
          <cell r="AF46">
            <v>128.708125</v>
          </cell>
          <cell r="AH46">
            <v>128.708125</v>
          </cell>
          <cell r="AI46">
            <v>861.354375</v>
          </cell>
          <cell r="AJ46">
            <v>259.2</v>
          </cell>
          <cell r="AK46">
            <v>0</v>
          </cell>
          <cell r="AL46">
            <v>259.2</v>
          </cell>
          <cell r="AM46">
            <v>0</v>
          </cell>
          <cell r="AN46">
            <v>602.15437500000007</v>
          </cell>
          <cell r="AO46">
            <v>89.105625000000003</v>
          </cell>
          <cell r="AP46">
            <v>16.831062500000002</v>
          </cell>
          <cell r="AQ46">
            <v>17.2270875</v>
          </cell>
          <cell r="AR46">
            <v>0</v>
          </cell>
          <cell r="AS46">
            <v>27.023755937499999</v>
          </cell>
          <cell r="AT46">
            <v>13.1546</v>
          </cell>
          <cell r="AU46">
            <v>163.3421309375</v>
          </cell>
          <cell r="AV46">
            <v>1153.4046309375001</v>
          </cell>
          <cell r="AW46">
            <v>82.505208333333329</v>
          </cell>
          <cell r="AX46">
            <v>88.695177578125012</v>
          </cell>
          <cell r="AY46">
            <v>184.56743848958334</v>
          </cell>
          <cell r="AZ46">
            <v>355.76782440104171</v>
          </cell>
          <cell r="BA46">
            <v>1509.1724553385418</v>
          </cell>
          <cell r="BB46">
            <v>60.366898213541674</v>
          </cell>
          <cell r="BC46">
            <v>211.81367794225147</v>
          </cell>
          <cell r="BE46">
            <v>37</v>
          </cell>
          <cell r="BF46" t="str">
            <v>INGA SANCHEZ, Ronal</v>
          </cell>
          <cell r="BG46">
            <v>21.5</v>
          </cell>
          <cell r="BL46">
            <v>210</v>
          </cell>
          <cell r="BM46">
            <v>13</v>
          </cell>
          <cell r="BO46">
            <v>14.7</v>
          </cell>
          <cell r="BW46">
            <v>259.2</v>
          </cell>
          <cell r="BX46">
            <v>259.2</v>
          </cell>
          <cell r="BY46">
            <v>0</v>
          </cell>
        </row>
        <row r="47">
          <cell r="A47">
            <v>38</v>
          </cell>
          <cell r="B47">
            <v>38</v>
          </cell>
          <cell r="C47" t="str">
            <v>ITO CCALLA, Jose</v>
          </cell>
          <cell r="D47" t="str">
            <v>PERFORISTA</v>
          </cell>
          <cell r="E47">
            <v>37794</v>
          </cell>
          <cell r="G47">
            <v>41875281</v>
          </cell>
          <cell r="H47">
            <v>31</v>
          </cell>
          <cell r="I47">
            <v>3.875</v>
          </cell>
          <cell r="J47" t="str">
            <v>UNION</v>
          </cell>
          <cell r="K47">
            <v>25</v>
          </cell>
          <cell r="L47">
            <v>5</v>
          </cell>
          <cell r="M47">
            <v>0</v>
          </cell>
          <cell r="N47">
            <v>20</v>
          </cell>
          <cell r="O47">
            <v>88</v>
          </cell>
          <cell r="P47">
            <v>775</v>
          </cell>
          <cell r="Q47">
            <v>155</v>
          </cell>
          <cell r="R47">
            <v>0</v>
          </cell>
          <cell r="S47">
            <v>96.875</v>
          </cell>
          <cell r="T47">
            <v>682</v>
          </cell>
          <cell r="V47">
            <v>300</v>
          </cell>
          <cell r="Z47">
            <v>2008.875</v>
          </cell>
          <cell r="AA47">
            <v>0</v>
          </cell>
          <cell r="AB47">
            <v>200.88750000000002</v>
          </cell>
          <cell r="AC47">
            <v>18.079875000000001</v>
          </cell>
          <cell r="AD47">
            <v>45.601462500000004</v>
          </cell>
          <cell r="AF47">
            <v>264.56883750000003</v>
          </cell>
          <cell r="AH47">
            <v>264.56883750000003</v>
          </cell>
          <cell r="AI47">
            <v>1744.3061625</v>
          </cell>
          <cell r="AJ47">
            <v>492.9</v>
          </cell>
          <cell r="AK47">
            <v>0</v>
          </cell>
          <cell r="AL47">
            <v>492.9</v>
          </cell>
          <cell r="AM47">
            <v>0</v>
          </cell>
          <cell r="AN47">
            <v>1251.4061624999999</v>
          </cell>
          <cell r="AO47">
            <v>180.79874999999998</v>
          </cell>
          <cell r="AP47">
            <v>34.150874999999999</v>
          </cell>
          <cell r="AQ47">
            <v>34.954425000000001</v>
          </cell>
          <cell r="AR47">
            <v>40.177500000000002</v>
          </cell>
          <cell r="AS47">
            <v>54.832243124999998</v>
          </cell>
          <cell r="AT47">
            <v>13.577999999999999</v>
          </cell>
          <cell r="AU47">
            <v>358.49179312499996</v>
          </cell>
          <cell r="AV47">
            <v>2367.3667931250002</v>
          </cell>
          <cell r="AW47">
            <v>167.40625</v>
          </cell>
          <cell r="AX47">
            <v>107.37431609375</v>
          </cell>
          <cell r="AY47">
            <v>230.89446552083334</v>
          </cell>
          <cell r="AZ47">
            <v>505.6750316145833</v>
          </cell>
          <cell r="BA47">
            <v>2873.0418247395837</v>
          </cell>
          <cell r="BB47">
            <v>114.92167298958334</v>
          </cell>
          <cell r="BC47">
            <v>370.71507415994625</v>
          </cell>
          <cell r="BE47">
            <v>38</v>
          </cell>
          <cell r="BF47" t="str">
            <v>ITO CCALLA, Jose</v>
          </cell>
          <cell r="BK47">
            <v>4</v>
          </cell>
          <cell r="BL47">
            <v>220</v>
          </cell>
          <cell r="BM47">
            <v>45.8</v>
          </cell>
          <cell r="BO47">
            <v>32.700000000000003</v>
          </cell>
          <cell r="BQ47">
            <v>160</v>
          </cell>
          <cell r="BR47">
            <v>30.4</v>
          </cell>
          <cell r="BW47">
            <v>492.9</v>
          </cell>
          <cell r="BX47">
            <v>492.9</v>
          </cell>
          <cell r="BY47">
            <v>0</v>
          </cell>
        </row>
        <row r="48">
          <cell r="A48">
            <v>39</v>
          </cell>
          <cell r="B48">
            <v>39</v>
          </cell>
          <cell r="C48" t="str">
            <v>JURADO HUAMANI, Alejandro</v>
          </cell>
          <cell r="D48" t="str">
            <v>PERFORISTA</v>
          </cell>
          <cell r="E48">
            <v>36997</v>
          </cell>
          <cell r="G48">
            <v>23278112</v>
          </cell>
          <cell r="H48">
            <v>31</v>
          </cell>
          <cell r="I48">
            <v>3.875</v>
          </cell>
          <cell r="J48" t="str">
            <v>UNION</v>
          </cell>
          <cell r="K48">
            <v>24</v>
          </cell>
          <cell r="L48">
            <v>4.75</v>
          </cell>
          <cell r="M48">
            <v>0</v>
          </cell>
          <cell r="N48">
            <v>17</v>
          </cell>
          <cell r="P48">
            <v>744</v>
          </cell>
          <cell r="Q48">
            <v>147.25</v>
          </cell>
          <cell r="R48">
            <v>0</v>
          </cell>
          <cell r="S48">
            <v>82.34375</v>
          </cell>
          <cell r="T48">
            <v>0</v>
          </cell>
          <cell r="Z48">
            <v>973.59375</v>
          </cell>
          <cell r="AA48">
            <v>0</v>
          </cell>
          <cell r="AB48">
            <v>97.359375</v>
          </cell>
          <cell r="AC48">
            <v>8.7623437500000012</v>
          </cell>
          <cell r="AD48">
            <v>22.100578125000002</v>
          </cell>
          <cell r="AF48">
            <v>128.22229687500001</v>
          </cell>
          <cell r="AH48">
            <v>128.22229687500001</v>
          </cell>
          <cell r="AI48">
            <v>845.37145312500002</v>
          </cell>
          <cell r="AJ48">
            <v>295</v>
          </cell>
          <cell r="AK48">
            <v>0</v>
          </cell>
          <cell r="AL48">
            <v>295</v>
          </cell>
          <cell r="AM48">
            <v>0</v>
          </cell>
          <cell r="AN48">
            <v>550.37145312500002</v>
          </cell>
          <cell r="AO48">
            <v>87.623437499999994</v>
          </cell>
          <cell r="AP48">
            <v>16.55109375</v>
          </cell>
          <cell r="AQ48">
            <v>16.940531249999999</v>
          </cell>
          <cell r="AR48">
            <v>19.471875000000001</v>
          </cell>
          <cell r="AS48">
            <v>26.57424140625</v>
          </cell>
          <cell r="AT48">
            <v>13.01225</v>
          </cell>
          <cell r="AU48">
            <v>180.17342890625</v>
          </cell>
          <cell r="AV48">
            <v>1153.7671789062499</v>
          </cell>
          <cell r="AW48">
            <v>81.1328125</v>
          </cell>
          <cell r="AX48">
            <v>89.285285742187497</v>
          </cell>
          <cell r="AY48">
            <v>192.29452981770831</v>
          </cell>
          <cell r="AZ48">
            <v>362.71262805989579</v>
          </cell>
          <cell r="BA48">
            <v>1516.4798069661456</v>
          </cell>
          <cell r="BB48">
            <v>63.186658623589402</v>
          </cell>
          <cell r="BC48">
            <v>203.82793104383677</v>
          </cell>
          <cell r="BE48">
            <v>39</v>
          </cell>
          <cell r="BF48" t="str">
            <v>JURADO HUAMANI, Alejandro</v>
          </cell>
          <cell r="BG48">
            <v>200</v>
          </cell>
          <cell r="BO48">
            <v>75</v>
          </cell>
          <cell r="BU48">
            <v>20</v>
          </cell>
          <cell r="BW48">
            <v>295</v>
          </cell>
          <cell r="BX48">
            <v>295</v>
          </cell>
          <cell r="BY48">
            <v>0</v>
          </cell>
        </row>
        <row r="49">
          <cell r="A49">
            <v>40</v>
          </cell>
          <cell r="B49">
            <v>40</v>
          </cell>
          <cell r="C49" t="str">
            <v>LAROTA PUMA, Manuel</v>
          </cell>
          <cell r="D49" t="str">
            <v>CAPATAZ</v>
          </cell>
          <cell r="E49">
            <v>36951</v>
          </cell>
          <cell r="G49">
            <v>40265303</v>
          </cell>
          <cell r="H49">
            <v>35</v>
          </cell>
          <cell r="I49">
            <v>4.375</v>
          </cell>
          <cell r="J49" t="str">
            <v>PROFUTURO</v>
          </cell>
          <cell r="K49">
            <v>23</v>
          </cell>
          <cell r="L49">
            <v>4.5</v>
          </cell>
          <cell r="M49">
            <v>0</v>
          </cell>
          <cell r="N49">
            <v>14</v>
          </cell>
          <cell r="P49">
            <v>805</v>
          </cell>
          <cell r="Q49">
            <v>157.5</v>
          </cell>
          <cell r="R49">
            <v>0</v>
          </cell>
          <cell r="S49">
            <v>76.5625</v>
          </cell>
          <cell r="T49">
            <v>0</v>
          </cell>
          <cell r="V49">
            <v>50</v>
          </cell>
          <cell r="Z49">
            <v>1089.0625</v>
          </cell>
          <cell r="AA49">
            <v>0</v>
          </cell>
          <cell r="AB49">
            <v>108.90625</v>
          </cell>
          <cell r="AC49">
            <v>11.108437500000001</v>
          </cell>
          <cell r="AD49">
            <v>26.682031250000001</v>
          </cell>
          <cell r="AF49">
            <v>146.69671875</v>
          </cell>
          <cell r="AH49">
            <v>146.69671875</v>
          </cell>
          <cell r="AI49">
            <v>942.36578125000005</v>
          </cell>
          <cell r="AJ49">
            <v>200</v>
          </cell>
          <cell r="AK49">
            <v>0</v>
          </cell>
          <cell r="AL49">
            <v>200</v>
          </cell>
          <cell r="AM49">
            <v>32</v>
          </cell>
          <cell r="AN49">
            <v>710.36578125000005</v>
          </cell>
          <cell r="AO49">
            <v>98.015625</v>
          </cell>
          <cell r="AP49">
            <v>18.514062500000001</v>
          </cell>
          <cell r="AQ49">
            <v>18.9496875</v>
          </cell>
          <cell r="AR49">
            <v>21.78125</v>
          </cell>
          <cell r="AS49">
            <v>29.725960937499998</v>
          </cell>
          <cell r="AT49">
            <v>14.0525</v>
          </cell>
          <cell r="AU49">
            <v>201.0390859375</v>
          </cell>
          <cell r="AV49">
            <v>1290.1015859375</v>
          </cell>
          <cell r="AW49">
            <v>90.755208333333329</v>
          </cell>
          <cell r="AX49">
            <v>96.961590494791665</v>
          </cell>
          <cell r="AY49">
            <v>206.68359765624999</v>
          </cell>
          <cell r="AZ49">
            <v>394.40039648437494</v>
          </cell>
          <cell r="BA49">
            <v>1684.5019824218748</v>
          </cell>
          <cell r="BB49">
            <v>73.239216627038033</v>
          </cell>
          <cell r="BC49">
            <v>209.25490464868011</v>
          </cell>
          <cell r="BE49">
            <v>40</v>
          </cell>
          <cell r="BF49" t="str">
            <v>LAROTA PUMA, Manuel</v>
          </cell>
          <cell r="BO49">
            <v>200</v>
          </cell>
          <cell r="BW49">
            <v>200</v>
          </cell>
          <cell r="BX49">
            <v>200</v>
          </cell>
          <cell r="BY49">
            <v>0</v>
          </cell>
        </row>
        <row r="50">
          <cell r="A50">
            <v>41</v>
          </cell>
          <cell r="B50">
            <v>41</v>
          </cell>
          <cell r="C50" t="str">
            <v>LAZARO HUAMANI, Saul</v>
          </cell>
          <cell r="D50" t="str">
            <v>AYUDANTE</v>
          </cell>
          <cell r="E50">
            <v>37575</v>
          </cell>
          <cell r="G50">
            <v>29612799</v>
          </cell>
          <cell r="H50">
            <v>28.5</v>
          </cell>
          <cell r="I50">
            <v>3.5625</v>
          </cell>
          <cell r="J50" t="str">
            <v>PROFUTURO</v>
          </cell>
          <cell r="K50">
            <v>25</v>
          </cell>
          <cell r="L50">
            <v>5</v>
          </cell>
          <cell r="M50">
            <v>0</v>
          </cell>
          <cell r="N50">
            <v>20</v>
          </cell>
          <cell r="P50">
            <v>712.5</v>
          </cell>
          <cell r="Q50">
            <v>142.5</v>
          </cell>
          <cell r="R50">
            <v>0</v>
          </cell>
          <cell r="S50">
            <v>89.0625</v>
          </cell>
          <cell r="T50">
            <v>0</v>
          </cell>
          <cell r="Z50">
            <v>944.0625</v>
          </cell>
          <cell r="AA50">
            <v>0</v>
          </cell>
          <cell r="AB50">
            <v>94.40625</v>
          </cell>
          <cell r="AC50">
            <v>9.6294374999999999</v>
          </cell>
          <cell r="AD50">
            <v>23.129531249999999</v>
          </cell>
          <cell r="AF50">
            <v>127.16521874999999</v>
          </cell>
          <cell r="AH50">
            <v>127.16521874999999</v>
          </cell>
          <cell r="AI50">
            <v>816.89728124999999</v>
          </cell>
          <cell r="AJ50">
            <v>21</v>
          </cell>
          <cell r="AK50">
            <v>0</v>
          </cell>
          <cell r="AL50">
            <v>21</v>
          </cell>
          <cell r="AM50">
            <v>0</v>
          </cell>
          <cell r="AN50">
            <v>795.89728124999999</v>
          </cell>
          <cell r="AO50">
            <v>84.965625000000003</v>
          </cell>
          <cell r="AP50">
            <v>16.049062500000002</v>
          </cell>
          <cell r="AQ50">
            <v>16.4266875</v>
          </cell>
          <cell r="AR50">
            <v>18.881250000000001</v>
          </cell>
          <cell r="AS50">
            <v>25.768185937499997</v>
          </cell>
          <cell r="AT50">
            <v>12.483000000000001</v>
          </cell>
          <cell r="AU50">
            <v>174.57381093750001</v>
          </cell>
          <cell r="AV50">
            <v>1118.6363109375</v>
          </cell>
          <cell r="AW50">
            <v>78.671875</v>
          </cell>
          <cell r="AX50">
            <v>85.797817578124992</v>
          </cell>
          <cell r="AY50">
            <v>186.43938515624998</v>
          </cell>
          <cell r="AZ50">
            <v>350.90907773437493</v>
          </cell>
          <cell r="BA50">
            <v>1469.5453886718749</v>
          </cell>
          <cell r="BB50">
            <v>58.781815546874995</v>
          </cell>
          <cell r="BC50">
            <v>206.25198437499995</v>
          </cell>
          <cell r="BE50">
            <v>41</v>
          </cell>
          <cell r="BF50" t="str">
            <v>LAZARO HUAMANI, Saul</v>
          </cell>
          <cell r="BM50">
            <v>21</v>
          </cell>
          <cell r="BW50">
            <v>21</v>
          </cell>
          <cell r="BX50">
            <v>21</v>
          </cell>
          <cell r="BY50">
            <v>0</v>
          </cell>
        </row>
        <row r="51">
          <cell r="A51">
            <v>42</v>
          </cell>
          <cell r="B51">
            <v>42</v>
          </cell>
          <cell r="C51" t="str">
            <v>LEANDRES MINGA, Tarciso</v>
          </cell>
          <cell r="D51" t="str">
            <v>PERFORISTA</v>
          </cell>
          <cell r="E51">
            <v>37641</v>
          </cell>
          <cell r="G51">
            <v>41700129</v>
          </cell>
          <cell r="H51">
            <v>31</v>
          </cell>
          <cell r="I51">
            <v>3.875</v>
          </cell>
          <cell r="J51" t="str">
            <v>PROFUTURO</v>
          </cell>
          <cell r="K51">
            <v>22</v>
          </cell>
          <cell r="L51">
            <v>4.25</v>
          </cell>
          <cell r="M51">
            <v>0</v>
          </cell>
          <cell r="N51">
            <v>11</v>
          </cell>
          <cell r="P51">
            <v>682</v>
          </cell>
          <cell r="Q51">
            <v>131.75</v>
          </cell>
          <cell r="R51">
            <v>0</v>
          </cell>
          <cell r="S51">
            <v>53.28125</v>
          </cell>
          <cell r="T51">
            <v>0</v>
          </cell>
          <cell r="V51">
            <v>80</v>
          </cell>
          <cell r="Z51">
            <v>947.03125</v>
          </cell>
          <cell r="AA51">
            <v>0</v>
          </cell>
          <cell r="AB51">
            <v>94.703125</v>
          </cell>
          <cell r="AC51">
            <v>9.6597187500000015</v>
          </cell>
          <cell r="AD51">
            <v>23.202265625000003</v>
          </cell>
          <cell r="AF51">
            <v>127.56510937499999</v>
          </cell>
          <cell r="AH51">
            <v>127.56510937499999</v>
          </cell>
          <cell r="AI51">
            <v>819.46614062499998</v>
          </cell>
          <cell r="AJ51">
            <v>293.2</v>
          </cell>
          <cell r="AK51">
            <v>0</v>
          </cell>
          <cell r="AL51">
            <v>293.2</v>
          </cell>
          <cell r="AM51">
            <v>0</v>
          </cell>
          <cell r="AN51">
            <v>526.26614062499993</v>
          </cell>
          <cell r="AO51">
            <v>85.232812499999994</v>
          </cell>
          <cell r="AP51">
            <v>16.099531250000002</v>
          </cell>
          <cell r="AQ51">
            <v>16.478343750000001</v>
          </cell>
          <cell r="AR51">
            <v>18.940625000000001</v>
          </cell>
          <cell r="AS51">
            <v>25.849217968750001</v>
          </cell>
          <cell r="AT51">
            <v>11.880750000000001</v>
          </cell>
          <cell r="AU51">
            <v>174.48128046875001</v>
          </cell>
          <cell r="AV51">
            <v>1121.5125304687499</v>
          </cell>
          <cell r="AW51">
            <v>78.919270833333329</v>
          </cell>
          <cell r="AX51">
            <v>82.352606705729173</v>
          </cell>
          <cell r="AY51">
            <v>173.58542174479166</v>
          </cell>
          <cell r="AZ51">
            <v>334.85729928385416</v>
          </cell>
          <cell r="BA51">
            <v>1456.3698297526041</v>
          </cell>
          <cell r="BB51">
            <v>66.198628625118374</v>
          </cell>
          <cell r="BC51">
            <v>213.54396330683346</v>
          </cell>
          <cell r="BE51">
            <v>42</v>
          </cell>
          <cell r="BF51" t="str">
            <v>LEANDRES MINGA, Tarciso</v>
          </cell>
          <cell r="BJ51">
            <v>7.5</v>
          </cell>
          <cell r="BL51">
            <v>166</v>
          </cell>
          <cell r="BM51">
            <v>9</v>
          </cell>
          <cell r="BQ51">
            <v>59</v>
          </cell>
          <cell r="BR51">
            <v>51.7</v>
          </cell>
          <cell r="BW51">
            <v>293.2</v>
          </cell>
          <cell r="BX51">
            <v>293.2</v>
          </cell>
          <cell r="BY51">
            <v>0</v>
          </cell>
        </row>
        <row r="52">
          <cell r="A52">
            <v>43</v>
          </cell>
          <cell r="B52">
            <v>43</v>
          </cell>
          <cell r="C52" t="str">
            <v>LEON QUISPE, Vitaliano Augusto</v>
          </cell>
          <cell r="D52" t="str">
            <v>PERFORISTA</v>
          </cell>
          <cell r="E52">
            <v>36822</v>
          </cell>
          <cell r="G52">
            <v>29315692</v>
          </cell>
          <cell r="H52">
            <v>31</v>
          </cell>
          <cell r="I52">
            <v>3.875</v>
          </cell>
          <cell r="J52" t="str">
            <v>UNION</v>
          </cell>
          <cell r="K52">
            <v>25</v>
          </cell>
          <cell r="L52">
            <v>5</v>
          </cell>
          <cell r="M52">
            <v>0</v>
          </cell>
          <cell r="N52">
            <v>20</v>
          </cell>
          <cell r="O52">
            <v>88</v>
          </cell>
          <cell r="P52">
            <v>775</v>
          </cell>
          <cell r="Q52">
            <v>155</v>
          </cell>
          <cell r="R52">
            <v>0</v>
          </cell>
          <cell r="S52">
            <v>96.875</v>
          </cell>
          <cell r="T52">
            <v>682</v>
          </cell>
          <cell r="U52">
            <v>46</v>
          </cell>
          <cell r="Z52">
            <v>1754.875</v>
          </cell>
          <cell r="AA52">
            <v>0</v>
          </cell>
          <cell r="AB52">
            <v>175.48750000000001</v>
          </cell>
          <cell r="AC52">
            <v>15.793875000000002</v>
          </cell>
          <cell r="AD52">
            <v>39.835662500000005</v>
          </cell>
          <cell r="AF52">
            <v>231.11703750000004</v>
          </cell>
          <cell r="AH52">
            <v>231.11703750000004</v>
          </cell>
          <cell r="AI52">
            <v>1523.7579624999998</v>
          </cell>
          <cell r="AJ52">
            <v>9</v>
          </cell>
          <cell r="AK52">
            <v>0</v>
          </cell>
          <cell r="AL52">
            <v>9</v>
          </cell>
          <cell r="AM52">
            <v>8</v>
          </cell>
          <cell r="AN52">
            <v>1506.7579624999998</v>
          </cell>
          <cell r="AO52">
            <v>157.93875</v>
          </cell>
          <cell r="AP52">
            <v>29.832875000000001</v>
          </cell>
          <cell r="AQ52">
            <v>30.534824999999998</v>
          </cell>
          <cell r="AR52">
            <v>35.097500000000004</v>
          </cell>
          <cell r="AS52">
            <v>47.899313124999999</v>
          </cell>
          <cell r="AT52">
            <v>14.249600000000001</v>
          </cell>
          <cell r="AU52">
            <v>315.55286312499999</v>
          </cell>
          <cell r="AV52">
            <v>2070.4278631249999</v>
          </cell>
          <cell r="AW52">
            <v>146.23958333333334</v>
          </cell>
          <cell r="AX52">
            <v>107.62940526041666</v>
          </cell>
          <cell r="AY52">
            <v>223.73797718749998</v>
          </cell>
          <cell r="AZ52">
            <v>477.60696578124998</v>
          </cell>
          <cell r="BA52">
            <v>2548.0348289062499</v>
          </cell>
          <cell r="BB52">
            <v>101.92139315624999</v>
          </cell>
          <cell r="BC52">
            <v>328.77868760080645</v>
          </cell>
          <cell r="BE52">
            <v>43</v>
          </cell>
          <cell r="BF52" t="str">
            <v>LEON QUISPE, Vitaliano Augusto</v>
          </cell>
          <cell r="BG52">
            <v>9</v>
          </cell>
          <cell r="BW52">
            <v>9</v>
          </cell>
          <cell r="BX52">
            <v>9</v>
          </cell>
          <cell r="BY52">
            <v>0</v>
          </cell>
        </row>
        <row r="53">
          <cell r="A53">
            <v>44</v>
          </cell>
          <cell r="B53">
            <v>44</v>
          </cell>
          <cell r="C53" t="str">
            <v>LIZANA CUYA, Luis Lucho</v>
          </cell>
          <cell r="D53" t="str">
            <v>PERFORISTA</v>
          </cell>
          <cell r="E53">
            <v>38054</v>
          </cell>
          <cell r="G53">
            <v>41623011</v>
          </cell>
          <cell r="H53">
            <v>31</v>
          </cell>
          <cell r="I53">
            <v>3.875</v>
          </cell>
          <cell r="J53" t="str">
            <v>ONP</v>
          </cell>
          <cell r="K53">
            <v>25</v>
          </cell>
          <cell r="L53">
            <v>5</v>
          </cell>
          <cell r="M53">
            <v>0</v>
          </cell>
          <cell r="N53">
            <v>20</v>
          </cell>
          <cell r="P53">
            <v>775</v>
          </cell>
          <cell r="Q53">
            <v>155</v>
          </cell>
          <cell r="R53">
            <v>0</v>
          </cell>
          <cell r="S53">
            <v>96.875</v>
          </cell>
          <cell r="T53">
            <v>0</v>
          </cell>
          <cell r="Z53">
            <v>1026.875</v>
          </cell>
          <cell r="AA53">
            <v>133.49375000000001</v>
          </cell>
          <cell r="AB53">
            <v>0</v>
          </cell>
          <cell r="AC53">
            <v>0</v>
          </cell>
          <cell r="AD53">
            <v>0</v>
          </cell>
          <cell r="AF53">
            <v>133.49375000000001</v>
          </cell>
          <cell r="AH53">
            <v>133.49375000000001</v>
          </cell>
          <cell r="AI53">
            <v>893.38125000000002</v>
          </cell>
          <cell r="AJ53">
            <v>328.8</v>
          </cell>
          <cell r="AK53">
            <v>0</v>
          </cell>
          <cell r="AL53">
            <v>328.8</v>
          </cell>
          <cell r="AM53">
            <v>0</v>
          </cell>
          <cell r="AN53">
            <v>564.58124999999995</v>
          </cell>
          <cell r="AO53">
            <v>92.418750000000003</v>
          </cell>
          <cell r="AP53">
            <v>17.456875</v>
          </cell>
          <cell r="AQ53">
            <v>17.867625</v>
          </cell>
          <cell r="AR53">
            <v>0</v>
          </cell>
          <cell r="AS53">
            <v>28.028553124999998</v>
          </cell>
          <cell r="AT53">
            <v>13.577999999999999</v>
          </cell>
          <cell r="AU53">
            <v>169.34980312499999</v>
          </cell>
          <cell r="AV53">
            <v>1196.2248031250001</v>
          </cell>
          <cell r="AW53">
            <v>85.572916666666671</v>
          </cell>
          <cell r="AX53">
            <v>91.612483593750014</v>
          </cell>
          <cell r="AY53">
            <v>199.37080052083334</v>
          </cell>
          <cell r="AZ53">
            <v>376.55620078125003</v>
          </cell>
          <cell r="BA53">
            <v>1572.7810039062501</v>
          </cell>
          <cell r="BB53">
            <v>62.911240156250003</v>
          </cell>
          <cell r="BC53">
            <v>202.93948437500001</v>
          </cell>
          <cell r="BE53">
            <v>44</v>
          </cell>
          <cell r="BF53" t="str">
            <v>LIZANA CUYA, Luis Lucho</v>
          </cell>
          <cell r="BI53">
            <v>200</v>
          </cell>
          <cell r="BL53">
            <v>50</v>
          </cell>
          <cell r="BQ53">
            <v>50</v>
          </cell>
          <cell r="BR53">
            <v>28.8</v>
          </cell>
          <cell r="BW53">
            <v>328.8</v>
          </cell>
          <cell r="BX53">
            <v>328.8</v>
          </cell>
          <cell r="BY53">
            <v>0</v>
          </cell>
        </row>
        <row r="54">
          <cell r="A54">
            <v>45</v>
          </cell>
          <cell r="B54">
            <v>45</v>
          </cell>
          <cell r="C54" t="str">
            <v>LLAMOCA HURACAHUA, Beto</v>
          </cell>
          <cell r="D54" t="str">
            <v>AYUDANTE</v>
          </cell>
          <cell r="E54">
            <v>37726</v>
          </cell>
          <cell r="G54">
            <v>40265907</v>
          </cell>
          <cell r="H54">
            <v>28.5</v>
          </cell>
          <cell r="I54">
            <v>3.5625</v>
          </cell>
          <cell r="J54" t="str">
            <v>UNION</v>
          </cell>
          <cell r="K54">
            <v>25</v>
          </cell>
          <cell r="L54">
            <v>5</v>
          </cell>
          <cell r="M54">
            <v>0</v>
          </cell>
          <cell r="N54">
            <v>20</v>
          </cell>
          <cell r="O54">
            <v>88</v>
          </cell>
          <cell r="P54">
            <v>712.5</v>
          </cell>
          <cell r="Q54">
            <v>142.5</v>
          </cell>
          <cell r="R54">
            <v>0</v>
          </cell>
          <cell r="S54">
            <v>89.0625</v>
          </cell>
          <cell r="T54">
            <v>627</v>
          </cell>
          <cell r="V54">
            <v>80</v>
          </cell>
          <cell r="W54">
            <v>855</v>
          </cell>
          <cell r="Z54">
            <v>2506.0625</v>
          </cell>
          <cell r="AA54">
            <v>0</v>
          </cell>
          <cell r="AB54">
            <v>250.60625000000002</v>
          </cell>
          <cell r="AC54">
            <v>22.554562500000003</v>
          </cell>
          <cell r="AD54">
            <v>56.887618750000001</v>
          </cell>
          <cell r="AF54">
            <v>330.04843125000002</v>
          </cell>
          <cell r="AG54">
            <v>742.4</v>
          </cell>
          <cell r="AH54">
            <v>1072.4484312499999</v>
          </cell>
          <cell r="AI54">
            <v>1433.6140687500001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1433.6140687500001</v>
          </cell>
          <cell r="AO54">
            <v>225.545625</v>
          </cell>
          <cell r="AP54">
            <v>42.6030625</v>
          </cell>
          <cell r="AQ54">
            <v>43.605487499999995</v>
          </cell>
          <cell r="AR54">
            <v>50.121250000000003</v>
          </cell>
          <cell r="AS54">
            <v>68.402975937500003</v>
          </cell>
          <cell r="AT54">
            <v>12.483000000000001</v>
          </cell>
          <cell r="AU54">
            <v>442.76140093749996</v>
          </cell>
          <cell r="AV54">
            <v>2948.8239009375002</v>
          </cell>
          <cell r="AW54">
            <v>208.83854166666666</v>
          </cell>
          <cell r="AX54">
            <v>108.14678341145833</v>
          </cell>
          <cell r="AY54">
            <v>231.13731682291666</v>
          </cell>
          <cell r="AZ54">
            <v>548.12264190104167</v>
          </cell>
          <cell r="BA54">
            <v>3496.946542838542</v>
          </cell>
          <cell r="BB54">
            <v>139.87786171354168</v>
          </cell>
          <cell r="BC54">
            <v>490.79951478435675</v>
          </cell>
          <cell r="BE54">
            <v>45</v>
          </cell>
          <cell r="BF54" t="str">
            <v>LLAMOCA HURACAHUA, Beto</v>
          </cell>
          <cell r="BW54">
            <v>0</v>
          </cell>
          <cell r="BX54">
            <v>0</v>
          </cell>
          <cell r="BY54">
            <v>0</v>
          </cell>
        </row>
        <row r="55">
          <cell r="A55">
            <v>46</v>
          </cell>
          <cell r="B55">
            <v>46</v>
          </cell>
          <cell r="C55" t="str">
            <v>LLANCARI TORRES, Victor</v>
          </cell>
          <cell r="D55" t="str">
            <v>CAPATAZ</v>
          </cell>
          <cell r="E55">
            <v>36317</v>
          </cell>
          <cell r="G55">
            <v>23443474</v>
          </cell>
          <cell r="H55">
            <v>35</v>
          </cell>
          <cell r="I55">
            <v>4.375</v>
          </cell>
          <cell r="J55" t="str">
            <v>UNION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W55">
            <v>1096</v>
          </cell>
          <cell r="Z55">
            <v>1096</v>
          </cell>
          <cell r="AA55">
            <v>0</v>
          </cell>
          <cell r="AB55">
            <v>109.60000000000001</v>
          </cell>
          <cell r="AC55">
            <v>9.8640000000000008</v>
          </cell>
          <cell r="AD55">
            <v>24.879200000000001</v>
          </cell>
          <cell r="AF55">
            <v>144.34320000000002</v>
          </cell>
          <cell r="AH55">
            <v>144.34320000000002</v>
          </cell>
          <cell r="AI55">
            <v>951.65679999999998</v>
          </cell>
          <cell r="AJ55">
            <v>0</v>
          </cell>
          <cell r="AK55">
            <v>0</v>
          </cell>
          <cell r="AL55">
            <v>0</v>
          </cell>
          <cell r="AM55">
            <v>3</v>
          </cell>
          <cell r="AN55">
            <v>948.65679999999998</v>
          </cell>
          <cell r="AO55">
            <v>98.64</v>
          </cell>
          <cell r="AP55">
            <v>18.632000000000001</v>
          </cell>
          <cell r="AQ55">
            <v>19.070399999999999</v>
          </cell>
          <cell r="AR55">
            <v>21.92</v>
          </cell>
          <cell r="AS55">
            <v>29.915320000000001</v>
          </cell>
          <cell r="AT55">
            <v>0</v>
          </cell>
          <cell r="AU55">
            <v>188.17772000000002</v>
          </cell>
          <cell r="AV55">
            <v>1284.1777200000001</v>
          </cell>
          <cell r="AW55">
            <v>91.333333333333329</v>
          </cell>
          <cell r="AX55">
            <v>15.681476666666669</v>
          </cell>
          <cell r="AY55">
            <v>31.362953333333337</v>
          </cell>
          <cell r="AZ55">
            <v>138.37776333333335</v>
          </cell>
          <cell r="BA55">
            <v>1422.5554833333335</v>
          </cell>
          <cell r="BB55">
            <v>0</v>
          </cell>
          <cell r="BC55">
            <v>0</v>
          </cell>
          <cell r="BE55">
            <v>46</v>
          </cell>
          <cell r="BF55" t="str">
            <v>LLANCARI TORRES, Victor</v>
          </cell>
          <cell r="BW55">
            <v>0</v>
          </cell>
          <cell r="BX55">
            <v>0</v>
          </cell>
          <cell r="BY55">
            <v>0</v>
          </cell>
        </row>
        <row r="56">
          <cell r="A56">
            <v>47</v>
          </cell>
          <cell r="B56">
            <v>47</v>
          </cell>
          <cell r="C56" t="str">
            <v>MAMANI CCUNO,Danilo Dimas</v>
          </cell>
          <cell r="D56" t="str">
            <v>PERFORISTA</v>
          </cell>
          <cell r="E56">
            <v>37408</v>
          </cell>
          <cell r="G56" t="str">
            <v>01559427</v>
          </cell>
          <cell r="H56">
            <v>31</v>
          </cell>
          <cell r="I56">
            <v>3.875</v>
          </cell>
          <cell r="J56" t="str">
            <v>INTEGRA</v>
          </cell>
          <cell r="K56">
            <v>23</v>
          </cell>
          <cell r="L56">
            <v>4.5</v>
          </cell>
          <cell r="M56">
            <v>2</v>
          </cell>
          <cell r="N56">
            <v>14</v>
          </cell>
          <cell r="P56">
            <v>713</v>
          </cell>
          <cell r="Q56">
            <v>139.5</v>
          </cell>
          <cell r="R56">
            <v>62</v>
          </cell>
          <cell r="S56">
            <v>67.8125</v>
          </cell>
          <cell r="T56">
            <v>0</v>
          </cell>
          <cell r="U56">
            <v>45.233333333333334</v>
          </cell>
          <cell r="V56">
            <v>80</v>
          </cell>
          <cell r="Z56">
            <v>1107.5458333333333</v>
          </cell>
          <cell r="AA56">
            <v>0</v>
          </cell>
          <cell r="AB56">
            <v>110.75458333333334</v>
          </cell>
          <cell r="AC56">
            <v>9.7464033333333333</v>
          </cell>
          <cell r="AD56">
            <v>23.2584625</v>
          </cell>
          <cell r="AF56">
            <v>143.75944916666668</v>
          </cell>
          <cell r="AH56">
            <v>143.75944916666668</v>
          </cell>
          <cell r="AI56">
            <v>963.78638416666672</v>
          </cell>
          <cell r="AJ56">
            <v>465</v>
          </cell>
          <cell r="AK56">
            <v>0</v>
          </cell>
          <cell r="AL56">
            <v>465</v>
          </cell>
          <cell r="AM56">
            <v>10</v>
          </cell>
          <cell r="AN56">
            <v>488.78638416666672</v>
          </cell>
          <cell r="AO56">
            <v>99.679124999999999</v>
          </cell>
          <cell r="AP56">
            <v>18.828279166666668</v>
          </cell>
          <cell r="AQ56">
            <v>19.271297499999999</v>
          </cell>
          <cell r="AR56">
            <v>22.150916666666667</v>
          </cell>
          <cell r="AS56">
            <v>30.230463520833332</v>
          </cell>
          <cell r="AT56">
            <v>14.012106666666668</v>
          </cell>
          <cell r="AU56">
            <v>204.17218852083334</v>
          </cell>
          <cell r="AV56">
            <v>1311.7180218541666</v>
          </cell>
          <cell r="AW56">
            <v>92.295486111111117</v>
          </cell>
          <cell r="AX56">
            <v>96.992126821180548</v>
          </cell>
          <cell r="AY56">
            <v>197.74744808680555</v>
          </cell>
          <cell r="AZ56">
            <v>387.03506101909721</v>
          </cell>
          <cell r="BA56">
            <v>1698.7530828732638</v>
          </cell>
          <cell r="BB56">
            <v>73.858829690141903</v>
          </cell>
          <cell r="BC56">
            <v>238.25428932303839</v>
          </cell>
          <cell r="BE56">
            <v>47</v>
          </cell>
          <cell r="BF56" t="str">
            <v>MAMANI CCUNO,Danilo Dimas</v>
          </cell>
          <cell r="BG56">
            <v>43</v>
          </cell>
          <cell r="BI56">
            <v>206</v>
          </cell>
          <cell r="BL56">
            <v>9</v>
          </cell>
          <cell r="BM56">
            <v>20</v>
          </cell>
          <cell r="BO56">
            <v>75</v>
          </cell>
          <cell r="BQ56">
            <v>100</v>
          </cell>
          <cell r="BS56">
            <v>12</v>
          </cell>
          <cell r="BW56">
            <v>465</v>
          </cell>
          <cell r="BX56">
            <v>465</v>
          </cell>
          <cell r="BY56">
            <v>0</v>
          </cell>
        </row>
        <row r="57">
          <cell r="A57">
            <v>48</v>
          </cell>
          <cell r="B57">
            <v>48</v>
          </cell>
          <cell r="C57" t="str">
            <v>MAMANI CHOQQUE, Victor</v>
          </cell>
          <cell r="D57" t="str">
            <v>PERFORISTA</v>
          </cell>
          <cell r="E57">
            <v>36535</v>
          </cell>
          <cell r="G57">
            <v>40966641</v>
          </cell>
          <cell r="H57">
            <v>31</v>
          </cell>
          <cell r="I57">
            <v>3.875</v>
          </cell>
          <cell r="J57" t="str">
            <v>UNION</v>
          </cell>
          <cell r="K57">
            <v>19</v>
          </cell>
          <cell r="L57">
            <v>3.5</v>
          </cell>
          <cell r="M57">
            <v>0</v>
          </cell>
          <cell r="N57">
            <v>2</v>
          </cell>
          <cell r="O57">
            <v>77</v>
          </cell>
          <cell r="P57">
            <v>589</v>
          </cell>
          <cell r="Q57">
            <v>108.5</v>
          </cell>
          <cell r="R57">
            <v>0</v>
          </cell>
          <cell r="S57">
            <v>9.6875</v>
          </cell>
          <cell r="T57">
            <v>596.75</v>
          </cell>
          <cell r="U57">
            <v>34.5</v>
          </cell>
          <cell r="Z57">
            <v>1338.4375</v>
          </cell>
          <cell r="AA57">
            <v>0</v>
          </cell>
          <cell r="AB57">
            <v>133.84375</v>
          </cell>
          <cell r="AC57">
            <v>12.045937500000001</v>
          </cell>
          <cell r="AD57">
            <v>30.382531250000003</v>
          </cell>
          <cell r="AF57">
            <v>176.27221875000001</v>
          </cell>
          <cell r="AH57">
            <v>176.27221875000001</v>
          </cell>
          <cell r="AI57">
            <v>1162.1652812499999</v>
          </cell>
          <cell r="AJ57">
            <v>402.5</v>
          </cell>
          <cell r="AK57">
            <v>0</v>
          </cell>
          <cell r="AL57">
            <v>402.5</v>
          </cell>
          <cell r="AM57">
            <v>10</v>
          </cell>
          <cell r="AN57">
            <v>749.66528124999991</v>
          </cell>
          <cell r="AO57">
            <v>120.45937499999999</v>
          </cell>
          <cell r="AP57">
            <v>22.7534375</v>
          </cell>
          <cell r="AQ57">
            <v>23.288812499999999</v>
          </cell>
          <cell r="AR57">
            <v>26.768750000000001</v>
          </cell>
          <cell r="AS57">
            <v>36.532651562499993</v>
          </cell>
          <cell r="AT57">
            <v>10.687200000000001</v>
          </cell>
          <cell r="AU57">
            <v>240.4902265625</v>
          </cell>
          <cell r="AV57">
            <v>1578.9277265625001</v>
          </cell>
          <cell r="AW57">
            <v>111.53645833333333</v>
          </cell>
          <cell r="AX57">
            <v>81.040852213541669</v>
          </cell>
          <cell r="AY57">
            <v>157.94628776041665</v>
          </cell>
          <cell r="AZ57">
            <v>350.52359830729165</v>
          </cell>
          <cell r="BA57">
            <v>1929.4513248697917</v>
          </cell>
          <cell r="BB57">
            <v>101.55006972998903</v>
          </cell>
          <cell r="BC57">
            <v>327.58087009673881</v>
          </cell>
          <cell r="BE57">
            <v>48</v>
          </cell>
          <cell r="BF57" t="str">
            <v>MAMANI CHOQUE, Victor</v>
          </cell>
          <cell r="BI57">
            <v>37</v>
          </cell>
          <cell r="BJ57">
            <v>15.5</v>
          </cell>
          <cell r="BO57">
            <v>250</v>
          </cell>
          <cell r="BU57">
            <v>100</v>
          </cell>
          <cell r="BW57">
            <v>402.5</v>
          </cell>
          <cell r="BX57">
            <v>402.5</v>
          </cell>
          <cell r="BY57">
            <v>0</v>
          </cell>
        </row>
        <row r="58">
          <cell r="A58">
            <v>49</v>
          </cell>
          <cell r="B58">
            <v>49</v>
          </cell>
          <cell r="C58" t="str">
            <v>MAMANI FLORES, Ruben Alfonso</v>
          </cell>
          <cell r="D58" t="str">
            <v>PERFORISTA</v>
          </cell>
          <cell r="E58">
            <v>37730</v>
          </cell>
          <cell r="G58">
            <v>30582421</v>
          </cell>
          <cell r="H58">
            <v>31</v>
          </cell>
          <cell r="I58">
            <v>3.875</v>
          </cell>
          <cell r="J58" t="str">
            <v>PROFUTURO</v>
          </cell>
          <cell r="K58">
            <v>25</v>
          </cell>
          <cell r="L58">
            <v>5</v>
          </cell>
          <cell r="M58">
            <v>0</v>
          </cell>
          <cell r="N58">
            <v>20</v>
          </cell>
          <cell r="P58">
            <v>775</v>
          </cell>
          <cell r="Q58">
            <v>155</v>
          </cell>
          <cell r="R58">
            <v>0</v>
          </cell>
          <cell r="S58">
            <v>96.875</v>
          </cell>
          <cell r="T58">
            <v>0</v>
          </cell>
          <cell r="U58">
            <v>46</v>
          </cell>
          <cell r="Z58">
            <v>1072.875</v>
          </cell>
          <cell r="AA58">
            <v>0</v>
          </cell>
          <cell r="AB58">
            <v>107.28750000000001</v>
          </cell>
          <cell r="AC58">
            <v>10.943325000000002</v>
          </cell>
          <cell r="AD58">
            <v>26.2854375</v>
          </cell>
          <cell r="AF58">
            <v>144.51626250000001</v>
          </cell>
          <cell r="AH58">
            <v>144.51626250000001</v>
          </cell>
          <cell r="AI58">
            <v>928.35873749999996</v>
          </cell>
          <cell r="AJ58">
            <v>192.3</v>
          </cell>
          <cell r="AK58">
            <v>0</v>
          </cell>
          <cell r="AL58">
            <v>192.3</v>
          </cell>
          <cell r="AM58">
            <v>0</v>
          </cell>
          <cell r="AN58">
            <v>736.05873750000001</v>
          </cell>
          <cell r="AO58">
            <v>96.558750000000003</v>
          </cell>
          <cell r="AP58">
            <v>18.238875</v>
          </cell>
          <cell r="AQ58">
            <v>18.668025</v>
          </cell>
          <cell r="AR58">
            <v>21.4575</v>
          </cell>
          <cell r="AS58">
            <v>29.284123125000001</v>
          </cell>
          <cell r="AT58">
            <v>14.249600000000001</v>
          </cell>
          <cell r="AU58">
            <v>198.45687312500002</v>
          </cell>
          <cell r="AV58">
            <v>1271.3318731250001</v>
          </cell>
          <cell r="AW58">
            <v>89.40625</v>
          </cell>
          <cell r="AX58">
            <v>97.871406093750011</v>
          </cell>
          <cell r="AY58">
            <v>204.22197885416668</v>
          </cell>
          <cell r="AZ58">
            <v>391.49963494791666</v>
          </cell>
          <cell r="BA58">
            <v>1662.8315080729167</v>
          </cell>
          <cell r="BB58">
            <v>66.513260322916665</v>
          </cell>
          <cell r="BC58">
            <v>214.55890426747311</v>
          </cell>
          <cell r="BE58">
            <v>49</v>
          </cell>
          <cell r="BF58" t="str">
            <v>MAMANI FLORES, Ruben Alfonso</v>
          </cell>
          <cell r="BI58">
            <v>12.5</v>
          </cell>
          <cell r="BN58">
            <v>157</v>
          </cell>
          <cell r="BR58">
            <v>22.8</v>
          </cell>
          <cell r="BW58">
            <v>192.3</v>
          </cell>
          <cell r="BX58">
            <v>192.3</v>
          </cell>
          <cell r="BY58">
            <v>0</v>
          </cell>
        </row>
        <row r="59">
          <cell r="A59">
            <v>50</v>
          </cell>
          <cell r="B59">
            <v>50</v>
          </cell>
          <cell r="C59" t="str">
            <v>MAMANI GUTIERREZ, Felix</v>
          </cell>
          <cell r="D59" t="str">
            <v>CAPATAZ</v>
          </cell>
          <cell r="E59">
            <v>37165</v>
          </cell>
          <cell r="G59" t="str">
            <v>02150762</v>
          </cell>
          <cell r="H59">
            <v>35</v>
          </cell>
          <cell r="I59">
            <v>4.375</v>
          </cell>
          <cell r="J59" t="str">
            <v>HORIZONTE</v>
          </cell>
          <cell r="K59">
            <v>25</v>
          </cell>
          <cell r="L59">
            <v>5</v>
          </cell>
          <cell r="M59">
            <v>0</v>
          </cell>
          <cell r="N59">
            <v>20</v>
          </cell>
          <cell r="P59">
            <v>875</v>
          </cell>
          <cell r="Q59">
            <v>175</v>
          </cell>
          <cell r="R59">
            <v>0</v>
          </cell>
          <cell r="S59">
            <v>109.375</v>
          </cell>
          <cell r="T59">
            <v>0</v>
          </cell>
          <cell r="U59">
            <v>46</v>
          </cell>
          <cell r="V59">
            <v>50</v>
          </cell>
          <cell r="Z59">
            <v>1255.375</v>
          </cell>
          <cell r="AA59">
            <v>0</v>
          </cell>
          <cell r="AB59">
            <v>125.53750000000001</v>
          </cell>
          <cell r="AC59">
            <v>11.1728375</v>
          </cell>
          <cell r="AD59">
            <v>28.2459375</v>
          </cell>
          <cell r="AF59">
            <v>164.95627500000001</v>
          </cell>
          <cell r="AH59">
            <v>164.95627500000001</v>
          </cell>
          <cell r="AI59">
            <v>1090.418725</v>
          </cell>
          <cell r="AJ59">
            <v>205</v>
          </cell>
          <cell r="AK59">
            <v>0</v>
          </cell>
          <cell r="AL59">
            <v>205</v>
          </cell>
          <cell r="AM59">
            <v>0</v>
          </cell>
          <cell r="AN59">
            <v>885.41872499999999</v>
          </cell>
          <cell r="AO59">
            <v>112.98375</v>
          </cell>
          <cell r="AP59">
            <v>21.341375000000003</v>
          </cell>
          <cell r="AQ59">
            <v>21.843525</v>
          </cell>
          <cell r="AR59">
            <v>25.107500000000002</v>
          </cell>
          <cell r="AS59">
            <v>34.265460625000003</v>
          </cell>
          <cell r="AT59">
            <v>16.0016</v>
          </cell>
          <cell r="AU59">
            <v>231.54321062500003</v>
          </cell>
          <cell r="AV59">
            <v>1486.918210625</v>
          </cell>
          <cell r="AW59">
            <v>104.61458333333333</v>
          </cell>
          <cell r="AX59">
            <v>110.62860088541667</v>
          </cell>
          <cell r="AY59">
            <v>231.81970177083335</v>
          </cell>
          <cell r="AZ59">
            <v>447.06288598958338</v>
          </cell>
          <cell r="BA59">
            <v>1933.9810966145833</v>
          </cell>
          <cell r="BB59">
            <v>77.359243864583334</v>
          </cell>
          <cell r="BC59">
            <v>221.02641104166665</v>
          </cell>
          <cell r="BE59">
            <v>50</v>
          </cell>
          <cell r="BF59" t="str">
            <v>MAMANI GUTIERREZ, Felix</v>
          </cell>
          <cell r="BM59">
            <v>28</v>
          </cell>
          <cell r="BR59">
            <v>177</v>
          </cell>
          <cell r="BW59">
            <v>205</v>
          </cell>
          <cell r="BX59">
            <v>205</v>
          </cell>
          <cell r="BY59">
            <v>0</v>
          </cell>
        </row>
        <row r="60">
          <cell r="A60">
            <v>51</v>
          </cell>
          <cell r="B60">
            <v>51</v>
          </cell>
          <cell r="C60" t="str">
            <v>MAMANI MASCO, Javier</v>
          </cell>
          <cell r="D60" t="str">
            <v>AYUDANTE</v>
          </cell>
          <cell r="E60">
            <v>38125</v>
          </cell>
          <cell r="G60" t="str">
            <v>29713003</v>
          </cell>
          <cell r="H60">
            <v>28.5</v>
          </cell>
          <cell r="I60">
            <v>3.5625</v>
          </cell>
          <cell r="J60" t="str">
            <v>UNION</v>
          </cell>
          <cell r="K60">
            <v>21</v>
          </cell>
          <cell r="L60">
            <v>4</v>
          </cell>
          <cell r="M60">
            <v>4</v>
          </cell>
          <cell r="N60">
            <v>8</v>
          </cell>
          <cell r="P60">
            <v>598.5</v>
          </cell>
          <cell r="Q60">
            <v>114</v>
          </cell>
          <cell r="R60">
            <v>114</v>
          </cell>
          <cell r="S60">
            <v>35.625</v>
          </cell>
          <cell r="T60">
            <v>0</v>
          </cell>
          <cell r="Z60">
            <v>862.125</v>
          </cell>
          <cell r="AA60">
            <v>0</v>
          </cell>
          <cell r="AB60">
            <v>86.212500000000006</v>
          </cell>
          <cell r="AC60">
            <v>7.7591250000000009</v>
          </cell>
          <cell r="AD60">
            <v>19.570237500000001</v>
          </cell>
          <cell r="AF60">
            <v>113.54186250000001</v>
          </cell>
          <cell r="AH60">
            <v>113.54186250000001</v>
          </cell>
          <cell r="AI60">
            <v>748.58313750000002</v>
          </cell>
          <cell r="AJ60">
            <v>481</v>
          </cell>
          <cell r="AK60">
            <v>0</v>
          </cell>
          <cell r="AL60">
            <v>481</v>
          </cell>
          <cell r="AM60">
            <v>56</v>
          </cell>
          <cell r="AN60">
            <v>211.58313750000002</v>
          </cell>
          <cell r="AO60">
            <v>77.591250000000002</v>
          </cell>
          <cell r="AP60">
            <v>14.656125000000001</v>
          </cell>
          <cell r="AQ60">
            <v>15.000974999999999</v>
          </cell>
          <cell r="AR60">
            <v>17.2425</v>
          </cell>
          <cell r="AS60">
            <v>23.531701875</v>
          </cell>
          <cell r="AT60">
            <v>12.0669</v>
          </cell>
          <cell r="AU60">
            <v>160.08945187500001</v>
          </cell>
          <cell r="AV60">
            <v>1022.214451875</v>
          </cell>
          <cell r="AW60">
            <v>71.84375</v>
          </cell>
          <cell r="AX60">
            <v>82.215787656250001</v>
          </cell>
          <cell r="AY60">
            <v>170.3690753125</v>
          </cell>
          <cell r="AZ60">
            <v>324.42861296875003</v>
          </cell>
          <cell r="BA60">
            <v>1346.6430648437499</v>
          </cell>
          <cell r="BB60">
            <v>64.125860230654752</v>
          </cell>
          <cell r="BC60">
            <v>225.00301835317455</v>
          </cell>
          <cell r="BE60">
            <v>51</v>
          </cell>
          <cell r="BF60" t="str">
            <v>MAMANI MASCO, Javier</v>
          </cell>
          <cell r="BK60">
            <v>17</v>
          </cell>
          <cell r="BP60">
            <v>36</v>
          </cell>
          <cell r="BQ60">
            <v>200</v>
          </cell>
          <cell r="BR60">
            <v>228</v>
          </cell>
          <cell r="BW60">
            <v>481</v>
          </cell>
          <cell r="BX60">
            <v>481</v>
          </cell>
          <cell r="BY60">
            <v>0</v>
          </cell>
        </row>
        <row r="61">
          <cell r="A61">
            <v>52</v>
          </cell>
          <cell r="B61">
            <v>52</v>
          </cell>
          <cell r="C61" t="str">
            <v>MATAMET MERMA, Alejandro</v>
          </cell>
          <cell r="D61" t="str">
            <v>AYUDANTE</v>
          </cell>
          <cell r="E61">
            <v>37847</v>
          </cell>
          <cell r="G61" t="str">
            <v>01696984</v>
          </cell>
          <cell r="H61">
            <v>28.5</v>
          </cell>
          <cell r="I61">
            <v>3.5625</v>
          </cell>
          <cell r="J61" t="str">
            <v>INTEGRA</v>
          </cell>
          <cell r="K61">
            <v>25</v>
          </cell>
          <cell r="L61">
            <v>5</v>
          </cell>
          <cell r="M61">
            <v>0</v>
          </cell>
          <cell r="N61">
            <v>20</v>
          </cell>
          <cell r="P61">
            <v>712.5</v>
          </cell>
          <cell r="Q61">
            <v>142.5</v>
          </cell>
          <cell r="R61">
            <v>0</v>
          </cell>
          <cell r="S61">
            <v>89.0625</v>
          </cell>
          <cell r="T61">
            <v>0</v>
          </cell>
          <cell r="U61">
            <v>46</v>
          </cell>
          <cell r="Z61">
            <v>990.0625</v>
          </cell>
          <cell r="AA61">
            <v>0</v>
          </cell>
          <cell r="AB61">
            <v>99.006250000000009</v>
          </cell>
          <cell r="AC61">
            <v>8.7125500000000002</v>
          </cell>
          <cell r="AD61">
            <v>20.7913125</v>
          </cell>
          <cell r="AF61">
            <v>128.51011250000002</v>
          </cell>
          <cell r="AH61">
            <v>128.51011250000002</v>
          </cell>
          <cell r="AI61">
            <v>861.55238750000001</v>
          </cell>
          <cell r="AJ61">
            <v>224.5</v>
          </cell>
          <cell r="AK61">
            <v>0</v>
          </cell>
          <cell r="AL61">
            <v>224.5</v>
          </cell>
          <cell r="AM61">
            <v>0</v>
          </cell>
          <cell r="AN61">
            <v>637.05238750000001</v>
          </cell>
          <cell r="AO61">
            <v>89.105625000000003</v>
          </cell>
          <cell r="AP61">
            <v>16.831062500000002</v>
          </cell>
          <cell r="AQ61">
            <v>17.2270875</v>
          </cell>
          <cell r="AR61">
            <v>19.80125</v>
          </cell>
          <cell r="AS61">
            <v>27.023755937499999</v>
          </cell>
          <cell r="AT61">
            <v>13.1546</v>
          </cell>
          <cell r="AU61">
            <v>183.14338093749998</v>
          </cell>
          <cell r="AV61">
            <v>1173.2058809375001</v>
          </cell>
          <cell r="AW61">
            <v>82.505208333333329</v>
          </cell>
          <cell r="AX61">
            <v>90.345281744791677</v>
          </cell>
          <cell r="AY61">
            <v>187.86764682291667</v>
          </cell>
          <cell r="AZ61">
            <v>360.7181369010417</v>
          </cell>
          <cell r="BA61">
            <v>1533.9240178385417</v>
          </cell>
          <cell r="BB61">
            <v>61.356960713541667</v>
          </cell>
          <cell r="BC61">
            <v>215.28758145102339</v>
          </cell>
          <cell r="BE61">
            <v>52</v>
          </cell>
          <cell r="BF61" t="str">
            <v>MATAMET MERMA, Alejandro</v>
          </cell>
          <cell r="BG61">
            <v>40.5</v>
          </cell>
          <cell r="BL61">
            <v>150</v>
          </cell>
          <cell r="BU61">
            <v>34</v>
          </cell>
          <cell r="BW61">
            <v>224.5</v>
          </cell>
          <cell r="BX61">
            <v>224.5</v>
          </cell>
          <cell r="BY61">
            <v>0</v>
          </cell>
        </row>
        <row r="62">
          <cell r="A62">
            <v>53</v>
          </cell>
          <cell r="B62">
            <v>53</v>
          </cell>
          <cell r="C62" t="str">
            <v>MENDOZA DAVILA, Faustino</v>
          </cell>
          <cell r="D62" t="str">
            <v>PERFORISTA</v>
          </cell>
          <cell r="E62">
            <v>38047</v>
          </cell>
          <cell r="G62">
            <v>23470051</v>
          </cell>
          <cell r="H62">
            <v>31</v>
          </cell>
          <cell r="I62">
            <v>3.875</v>
          </cell>
          <cell r="J62" t="str">
            <v>ONP</v>
          </cell>
          <cell r="K62">
            <v>25</v>
          </cell>
          <cell r="L62">
            <v>5</v>
          </cell>
          <cell r="M62">
            <v>0</v>
          </cell>
          <cell r="N62">
            <v>20</v>
          </cell>
          <cell r="P62">
            <v>775</v>
          </cell>
          <cell r="Q62">
            <v>155</v>
          </cell>
          <cell r="R62">
            <v>0</v>
          </cell>
          <cell r="S62">
            <v>96.875</v>
          </cell>
          <cell r="T62">
            <v>0</v>
          </cell>
          <cell r="U62">
            <v>46</v>
          </cell>
          <cell r="Z62">
            <v>1072.875</v>
          </cell>
          <cell r="AA62">
            <v>139.47375</v>
          </cell>
          <cell r="AB62">
            <v>0</v>
          </cell>
          <cell r="AC62">
            <v>0</v>
          </cell>
          <cell r="AD62">
            <v>0</v>
          </cell>
          <cell r="AF62">
            <v>139.47375</v>
          </cell>
          <cell r="AH62">
            <v>139.47375</v>
          </cell>
          <cell r="AI62">
            <v>933.40125</v>
          </cell>
          <cell r="AJ62">
            <v>347.6</v>
          </cell>
          <cell r="AK62">
            <v>0</v>
          </cell>
          <cell r="AL62">
            <v>347.6</v>
          </cell>
          <cell r="AM62">
            <v>10</v>
          </cell>
          <cell r="AN62">
            <v>575.80124999999998</v>
          </cell>
          <cell r="AO62">
            <v>96.558750000000003</v>
          </cell>
          <cell r="AP62">
            <v>18.238875</v>
          </cell>
          <cell r="AQ62">
            <v>18.668025</v>
          </cell>
          <cell r="AR62">
            <v>0</v>
          </cell>
          <cell r="AS62">
            <v>29.284123125000001</v>
          </cell>
          <cell r="AT62">
            <v>14.249600000000001</v>
          </cell>
          <cell r="AU62">
            <v>176.99937312500003</v>
          </cell>
          <cell r="AV62">
            <v>1249.8743731250001</v>
          </cell>
          <cell r="AW62">
            <v>89.40625</v>
          </cell>
          <cell r="AX62">
            <v>96.083281093750017</v>
          </cell>
          <cell r="AY62">
            <v>200.64572885416669</v>
          </cell>
          <cell r="AZ62">
            <v>386.13525994791672</v>
          </cell>
          <cell r="BA62">
            <v>1636.0096330729168</v>
          </cell>
          <cell r="BB62">
            <v>65.440385322916669</v>
          </cell>
          <cell r="BC62">
            <v>211.09801717069891</v>
          </cell>
          <cell r="BE62">
            <v>53</v>
          </cell>
          <cell r="BF62" t="str">
            <v>MENDOZA DAVILA, Faustino</v>
          </cell>
          <cell r="BG62">
            <v>39</v>
          </cell>
          <cell r="BI62">
            <v>300</v>
          </cell>
          <cell r="BO62">
            <v>8.6</v>
          </cell>
          <cell r="BW62">
            <v>347.6</v>
          </cell>
          <cell r="BX62">
            <v>347.6</v>
          </cell>
          <cell r="BY62">
            <v>0</v>
          </cell>
        </row>
        <row r="63">
          <cell r="A63">
            <v>54</v>
          </cell>
          <cell r="B63">
            <v>54</v>
          </cell>
          <cell r="C63" t="str">
            <v>MENDOZA GASPAR, Alejandro</v>
          </cell>
          <cell r="D63" t="str">
            <v>AYUDANTE</v>
          </cell>
          <cell r="E63">
            <v>37634</v>
          </cell>
          <cell r="G63">
            <v>23221354</v>
          </cell>
          <cell r="H63">
            <v>28.5</v>
          </cell>
          <cell r="I63">
            <v>3.5625</v>
          </cell>
          <cell r="J63" t="str">
            <v>HORIZONTE</v>
          </cell>
          <cell r="K63">
            <v>25</v>
          </cell>
          <cell r="L63">
            <v>5</v>
          </cell>
          <cell r="M63">
            <v>0</v>
          </cell>
          <cell r="N63">
            <v>20</v>
          </cell>
          <cell r="P63">
            <v>712.5</v>
          </cell>
          <cell r="Q63">
            <v>142.5</v>
          </cell>
          <cell r="R63">
            <v>0</v>
          </cell>
          <cell r="S63">
            <v>89.0625</v>
          </cell>
          <cell r="T63">
            <v>0</v>
          </cell>
          <cell r="U63">
            <v>46</v>
          </cell>
          <cell r="Z63">
            <v>990.0625</v>
          </cell>
          <cell r="AA63">
            <v>0</v>
          </cell>
          <cell r="AB63">
            <v>99.006250000000009</v>
          </cell>
          <cell r="AC63">
            <v>8.8115562500000006</v>
          </cell>
          <cell r="AD63">
            <v>22.276406250000001</v>
          </cell>
          <cell r="AF63">
            <v>130.0942125</v>
          </cell>
          <cell r="AH63">
            <v>130.0942125</v>
          </cell>
          <cell r="AI63">
            <v>859.96828749999997</v>
          </cell>
          <cell r="AJ63">
            <v>401.5</v>
          </cell>
          <cell r="AK63">
            <v>0</v>
          </cell>
          <cell r="AL63">
            <v>401.5</v>
          </cell>
          <cell r="AM63">
            <v>10</v>
          </cell>
          <cell r="AN63">
            <v>448.46828749999997</v>
          </cell>
          <cell r="AO63">
            <v>89.105625000000003</v>
          </cell>
          <cell r="AP63">
            <v>16.831062500000002</v>
          </cell>
          <cell r="AQ63">
            <v>17.2270875</v>
          </cell>
          <cell r="AR63">
            <v>19.80125</v>
          </cell>
          <cell r="AS63">
            <v>27.023755937499999</v>
          </cell>
          <cell r="AT63">
            <v>13.1546</v>
          </cell>
          <cell r="AU63">
            <v>183.14338093749998</v>
          </cell>
          <cell r="AV63">
            <v>1173.2058809375001</v>
          </cell>
          <cell r="AW63">
            <v>82.505208333333329</v>
          </cell>
          <cell r="AX63">
            <v>90.345281744791677</v>
          </cell>
          <cell r="AY63">
            <v>187.86764682291667</v>
          </cell>
          <cell r="AZ63">
            <v>360.7181369010417</v>
          </cell>
          <cell r="BA63">
            <v>1533.9240178385417</v>
          </cell>
          <cell r="BB63">
            <v>61.356960713541667</v>
          </cell>
          <cell r="BC63">
            <v>215.28758145102339</v>
          </cell>
          <cell r="BE63">
            <v>54</v>
          </cell>
          <cell r="BF63" t="str">
            <v>MENDOZA GASPAR, Alejandro</v>
          </cell>
          <cell r="BG63">
            <v>27</v>
          </cell>
          <cell r="BL63">
            <v>289.5</v>
          </cell>
          <cell r="BM63">
            <v>16</v>
          </cell>
          <cell r="BO63">
            <v>60</v>
          </cell>
          <cell r="BR63">
            <v>9</v>
          </cell>
          <cell r="BW63">
            <v>401.5</v>
          </cell>
          <cell r="BX63">
            <v>401.5</v>
          </cell>
          <cell r="BY63">
            <v>0</v>
          </cell>
        </row>
        <row r="64">
          <cell r="A64">
            <v>55</v>
          </cell>
          <cell r="B64">
            <v>55</v>
          </cell>
          <cell r="C64" t="str">
            <v>MIRANDA BARREDA, Fernando</v>
          </cell>
          <cell r="D64" t="str">
            <v>AYUDANTE</v>
          </cell>
          <cell r="E64">
            <v>37753</v>
          </cell>
          <cell r="G64" t="str">
            <v>02415229</v>
          </cell>
          <cell r="H64">
            <v>28.5</v>
          </cell>
          <cell r="I64">
            <v>3.5625</v>
          </cell>
          <cell r="J64" t="str">
            <v>UNION</v>
          </cell>
          <cell r="K64">
            <v>24</v>
          </cell>
          <cell r="L64">
            <v>4.75</v>
          </cell>
          <cell r="M64">
            <v>0</v>
          </cell>
          <cell r="N64">
            <v>17</v>
          </cell>
          <cell r="P64">
            <v>684</v>
          </cell>
          <cell r="Q64">
            <v>135.375</v>
          </cell>
          <cell r="R64">
            <v>0</v>
          </cell>
          <cell r="S64">
            <v>75.703125</v>
          </cell>
          <cell r="T64">
            <v>0</v>
          </cell>
          <cell r="U64">
            <v>44.083333333333336</v>
          </cell>
          <cell r="V64">
            <v>80</v>
          </cell>
          <cell r="Z64">
            <v>1019.1614583333334</v>
          </cell>
          <cell r="AA64">
            <v>0</v>
          </cell>
          <cell r="AB64">
            <v>101.91614583333335</v>
          </cell>
          <cell r="AC64">
            <v>9.1724531250000005</v>
          </cell>
          <cell r="AD64">
            <v>23.134965104166668</v>
          </cell>
          <cell r="AF64">
            <v>134.22356406250003</v>
          </cell>
          <cell r="AH64">
            <v>134.22356406250003</v>
          </cell>
          <cell r="AI64">
            <v>884.93789427083334</v>
          </cell>
          <cell r="AJ64">
            <v>209.5</v>
          </cell>
          <cell r="AK64">
            <v>0</v>
          </cell>
          <cell r="AL64">
            <v>209.5</v>
          </cell>
          <cell r="AM64">
            <v>50</v>
          </cell>
          <cell r="AN64">
            <v>625.43789427083334</v>
          </cell>
          <cell r="AO64">
            <v>91.724531249999998</v>
          </cell>
          <cell r="AP64">
            <v>17.325744791666668</v>
          </cell>
          <cell r="AQ64">
            <v>17.733409375000001</v>
          </cell>
          <cell r="AR64">
            <v>20.383229166666666</v>
          </cell>
          <cell r="AS64">
            <v>27.818012005208335</v>
          </cell>
          <cell r="AT64">
            <v>12.606491666666667</v>
          </cell>
          <cell r="AU64">
            <v>187.59141825520834</v>
          </cell>
          <cell r="AV64">
            <v>1206.7528765885418</v>
          </cell>
          <cell r="AW64">
            <v>84.930121527777786</v>
          </cell>
          <cell r="AX64">
            <v>87.587479299045143</v>
          </cell>
          <cell r="AY64">
            <v>180.44492387586806</v>
          </cell>
          <cell r="AZ64">
            <v>352.96252470269098</v>
          </cell>
          <cell r="BA64">
            <v>1559.7154012912329</v>
          </cell>
          <cell r="BB64">
            <v>64.988141720468036</v>
          </cell>
          <cell r="BC64">
            <v>228.02856744023873</v>
          </cell>
          <cell r="BE64">
            <v>55</v>
          </cell>
          <cell r="BF64" t="str">
            <v>MIRANDA BARREDA, Fernando</v>
          </cell>
          <cell r="BJ64">
            <v>6</v>
          </cell>
          <cell r="BL64">
            <v>140</v>
          </cell>
          <cell r="BO64">
            <v>20</v>
          </cell>
          <cell r="BU64">
            <v>43.5</v>
          </cell>
          <cell r="BW64">
            <v>209.5</v>
          </cell>
          <cell r="BX64">
            <v>209.5</v>
          </cell>
          <cell r="BY64">
            <v>0</v>
          </cell>
        </row>
        <row r="65">
          <cell r="A65">
            <v>56</v>
          </cell>
          <cell r="B65">
            <v>56</v>
          </cell>
          <cell r="C65" t="str">
            <v>MUÑOZ QUISPE, Hilarion</v>
          </cell>
          <cell r="D65" t="str">
            <v>AYUDANTE</v>
          </cell>
          <cell r="E65">
            <v>38051</v>
          </cell>
          <cell r="G65">
            <v>80633254</v>
          </cell>
          <cell r="H65">
            <v>28.5</v>
          </cell>
          <cell r="I65">
            <v>3.5625</v>
          </cell>
          <cell r="J65" t="str">
            <v>UNION</v>
          </cell>
          <cell r="K65">
            <v>25</v>
          </cell>
          <cell r="L65">
            <v>5</v>
          </cell>
          <cell r="M65">
            <v>0</v>
          </cell>
          <cell r="N65">
            <v>20</v>
          </cell>
          <cell r="P65">
            <v>712.5</v>
          </cell>
          <cell r="Q65">
            <v>142.5</v>
          </cell>
          <cell r="R65">
            <v>0</v>
          </cell>
          <cell r="S65">
            <v>89.0625</v>
          </cell>
          <cell r="T65">
            <v>0</v>
          </cell>
          <cell r="V65">
            <v>225</v>
          </cell>
          <cell r="Z65">
            <v>1169.0625</v>
          </cell>
          <cell r="AA65">
            <v>0</v>
          </cell>
          <cell r="AB65">
            <v>116.90625</v>
          </cell>
          <cell r="AC65">
            <v>10.521562500000002</v>
          </cell>
          <cell r="AD65">
            <v>26.537718750000003</v>
          </cell>
          <cell r="AF65">
            <v>153.96553125</v>
          </cell>
          <cell r="AH65">
            <v>153.96553125</v>
          </cell>
          <cell r="AI65">
            <v>1015.09696875</v>
          </cell>
          <cell r="AJ65">
            <v>300.89999999999998</v>
          </cell>
          <cell r="AK65">
            <v>0</v>
          </cell>
          <cell r="AL65">
            <v>300.89999999999998</v>
          </cell>
          <cell r="AM65">
            <v>0</v>
          </cell>
          <cell r="AN65">
            <v>714.19696875</v>
          </cell>
          <cell r="AO65">
            <v>105.215625</v>
          </cell>
          <cell r="AP65">
            <v>19.874062500000001</v>
          </cell>
          <cell r="AQ65">
            <v>20.341687499999999</v>
          </cell>
          <cell r="AR65">
            <v>23.381250000000001</v>
          </cell>
          <cell r="AS65">
            <v>31.9095609375</v>
          </cell>
          <cell r="AT65">
            <v>12.483000000000001</v>
          </cell>
          <cell r="AU65">
            <v>213.2051859375</v>
          </cell>
          <cell r="AV65">
            <v>1382.2676859375001</v>
          </cell>
          <cell r="AW65">
            <v>97.421875</v>
          </cell>
          <cell r="AX65">
            <v>89.017098828125015</v>
          </cell>
          <cell r="AY65">
            <v>192.87794765625003</v>
          </cell>
          <cell r="AZ65">
            <v>379.31692148437503</v>
          </cell>
          <cell r="BA65">
            <v>1761.5846074218753</v>
          </cell>
          <cell r="BB65">
            <v>70.463384296875006</v>
          </cell>
          <cell r="BC65">
            <v>247.23994490131579</v>
          </cell>
          <cell r="BE65">
            <v>56</v>
          </cell>
          <cell r="BF65" t="str">
            <v>MUÑOZ QUISPE, Hilarion</v>
          </cell>
          <cell r="BJ65">
            <v>10.5</v>
          </cell>
          <cell r="BL65">
            <v>200</v>
          </cell>
          <cell r="BQ65">
            <v>87</v>
          </cell>
          <cell r="BR65">
            <v>3.4</v>
          </cell>
          <cell r="BW65">
            <v>300.89999999999998</v>
          </cell>
          <cell r="BX65">
            <v>300.89999999999998</v>
          </cell>
          <cell r="BY65">
            <v>0</v>
          </cell>
        </row>
        <row r="66">
          <cell r="A66">
            <v>57</v>
          </cell>
          <cell r="B66">
            <v>57</v>
          </cell>
          <cell r="C66" t="str">
            <v>MURILLO MAMANI, Alfredo</v>
          </cell>
          <cell r="D66" t="str">
            <v>PERFORISTA</v>
          </cell>
          <cell r="E66">
            <v>37328</v>
          </cell>
          <cell r="F66" t="str">
            <v>Uso Fisico</v>
          </cell>
          <cell r="G66" t="str">
            <v>01546509</v>
          </cell>
          <cell r="H66">
            <v>31</v>
          </cell>
          <cell r="I66">
            <v>3.875</v>
          </cell>
          <cell r="J66" t="str">
            <v>HORIZONTE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F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E66">
            <v>57</v>
          </cell>
          <cell r="BF66" t="str">
            <v>MURILLO MAMANI, Alfredo</v>
          </cell>
          <cell r="BW66">
            <v>0</v>
          </cell>
          <cell r="BX66">
            <v>0</v>
          </cell>
          <cell r="BY66">
            <v>0</v>
          </cell>
        </row>
        <row r="67">
          <cell r="A67">
            <v>58</v>
          </cell>
          <cell r="B67">
            <v>58</v>
          </cell>
          <cell r="C67" t="str">
            <v>MURILLO MAMANI, Juan de la cruz</v>
          </cell>
          <cell r="D67" t="str">
            <v>PERFORISTA</v>
          </cell>
          <cell r="E67">
            <v>37327</v>
          </cell>
          <cell r="G67">
            <v>40056284</v>
          </cell>
          <cell r="H67">
            <v>31</v>
          </cell>
          <cell r="I67">
            <v>3.875</v>
          </cell>
          <cell r="J67" t="str">
            <v>INTEGRA</v>
          </cell>
          <cell r="K67">
            <v>25</v>
          </cell>
          <cell r="L67">
            <v>5</v>
          </cell>
          <cell r="M67">
            <v>0</v>
          </cell>
          <cell r="N67">
            <v>20</v>
          </cell>
          <cell r="P67">
            <v>775</v>
          </cell>
          <cell r="Q67">
            <v>155</v>
          </cell>
          <cell r="R67">
            <v>0</v>
          </cell>
          <cell r="S67">
            <v>96.875</v>
          </cell>
          <cell r="T67">
            <v>0</v>
          </cell>
          <cell r="U67">
            <v>46</v>
          </cell>
          <cell r="Z67">
            <v>1072.875</v>
          </cell>
          <cell r="AA67">
            <v>0</v>
          </cell>
          <cell r="AB67">
            <v>107.28750000000001</v>
          </cell>
          <cell r="AC67">
            <v>9.4413</v>
          </cell>
          <cell r="AD67">
            <v>22.530375000000003</v>
          </cell>
          <cell r="AF67">
            <v>139.259175</v>
          </cell>
          <cell r="AH67">
            <v>139.259175</v>
          </cell>
          <cell r="AI67">
            <v>933.61582499999997</v>
          </cell>
          <cell r="AJ67">
            <v>297.5</v>
          </cell>
          <cell r="AK67">
            <v>0</v>
          </cell>
          <cell r="AL67">
            <v>297.5</v>
          </cell>
          <cell r="AM67">
            <v>0</v>
          </cell>
          <cell r="AN67">
            <v>636.11582499999997</v>
          </cell>
          <cell r="AO67">
            <v>96.558750000000003</v>
          </cell>
          <cell r="AP67">
            <v>18.238875</v>
          </cell>
          <cell r="AQ67">
            <v>18.668025</v>
          </cell>
          <cell r="AR67">
            <v>21.4575</v>
          </cell>
          <cell r="AS67">
            <v>29.284123125000001</v>
          </cell>
          <cell r="AT67">
            <v>14.249600000000001</v>
          </cell>
          <cell r="AU67">
            <v>198.45687312500002</v>
          </cell>
          <cell r="AV67">
            <v>1271.3318731250001</v>
          </cell>
          <cell r="AW67">
            <v>89.40625</v>
          </cell>
          <cell r="AX67">
            <v>97.871406093750011</v>
          </cell>
          <cell r="AY67">
            <v>204.22197885416668</v>
          </cell>
          <cell r="AZ67">
            <v>391.49963494791666</v>
          </cell>
          <cell r="BA67">
            <v>1662.8315080729167</v>
          </cell>
          <cell r="BB67">
            <v>66.513260322916665</v>
          </cell>
          <cell r="BC67">
            <v>214.55890426747311</v>
          </cell>
          <cell r="BE67">
            <v>58</v>
          </cell>
          <cell r="BF67" t="str">
            <v>MURILLO MAMANI, Juan de la cruz</v>
          </cell>
          <cell r="BI67">
            <v>236</v>
          </cell>
          <cell r="BJ67">
            <v>5.5</v>
          </cell>
          <cell r="BQ67">
            <v>56</v>
          </cell>
          <cell r="BW67">
            <v>297.5</v>
          </cell>
          <cell r="BX67">
            <v>297.5</v>
          </cell>
          <cell r="BY67">
            <v>0</v>
          </cell>
        </row>
        <row r="68">
          <cell r="A68">
            <v>59</v>
          </cell>
          <cell r="B68">
            <v>59</v>
          </cell>
          <cell r="C68" t="str">
            <v>NEIRA LEON, Hector</v>
          </cell>
          <cell r="D68" t="str">
            <v>PERFORISTA</v>
          </cell>
          <cell r="E68">
            <v>36457</v>
          </cell>
          <cell r="G68" t="str">
            <v>02397999</v>
          </cell>
          <cell r="H68">
            <v>31</v>
          </cell>
          <cell r="I68">
            <v>3.875</v>
          </cell>
          <cell r="J68" t="str">
            <v>UNION</v>
          </cell>
          <cell r="K68">
            <v>25</v>
          </cell>
          <cell r="L68">
            <v>5</v>
          </cell>
          <cell r="M68">
            <v>0</v>
          </cell>
          <cell r="N68">
            <v>20</v>
          </cell>
          <cell r="P68">
            <v>775</v>
          </cell>
          <cell r="Q68">
            <v>155</v>
          </cell>
          <cell r="R68">
            <v>0</v>
          </cell>
          <cell r="S68">
            <v>96.875</v>
          </cell>
          <cell r="T68">
            <v>0</v>
          </cell>
          <cell r="U68">
            <v>46</v>
          </cell>
          <cell r="Z68">
            <v>1072.875</v>
          </cell>
          <cell r="AA68">
            <v>0</v>
          </cell>
          <cell r="AB68">
            <v>107.28750000000001</v>
          </cell>
          <cell r="AC68">
            <v>9.6558750000000018</v>
          </cell>
          <cell r="AD68">
            <v>24.354262500000001</v>
          </cell>
          <cell r="AF68">
            <v>141.29763750000001</v>
          </cell>
          <cell r="AH68">
            <v>141.29763750000001</v>
          </cell>
          <cell r="AI68">
            <v>931.57736249999994</v>
          </cell>
          <cell r="AJ68">
            <v>39</v>
          </cell>
          <cell r="AK68">
            <v>0</v>
          </cell>
          <cell r="AL68">
            <v>39</v>
          </cell>
          <cell r="AM68">
            <v>0</v>
          </cell>
          <cell r="AN68">
            <v>892.57736249999994</v>
          </cell>
          <cell r="AO68">
            <v>96.558750000000003</v>
          </cell>
          <cell r="AP68">
            <v>18.238875</v>
          </cell>
          <cell r="AQ68">
            <v>18.668025</v>
          </cell>
          <cell r="AR68">
            <v>21.4575</v>
          </cell>
          <cell r="AS68">
            <v>29.284123125000001</v>
          </cell>
          <cell r="AT68">
            <v>14.249600000000001</v>
          </cell>
          <cell r="AU68">
            <v>198.45687312500002</v>
          </cell>
          <cell r="AV68">
            <v>1271.3318731250001</v>
          </cell>
          <cell r="AW68">
            <v>89.40625</v>
          </cell>
          <cell r="AX68">
            <v>97.871406093750011</v>
          </cell>
          <cell r="AY68">
            <v>204.22197885416668</v>
          </cell>
          <cell r="AZ68">
            <v>391.49963494791666</v>
          </cell>
          <cell r="BA68">
            <v>1662.8315080729167</v>
          </cell>
          <cell r="BB68">
            <v>66.513260322916665</v>
          </cell>
          <cell r="BC68">
            <v>214.55890426747311</v>
          </cell>
          <cell r="BE68">
            <v>59</v>
          </cell>
          <cell r="BF68" t="str">
            <v>NEIRA LEON, Hector</v>
          </cell>
          <cell r="BM68">
            <v>39</v>
          </cell>
          <cell r="BW68">
            <v>39</v>
          </cell>
          <cell r="BX68">
            <v>39</v>
          </cell>
          <cell r="BY68">
            <v>0</v>
          </cell>
        </row>
        <row r="69">
          <cell r="A69">
            <v>60</v>
          </cell>
          <cell r="B69">
            <v>60</v>
          </cell>
          <cell r="C69" t="str">
            <v>ÑAHUI DAMIAN, Fausto</v>
          </cell>
          <cell r="D69" t="str">
            <v>AYUDANTE</v>
          </cell>
          <cell r="E69">
            <v>37521</v>
          </cell>
          <cell r="G69">
            <v>23277017</v>
          </cell>
          <cell r="H69">
            <v>28.5</v>
          </cell>
          <cell r="I69">
            <v>3.5625</v>
          </cell>
          <cell r="J69" t="str">
            <v>PROFUTURO</v>
          </cell>
          <cell r="K69">
            <v>25</v>
          </cell>
          <cell r="L69">
            <v>5</v>
          </cell>
          <cell r="M69">
            <v>0</v>
          </cell>
          <cell r="N69">
            <v>20</v>
          </cell>
          <cell r="P69">
            <v>712.5</v>
          </cell>
          <cell r="Q69">
            <v>142.5</v>
          </cell>
          <cell r="R69">
            <v>0</v>
          </cell>
          <cell r="S69">
            <v>89.0625</v>
          </cell>
          <cell r="T69">
            <v>0</v>
          </cell>
          <cell r="U69">
            <v>46</v>
          </cell>
          <cell r="Z69">
            <v>990.0625</v>
          </cell>
          <cell r="AA69">
            <v>0</v>
          </cell>
          <cell r="AB69">
            <v>99.006250000000009</v>
          </cell>
          <cell r="AC69">
            <v>10.098637500000001</v>
          </cell>
          <cell r="AD69">
            <v>24.256531250000002</v>
          </cell>
          <cell r="AF69">
            <v>133.36141875000001</v>
          </cell>
          <cell r="AH69">
            <v>133.36141875000001</v>
          </cell>
          <cell r="AI69">
            <v>856.70108125000002</v>
          </cell>
          <cell r="AJ69">
            <v>422.1</v>
          </cell>
          <cell r="AK69">
            <v>0</v>
          </cell>
          <cell r="AL69">
            <v>422.1</v>
          </cell>
          <cell r="AM69">
            <v>0</v>
          </cell>
          <cell r="AN69">
            <v>434.60108124999999</v>
          </cell>
          <cell r="AO69">
            <v>89.105625000000003</v>
          </cell>
          <cell r="AP69">
            <v>16.831062500000002</v>
          </cell>
          <cell r="AQ69">
            <v>17.2270875</v>
          </cell>
          <cell r="AR69">
            <v>19.80125</v>
          </cell>
          <cell r="AS69">
            <v>27.023755937499999</v>
          </cell>
          <cell r="AT69">
            <v>13.1546</v>
          </cell>
          <cell r="AU69">
            <v>183.14338093749998</v>
          </cell>
          <cell r="AV69">
            <v>1173.2058809375001</v>
          </cell>
          <cell r="AW69">
            <v>82.505208333333329</v>
          </cell>
          <cell r="AX69">
            <v>90.345281744791677</v>
          </cell>
          <cell r="AY69">
            <v>187.86764682291667</v>
          </cell>
          <cell r="AZ69">
            <v>360.7181369010417</v>
          </cell>
          <cell r="BA69">
            <v>1533.9240178385417</v>
          </cell>
          <cell r="BB69">
            <v>61.356960713541667</v>
          </cell>
          <cell r="BC69">
            <v>215.28758145102339</v>
          </cell>
          <cell r="BE69">
            <v>60</v>
          </cell>
          <cell r="BF69" t="str">
            <v>ÑAHUI DAMIAN, Fausto</v>
          </cell>
          <cell r="BH69">
            <v>145.5</v>
          </cell>
          <cell r="BL69">
            <v>150</v>
          </cell>
          <cell r="BQ69">
            <v>77.599999999999994</v>
          </cell>
          <cell r="BR69">
            <v>49</v>
          </cell>
          <cell r="BW69">
            <v>422.1</v>
          </cell>
          <cell r="BX69">
            <v>422.1</v>
          </cell>
          <cell r="BY69">
            <v>0</v>
          </cell>
        </row>
        <row r="70">
          <cell r="A70">
            <v>61</v>
          </cell>
          <cell r="B70">
            <v>61</v>
          </cell>
          <cell r="C70" t="str">
            <v>ÑAHUI DAMIAN, Glicerio</v>
          </cell>
          <cell r="D70" t="str">
            <v>PERFORISTA</v>
          </cell>
          <cell r="E70">
            <v>37347</v>
          </cell>
          <cell r="G70">
            <v>23256110</v>
          </cell>
          <cell r="H70">
            <v>31</v>
          </cell>
          <cell r="I70">
            <v>3.875</v>
          </cell>
          <cell r="J70" t="str">
            <v>UNION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W70">
            <v>976</v>
          </cell>
          <cell r="Z70">
            <v>976</v>
          </cell>
          <cell r="AA70">
            <v>0</v>
          </cell>
          <cell r="AB70">
            <v>97.600000000000009</v>
          </cell>
          <cell r="AC70">
            <v>8.7840000000000007</v>
          </cell>
          <cell r="AD70">
            <v>22.155200000000001</v>
          </cell>
          <cell r="AF70">
            <v>128.53920000000002</v>
          </cell>
          <cell r="AG70">
            <v>847.46</v>
          </cell>
          <cell r="AH70">
            <v>975.99920000000009</v>
          </cell>
          <cell r="AI70">
            <v>7.9999999991287041E-4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7.9999999991287041E-4</v>
          </cell>
          <cell r="AO70">
            <v>87.84</v>
          </cell>
          <cell r="AP70">
            <v>16.592000000000002</v>
          </cell>
          <cell r="AQ70">
            <v>16.982399999999998</v>
          </cell>
          <cell r="AR70">
            <v>19.52</v>
          </cell>
          <cell r="AS70">
            <v>26.63992</v>
          </cell>
          <cell r="AT70">
            <v>0</v>
          </cell>
          <cell r="AU70">
            <v>167.57432</v>
          </cell>
          <cell r="AV70">
            <v>1143.5743199999999</v>
          </cell>
          <cell r="AW70">
            <v>81.333333333333329</v>
          </cell>
          <cell r="AX70">
            <v>13.964526666666666</v>
          </cell>
          <cell r="AY70">
            <v>27.929053333333332</v>
          </cell>
          <cell r="AZ70">
            <v>123.22691333333333</v>
          </cell>
          <cell r="BA70">
            <v>1266.8012333333334</v>
          </cell>
          <cell r="BB70">
            <v>0</v>
          </cell>
          <cell r="BC70">
            <v>0</v>
          </cell>
          <cell r="BE70">
            <v>61</v>
          </cell>
          <cell r="BF70" t="str">
            <v>ÑAHUI DAMIAN, Glicerio</v>
          </cell>
          <cell r="BW70">
            <v>0</v>
          </cell>
          <cell r="BX70">
            <v>0</v>
          </cell>
          <cell r="BY70">
            <v>0</v>
          </cell>
        </row>
        <row r="71">
          <cell r="A71">
            <v>62</v>
          </cell>
          <cell r="B71">
            <v>62</v>
          </cell>
          <cell r="C71" t="str">
            <v>ÑAHUI DAMIAN, Lucio</v>
          </cell>
          <cell r="D71" t="str">
            <v>PERFORISTA</v>
          </cell>
          <cell r="E71">
            <v>37104</v>
          </cell>
          <cell r="G71">
            <v>41371231</v>
          </cell>
          <cell r="H71">
            <v>31</v>
          </cell>
          <cell r="I71">
            <v>3.875</v>
          </cell>
          <cell r="J71" t="str">
            <v>UNION</v>
          </cell>
          <cell r="K71">
            <v>25</v>
          </cell>
          <cell r="L71">
            <v>5</v>
          </cell>
          <cell r="M71">
            <v>0</v>
          </cell>
          <cell r="N71">
            <v>20</v>
          </cell>
          <cell r="P71">
            <v>775</v>
          </cell>
          <cell r="Q71">
            <v>155</v>
          </cell>
          <cell r="R71">
            <v>0</v>
          </cell>
          <cell r="S71">
            <v>96.875</v>
          </cell>
          <cell r="T71">
            <v>0</v>
          </cell>
          <cell r="U71">
            <v>46</v>
          </cell>
          <cell r="Z71">
            <v>1072.875</v>
          </cell>
          <cell r="AA71">
            <v>0</v>
          </cell>
          <cell r="AB71">
            <v>107.28750000000001</v>
          </cell>
          <cell r="AC71">
            <v>9.6558750000000018</v>
          </cell>
          <cell r="AD71">
            <v>24.354262500000001</v>
          </cell>
          <cell r="AF71">
            <v>141.29763750000001</v>
          </cell>
          <cell r="AH71">
            <v>141.29763750000001</v>
          </cell>
          <cell r="AI71">
            <v>931.57736249999994</v>
          </cell>
          <cell r="AJ71">
            <v>462.7</v>
          </cell>
          <cell r="AK71">
            <v>0</v>
          </cell>
          <cell r="AL71">
            <v>462.7</v>
          </cell>
          <cell r="AM71">
            <v>10</v>
          </cell>
          <cell r="AN71">
            <v>458.87736249999995</v>
          </cell>
          <cell r="AO71">
            <v>96.558750000000003</v>
          </cell>
          <cell r="AP71">
            <v>18.238875</v>
          </cell>
          <cell r="AQ71">
            <v>18.668025</v>
          </cell>
          <cell r="AR71">
            <v>21.4575</v>
          </cell>
          <cell r="AS71">
            <v>29.284123125000001</v>
          </cell>
          <cell r="AT71">
            <v>14.249600000000001</v>
          </cell>
          <cell r="AU71">
            <v>198.45687312500002</v>
          </cell>
          <cell r="AV71">
            <v>1271.3318731250001</v>
          </cell>
          <cell r="AW71">
            <v>89.40625</v>
          </cell>
          <cell r="AX71">
            <v>97.871406093750011</v>
          </cell>
          <cell r="AY71">
            <v>204.22197885416668</v>
          </cell>
          <cell r="AZ71">
            <v>391.49963494791666</v>
          </cell>
          <cell r="BA71">
            <v>1662.8315080729167</v>
          </cell>
          <cell r="BB71">
            <v>66.513260322916665</v>
          </cell>
          <cell r="BC71">
            <v>214.55890426747311</v>
          </cell>
          <cell r="BE71">
            <v>62</v>
          </cell>
          <cell r="BF71" t="str">
            <v>ÑAHUI DAMIAN, Lucio</v>
          </cell>
          <cell r="BH71">
            <v>171.7</v>
          </cell>
          <cell r="BL71">
            <v>39</v>
          </cell>
          <cell r="BO71">
            <v>70</v>
          </cell>
          <cell r="BQ71">
            <v>150</v>
          </cell>
          <cell r="BR71">
            <v>32</v>
          </cell>
          <cell r="BW71">
            <v>462.7</v>
          </cell>
          <cell r="BX71">
            <v>462.7</v>
          </cell>
          <cell r="BY71">
            <v>0</v>
          </cell>
        </row>
        <row r="72">
          <cell r="A72">
            <v>63</v>
          </cell>
          <cell r="B72">
            <v>63</v>
          </cell>
          <cell r="C72" t="str">
            <v>PARI COLCA, Marciano</v>
          </cell>
          <cell r="D72" t="str">
            <v>PERFORISTA</v>
          </cell>
          <cell r="E72">
            <v>38002</v>
          </cell>
          <cell r="G72" t="str">
            <v>02433229</v>
          </cell>
          <cell r="H72">
            <v>31</v>
          </cell>
          <cell r="I72">
            <v>3.875</v>
          </cell>
          <cell r="J72" t="str">
            <v>HORIZONTE</v>
          </cell>
          <cell r="K72">
            <v>25</v>
          </cell>
          <cell r="L72">
            <v>5</v>
          </cell>
          <cell r="M72">
            <v>0</v>
          </cell>
          <cell r="N72">
            <v>20</v>
          </cell>
          <cell r="O72">
            <v>88</v>
          </cell>
          <cell r="P72">
            <v>775</v>
          </cell>
          <cell r="Q72">
            <v>155</v>
          </cell>
          <cell r="R72">
            <v>0</v>
          </cell>
          <cell r="S72">
            <v>96.875</v>
          </cell>
          <cell r="T72">
            <v>682</v>
          </cell>
          <cell r="Z72">
            <v>1708.875</v>
          </cell>
          <cell r="AA72">
            <v>0</v>
          </cell>
          <cell r="AB72">
            <v>170.88750000000002</v>
          </cell>
          <cell r="AC72">
            <v>15.208987499999999</v>
          </cell>
          <cell r="AD72">
            <v>38.449687499999996</v>
          </cell>
          <cell r="AF72">
            <v>224.54617500000001</v>
          </cell>
          <cell r="AH72">
            <v>224.54617500000001</v>
          </cell>
          <cell r="AI72">
            <v>1484.3288250000001</v>
          </cell>
          <cell r="AJ72">
            <v>417.1</v>
          </cell>
          <cell r="AK72">
            <v>0</v>
          </cell>
          <cell r="AL72">
            <v>417.1</v>
          </cell>
          <cell r="AM72">
            <v>17</v>
          </cell>
          <cell r="AN72">
            <v>1050.2288250000001</v>
          </cell>
          <cell r="AO72">
            <v>153.79874999999998</v>
          </cell>
          <cell r="AP72">
            <v>29.050875000000001</v>
          </cell>
          <cell r="AQ72">
            <v>29.734424999999998</v>
          </cell>
          <cell r="AR72">
            <v>34.177500000000002</v>
          </cell>
          <cell r="AS72">
            <v>46.643743125</v>
          </cell>
          <cell r="AT72">
            <v>13.577999999999999</v>
          </cell>
          <cell r="AU72">
            <v>306.98329312499993</v>
          </cell>
          <cell r="AV72">
            <v>2015.8582931249998</v>
          </cell>
          <cell r="AW72">
            <v>142.40625</v>
          </cell>
          <cell r="AX72">
            <v>103.08194109374999</v>
          </cell>
          <cell r="AY72">
            <v>222.30971552083329</v>
          </cell>
          <cell r="AZ72">
            <v>467.79790661458333</v>
          </cell>
          <cell r="BA72">
            <v>2483.6561997395829</v>
          </cell>
          <cell r="BB72">
            <v>99.346247989583318</v>
          </cell>
          <cell r="BC72">
            <v>320.47176770833329</v>
          </cell>
          <cell r="BE72">
            <v>63</v>
          </cell>
          <cell r="BF72" t="str">
            <v>PARI COLCA, Marciano</v>
          </cell>
          <cell r="BI72">
            <v>230</v>
          </cell>
          <cell r="BK72">
            <v>35.1</v>
          </cell>
          <cell r="BO72">
            <v>50</v>
          </cell>
          <cell r="BQ72">
            <v>22</v>
          </cell>
          <cell r="BR72">
            <v>80</v>
          </cell>
          <cell r="BW72">
            <v>417.1</v>
          </cell>
          <cell r="BX72">
            <v>417.1</v>
          </cell>
          <cell r="BY72">
            <v>0</v>
          </cell>
        </row>
        <row r="73">
          <cell r="A73">
            <v>64</v>
          </cell>
          <cell r="B73">
            <v>64</v>
          </cell>
          <cell r="C73" t="str">
            <v>PATRICIO RIVERA, Ubaldo</v>
          </cell>
          <cell r="D73" t="str">
            <v>PERFORISTA</v>
          </cell>
          <cell r="E73">
            <v>38096</v>
          </cell>
          <cell r="G73">
            <v>21095998</v>
          </cell>
          <cell r="H73">
            <v>31</v>
          </cell>
          <cell r="I73">
            <v>3.875</v>
          </cell>
          <cell r="J73" t="str">
            <v>INTEGRA</v>
          </cell>
          <cell r="K73">
            <v>23</v>
          </cell>
          <cell r="L73">
            <v>4.5</v>
          </cell>
          <cell r="M73">
            <v>0</v>
          </cell>
          <cell r="N73">
            <v>14</v>
          </cell>
          <cell r="P73">
            <v>713</v>
          </cell>
          <cell r="Q73">
            <v>139.5</v>
          </cell>
          <cell r="R73">
            <v>0</v>
          </cell>
          <cell r="S73">
            <v>67.8125</v>
          </cell>
          <cell r="T73">
            <v>0</v>
          </cell>
          <cell r="U73">
            <v>42.166666666666671</v>
          </cell>
          <cell r="Z73">
            <v>962.47916666666663</v>
          </cell>
          <cell r="AA73">
            <v>0</v>
          </cell>
          <cell r="AB73">
            <v>96.247916666666669</v>
          </cell>
          <cell r="AC73">
            <v>8.4698166666666665</v>
          </cell>
          <cell r="AD73">
            <v>20.212062500000002</v>
          </cell>
          <cell r="AF73">
            <v>124.92979583333334</v>
          </cell>
          <cell r="AH73">
            <v>124.92979583333334</v>
          </cell>
          <cell r="AI73">
            <v>837.54937083333334</v>
          </cell>
          <cell r="AJ73">
            <v>209.8</v>
          </cell>
          <cell r="AK73">
            <v>0</v>
          </cell>
          <cell r="AL73">
            <v>209.8</v>
          </cell>
          <cell r="AM73">
            <v>0</v>
          </cell>
          <cell r="AN73">
            <v>627.74937083333339</v>
          </cell>
          <cell r="AO73">
            <v>86.623124999999987</v>
          </cell>
          <cell r="AP73">
            <v>16.362145833333333</v>
          </cell>
          <cell r="AQ73">
            <v>16.747137499999997</v>
          </cell>
          <cell r="AR73">
            <v>19.249583333333334</v>
          </cell>
          <cell r="AS73">
            <v>26.270868854166665</v>
          </cell>
          <cell r="AT73">
            <v>13.062133333333334</v>
          </cell>
          <cell r="AU73">
            <v>178.31499385416666</v>
          </cell>
          <cell r="AV73">
            <v>1140.7941605208332</v>
          </cell>
          <cell r="AW73">
            <v>80.206597222222214</v>
          </cell>
          <cell r="AX73">
            <v>89.415138376736095</v>
          </cell>
          <cell r="AY73">
            <v>183.10458230902779</v>
          </cell>
          <cell r="AZ73">
            <v>352.72631790798607</v>
          </cell>
          <cell r="BA73">
            <v>1493.5204784288194</v>
          </cell>
          <cell r="BB73">
            <v>64.935672975166057</v>
          </cell>
          <cell r="BC73">
            <v>209.46991282311635</v>
          </cell>
          <cell r="BE73">
            <v>64</v>
          </cell>
          <cell r="BF73" t="str">
            <v>PATRICIO RIVERA, Ubaldo</v>
          </cell>
          <cell r="BJ73">
            <v>4.3</v>
          </cell>
          <cell r="BL73">
            <v>155.5</v>
          </cell>
          <cell r="BO73">
            <v>50</v>
          </cell>
          <cell r="BW73">
            <v>209.8</v>
          </cell>
          <cell r="BX73">
            <v>209.8</v>
          </cell>
          <cell r="BY73">
            <v>0</v>
          </cell>
        </row>
        <row r="74">
          <cell r="A74">
            <v>65</v>
          </cell>
          <cell r="B74">
            <v>65</v>
          </cell>
          <cell r="C74" t="str">
            <v>PAUCAR TICSIHUA, Eduardo</v>
          </cell>
          <cell r="D74" t="str">
            <v>PERFORISTA</v>
          </cell>
          <cell r="E74">
            <v>37866</v>
          </cell>
          <cell r="G74">
            <v>41087668</v>
          </cell>
          <cell r="H74">
            <v>31</v>
          </cell>
          <cell r="I74">
            <v>3.875</v>
          </cell>
          <cell r="J74" t="str">
            <v>UNION</v>
          </cell>
          <cell r="K74">
            <v>24</v>
          </cell>
          <cell r="L74">
            <v>4.75</v>
          </cell>
          <cell r="M74">
            <v>1</v>
          </cell>
          <cell r="N74">
            <v>17</v>
          </cell>
          <cell r="P74">
            <v>744</v>
          </cell>
          <cell r="Q74">
            <v>147.25</v>
          </cell>
          <cell r="R74">
            <v>31</v>
          </cell>
          <cell r="S74">
            <v>82.34375</v>
          </cell>
          <cell r="T74">
            <v>0</v>
          </cell>
          <cell r="U74">
            <v>45.616666666666667</v>
          </cell>
          <cell r="V74">
            <v>80</v>
          </cell>
          <cell r="Z74">
            <v>1130.2104166666666</v>
          </cell>
          <cell r="AA74">
            <v>0</v>
          </cell>
          <cell r="AB74">
            <v>113.02104166666666</v>
          </cell>
          <cell r="AC74">
            <v>10.171893750000001</v>
          </cell>
          <cell r="AD74">
            <v>25.655776458333332</v>
          </cell>
          <cell r="AF74">
            <v>148.84871187499999</v>
          </cell>
          <cell r="AH74">
            <v>148.84871187499999</v>
          </cell>
          <cell r="AI74">
            <v>981.36170479166663</v>
          </cell>
          <cell r="AJ74">
            <v>206.3</v>
          </cell>
          <cell r="AK74">
            <v>0</v>
          </cell>
          <cell r="AL74">
            <v>206.3</v>
          </cell>
          <cell r="AM74">
            <v>0</v>
          </cell>
          <cell r="AN74">
            <v>775.06170479166667</v>
          </cell>
          <cell r="AO74">
            <v>101.71893749999998</v>
          </cell>
          <cell r="AP74">
            <v>19.213577083333334</v>
          </cell>
          <cell r="AQ74">
            <v>19.665661249999996</v>
          </cell>
          <cell r="AR74">
            <v>22.604208333333332</v>
          </cell>
          <cell r="AS74">
            <v>30.849093322916666</v>
          </cell>
          <cell r="AT74">
            <v>14.130853333333334</v>
          </cell>
          <cell r="AU74">
            <v>208.18233082291664</v>
          </cell>
          <cell r="AV74">
            <v>1338.3927474895831</v>
          </cell>
          <cell r="AW74">
            <v>94.18420138888888</v>
          </cell>
          <cell r="AX74">
            <v>98.004083124131952</v>
          </cell>
          <cell r="AY74">
            <v>202.12934680381943</v>
          </cell>
          <cell r="AZ74">
            <v>394.31763131684028</v>
          </cell>
          <cell r="BA74">
            <v>1732.7103788064235</v>
          </cell>
          <cell r="BB74">
            <v>72.196265783600978</v>
          </cell>
          <cell r="BC74">
            <v>232.89117994709994</v>
          </cell>
          <cell r="BE74">
            <v>65</v>
          </cell>
          <cell r="BF74" t="str">
            <v>PAUCAR TICSIHUA, Eduardo</v>
          </cell>
          <cell r="BG74">
            <v>10</v>
          </cell>
          <cell r="BI74">
            <v>9</v>
          </cell>
          <cell r="BK74">
            <v>2.5</v>
          </cell>
          <cell r="BL74">
            <v>150</v>
          </cell>
          <cell r="BO74">
            <v>34.799999999999997</v>
          </cell>
          <cell r="BW74">
            <v>206.3</v>
          </cell>
          <cell r="BX74">
            <v>206.3</v>
          </cell>
          <cell r="BY74">
            <v>0</v>
          </cell>
        </row>
        <row r="75">
          <cell r="A75">
            <v>66</v>
          </cell>
          <cell r="B75">
            <v>66</v>
          </cell>
          <cell r="C75" t="str">
            <v>QUISPE AQUISE, Sergio</v>
          </cell>
          <cell r="D75" t="str">
            <v>PERFORISTA</v>
          </cell>
          <cell r="E75">
            <v>37377</v>
          </cell>
          <cell r="G75">
            <v>10653061</v>
          </cell>
          <cell r="H75">
            <v>31</v>
          </cell>
          <cell r="I75">
            <v>3.875</v>
          </cell>
          <cell r="J75" t="str">
            <v>PROFUTURO</v>
          </cell>
          <cell r="K75">
            <v>25</v>
          </cell>
          <cell r="L75">
            <v>5</v>
          </cell>
          <cell r="M75">
            <v>0</v>
          </cell>
          <cell r="N75">
            <v>20</v>
          </cell>
          <cell r="O75">
            <v>77</v>
          </cell>
          <cell r="P75">
            <v>775</v>
          </cell>
          <cell r="Q75">
            <v>155</v>
          </cell>
          <cell r="R75">
            <v>0</v>
          </cell>
          <cell r="S75">
            <v>96.875</v>
          </cell>
          <cell r="T75">
            <v>596.75</v>
          </cell>
          <cell r="Z75">
            <v>1623.625</v>
          </cell>
          <cell r="AA75">
            <v>0</v>
          </cell>
          <cell r="AB75">
            <v>162.36250000000001</v>
          </cell>
          <cell r="AC75">
            <v>16.560975000000003</v>
          </cell>
          <cell r="AD75">
            <v>39.778812500000001</v>
          </cell>
          <cell r="AF75">
            <v>218.70228750000001</v>
          </cell>
          <cell r="AH75">
            <v>218.70228750000001</v>
          </cell>
          <cell r="AI75">
            <v>1404.9227125</v>
          </cell>
          <cell r="AJ75">
            <v>230</v>
          </cell>
          <cell r="AK75">
            <v>0</v>
          </cell>
          <cell r="AL75">
            <v>230</v>
          </cell>
          <cell r="AM75">
            <v>0</v>
          </cell>
          <cell r="AN75">
            <v>1174.9227125</v>
          </cell>
          <cell r="AO75">
            <v>146.12625</v>
          </cell>
          <cell r="AP75">
            <v>27.601625000000002</v>
          </cell>
          <cell r="AQ75">
            <v>28.251074999999997</v>
          </cell>
          <cell r="AR75">
            <v>32.472500000000004</v>
          </cell>
          <cell r="AS75">
            <v>44.316844375000002</v>
          </cell>
          <cell r="AT75">
            <v>13.577999999999999</v>
          </cell>
          <cell r="AU75">
            <v>292.34629437499996</v>
          </cell>
          <cell r="AV75">
            <v>1915.9712943750001</v>
          </cell>
          <cell r="AW75">
            <v>135.30208333333334</v>
          </cell>
          <cell r="AX75">
            <v>101.86219119791667</v>
          </cell>
          <cell r="AY75">
            <v>219.87021572916669</v>
          </cell>
          <cell r="AZ75">
            <v>457.0344902604167</v>
          </cell>
          <cell r="BA75">
            <v>2373.0057846354166</v>
          </cell>
          <cell r="BB75">
            <v>94.92023138541667</v>
          </cell>
          <cell r="BC75">
            <v>306.19429479166666</v>
          </cell>
          <cell r="BE75">
            <v>66</v>
          </cell>
          <cell r="BF75" t="str">
            <v>QUISPE AQUISE, Sergio</v>
          </cell>
          <cell r="BM75">
            <v>10</v>
          </cell>
          <cell r="BO75">
            <v>220</v>
          </cell>
          <cell r="BW75">
            <v>230</v>
          </cell>
          <cell r="BX75">
            <v>230</v>
          </cell>
          <cell r="BY75">
            <v>0</v>
          </cell>
        </row>
        <row r="76">
          <cell r="A76">
            <v>67</v>
          </cell>
          <cell r="B76">
            <v>67</v>
          </cell>
          <cell r="C76" t="str">
            <v>QUISPE CAHUAPAZA, Jose Luis</v>
          </cell>
          <cell r="D76" t="str">
            <v>AYUDANTE</v>
          </cell>
          <cell r="E76">
            <v>38151</v>
          </cell>
          <cell r="G76" t="str">
            <v>29612792</v>
          </cell>
          <cell r="H76">
            <v>28.5</v>
          </cell>
          <cell r="I76">
            <v>3.5625</v>
          </cell>
          <cell r="J76" t="str">
            <v>INTEGRA</v>
          </cell>
          <cell r="K76">
            <v>6</v>
          </cell>
          <cell r="L76">
            <v>0.25</v>
          </cell>
          <cell r="M76">
            <v>0</v>
          </cell>
          <cell r="N76">
            <v>0</v>
          </cell>
          <cell r="P76">
            <v>171</v>
          </cell>
          <cell r="Q76">
            <v>7.125</v>
          </cell>
          <cell r="R76">
            <v>0</v>
          </cell>
          <cell r="S76">
            <v>0</v>
          </cell>
          <cell r="T76">
            <v>0</v>
          </cell>
          <cell r="Z76">
            <v>178.125</v>
          </cell>
          <cell r="AA76">
            <v>0</v>
          </cell>
          <cell r="AB76">
            <v>17.8125</v>
          </cell>
          <cell r="AC76">
            <v>1.5675000000000001</v>
          </cell>
          <cell r="AD76">
            <v>3.7406250000000001</v>
          </cell>
          <cell r="AF76">
            <v>23.120625</v>
          </cell>
          <cell r="AH76">
            <v>23.120625</v>
          </cell>
          <cell r="AI76">
            <v>155.00437500000001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155.00437500000001</v>
          </cell>
          <cell r="AO76">
            <v>16.03125</v>
          </cell>
          <cell r="AP76">
            <v>3.0281250000000002</v>
          </cell>
          <cell r="AQ76">
            <v>3.0993749999999998</v>
          </cell>
          <cell r="AR76">
            <v>3.5625</v>
          </cell>
          <cell r="AS76">
            <v>4.8619218749999993</v>
          </cell>
          <cell r="AT76">
            <v>2.600625</v>
          </cell>
          <cell r="AU76">
            <v>33.183796874999999</v>
          </cell>
          <cell r="AV76">
            <v>211.30879687499998</v>
          </cell>
          <cell r="AW76">
            <v>14.84375</v>
          </cell>
          <cell r="AX76">
            <v>17.609066406249998</v>
          </cell>
          <cell r="AY76">
            <v>35.218132812499995</v>
          </cell>
          <cell r="AZ76">
            <v>67.670949218749996</v>
          </cell>
          <cell r="BA76">
            <v>278.97974609375001</v>
          </cell>
          <cell r="BB76">
            <v>46.496624348958335</v>
          </cell>
          <cell r="BC76">
            <v>163.14605034722223</v>
          </cell>
          <cell r="BE76">
            <v>67</v>
          </cell>
          <cell r="BF76" t="str">
            <v>QUISPE CAHUAPAZA, Jose Luis</v>
          </cell>
          <cell r="BW76">
            <v>0</v>
          </cell>
          <cell r="BX76">
            <v>0</v>
          </cell>
          <cell r="BY76">
            <v>0</v>
          </cell>
        </row>
        <row r="77">
          <cell r="A77">
            <v>68</v>
          </cell>
          <cell r="B77">
            <v>68</v>
          </cell>
          <cell r="C77" t="str">
            <v>QUISPE CALCINA, Francisco</v>
          </cell>
          <cell r="D77" t="str">
            <v>AYUDANTE</v>
          </cell>
          <cell r="E77">
            <v>37753</v>
          </cell>
          <cell r="G77" t="str">
            <v>01545531</v>
          </cell>
          <cell r="H77">
            <v>28.5</v>
          </cell>
          <cell r="I77">
            <v>3.5625</v>
          </cell>
          <cell r="J77" t="str">
            <v>HORIZONTE</v>
          </cell>
          <cell r="K77">
            <v>25</v>
          </cell>
          <cell r="L77">
            <v>5</v>
          </cell>
          <cell r="M77">
            <v>0</v>
          </cell>
          <cell r="N77">
            <v>20</v>
          </cell>
          <cell r="P77">
            <v>712.5</v>
          </cell>
          <cell r="Q77">
            <v>142.5</v>
          </cell>
          <cell r="R77">
            <v>0</v>
          </cell>
          <cell r="S77">
            <v>89.0625</v>
          </cell>
          <cell r="T77">
            <v>0</v>
          </cell>
          <cell r="U77">
            <v>46</v>
          </cell>
          <cell r="V77">
            <v>80</v>
          </cell>
          <cell r="Z77">
            <v>1070.0625</v>
          </cell>
          <cell r="AA77">
            <v>0</v>
          </cell>
          <cell r="AB77">
            <v>107.00625000000001</v>
          </cell>
          <cell r="AC77">
            <v>9.5235562500000004</v>
          </cell>
          <cell r="AD77">
            <v>24.076406249999998</v>
          </cell>
          <cell r="AF77">
            <v>140.6062125</v>
          </cell>
          <cell r="AH77">
            <v>140.6062125</v>
          </cell>
          <cell r="AI77">
            <v>929.45628750000003</v>
          </cell>
          <cell r="AJ77">
            <v>28.5</v>
          </cell>
          <cell r="AK77">
            <v>0</v>
          </cell>
          <cell r="AL77">
            <v>28.5</v>
          </cell>
          <cell r="AM77">
            <v>2</v>
          </cell>
          <cell r="AN77">
            <v>898.95628750000003</v>
          </cell>
          <cell r="AO77">
            <v>96.305624999999992</v>
          </cell>
          <cell r="AP77">
            <v>18.191062500000001</v>
          </cell>
          <cell r="AQ77">
            <v>18.619087499999999</v>
          </cell>
          <cell r="AR77">
            <v>21.401250000000001</v>
          </cell>
          <cell r="AS77">
            <v>29.207355937500001</v>
          </cell>
          <cell r="AT77">
            <v>13.1546</v>
          </cell>
          <cell r="AU77">
            <v>196.87898093749999</v>
          </cell>
          <cell r="AV77">
            <v>1266.9414809375</v>
          </cell>
          <cell r="AW77">
            <v>89.171875</v>
          </cell>
          <cell r="AX77">
            <v>91.489915078125009</v>
          </cell>
          <cell r="AY77">
            <v>190.15691348958333</v>
          </cell>
          <cell r="AZ77">
            <v>370.81870356770833</v>
          </cell>
          <cell r="BA77">
            <v>1637.7601845052084</v>
          </cell>
          <cell r="BB77">
            <v>65.510407380208335</v>
          </cell>
          <cell r="BC77">
            <v>229.86107852704677</v>
          </cell>
          <cell r="BE77">
            <v>68</v>
          </cell>
          <cell r="BF77" t="str">
            <v>QUISPE CALCINA, Francisco</v>
          </cell>
          <cell r="BG77">
            <v>11</v>
          </cell>
          <cell r="BO77">
            <v>17.5</v>
          </cell>
          <cell r="BW77">
            <v>28.5</v>
          </cell>
          <cell r="BX77">
            <v>28.5</v>
          </cell>
          <cell r="BY77">
            <v>0</v>
          </cell>
        </row>
        <row r="78">
          <cell r="A78">
            <v>69</v>
          </cell>
          <cell r="B78">
            <v>69</v>
          </cell>
          <cell r="C78" t="str">
            <v>QUISPE FERNANDEZ,Jose Hugo</v>
          </cell>
          <cell r="D78" t="str">
            <v>AYUDANTE</v>
          </cell>
          <cell r="E78">
            <v>37412</v>
          </cell>
          <cell r="G78">
            <v>23269627</v>
          </cell>
          <cell r="H78">
            <v>28.5</v>
          </cell>
          <cell r="I78">
            <v>3.5625</v>
          </cell>
          <cell r="J78" t="str">
            <v>HORIZONTE</v>
          </cell>
          <cell r="K78">
            <v>25</v>
          </cell>
          <cell r="L78">
            <v>5</v>
          </cell>
          <cell r="M78">
            <v>0</v>
          </cell>
          <cell r="N78">
            <v>20</v>
          </cell>
          <cell r="P78">
            <v>712.5</v>
          </cell>
          <cell r="Q78">
            <v>142.5</v>
          </cell>
          <cell r="R78">
            <v>0</v>
          </cell>
          <cell r="S78">
            <v>89.0625</v>
          </cell>
          <cell r="T78">
            <v>0</v>
          </cell>
          <cell r="U78">
            <v>46</v>
          </cell>
          <cell r="Z78">
            <v>990.0625</v>
          </cell>
          <cell r="AA78">
            <v>0</v>
          </cell>
          <cell r="AB78">
            <v>99.006250000000009</v>
          </cell>
          <cell r="AC78">
            <v>8.8115562500000006</v>
          </cell>
          <cell r="AD78">
            <v>22.276406250000001</v>
          </cell>
          <cell r="AF78">
            <v>130.0942125</v>
          </cell>
          <cell r="AH78">
            <v>130.0942125</v>
          </cell>
          <cell r="AI78">
            <v>859.96828749999997</v>
          </cell>
          <cell r="AJ78">
            <v>186.8</v>
          </cell>
          <cell r="AK78">
            <v>0</v>
          </cell>
          <cell r="AL78">
            <v>186.8</v>
          </cell>
          <cell r="AM78">
            <v>10</v>
          </cell>
          <cell r="AN78">
            <v>663.16828749999991</v>
          </cell>
          <cell r="AO78">
            <v>89.105625000000003</v>
          </cell>
          <cell r="AP78">
            <v>16.831062500000002</v>
          </cell>
          <cell r="AQ78">
            <v>17.2270875</v>
          </cell>
          <cell r="AR78">
            <v>19.80125</v>
          </cell>
          <cell r="AS78">
            <v>27.023755937499999</v>
          </cell>
          <cell r="AT78">
            <v>13.1546</v>
          </cell>
          <cell r="AU78">
            <v>183.14338093749998</v>
          </cell>
          <cell r="AV78">
            <v>1173.2058809375001</v>
          </cell>
          <cell r="AW78">
            <v>82.505208333333329</v>
          </cell>
          <cell r="AX78">
            <v>90.345281744791677</v>
          </cell>
          <cell r="AY78">
            <v>187.86764682291667</v>
          </cell>
          <cell r="AZ78">
            <v>360.7181369010417</v>
          </cell>
          <cell r="BA78">
            <v>1533.9240178385417</v>
          </cell>
          <cell r="BB78">
            <v>61.356960713541667</v>
          </cell>
          <cell r="BC78">
            <v>215.28758145102339</v>
          </cell>
          <cell r="BE78">
            <v>69</v>
          </cell>
          <cell r="BF78" t="str">
            <v>QUISPE FERNANDEZ,Jose Hugo</v>
          </cell>
          <cell r="BJ78">
            <v>7.3</v>
          </cell>
          <cell r="BL78">
            <v>138</v>
          </cell>
          <cell r="BM78">
            <v>11.5</v>
          </cell>
          <cell r="BO78">
            <v>30</v>
          </cell>
          <cell r="BW78">
            <v>186.8</v>
          </cell>
          <cell r="BX78">
            <v>186.8</v>
          </cell>
          <cell r="BY78">
            <v>0</v>
          </cell>
        </row>
        <row r="79">
          <cell r="A79">
            <v>70</v>
          </cell>
          <cell r="B79">
            <v>70</v>
          </cell>
          <cell r="C79" t="str">
            <v>QUISPE MAMANI, Felix Eleuterio</v>
          </cell>
          <cell r="D79" t="str">
            <v>PERFORISTA</v>
          </cell>
          <cell r="E79">
            <v>37731</v>
          </cell>
          <cell r="G79">
            <v>29384553</v>
          </cell>
          <cell r="H79">
            <v>31</v>
          </cell>
          <cell r="I79">
            <v>3.875</v>
          </cell>
          <cell r="J79" t="str">
            <v>ONP</v>
          </cell>
          <cell r="K79">
            <v>24</v>
          </cell>
          <cell r="L79">
            <v>4.75</v>
          </cell>
          <cell r="M79">
            <v>0</v>
          </cell>
          <cell r="N79">
            <v>17</v>
          </cell>
          <cell r="O79">
            <v>88</v>
          </cell>
          <cell r="P79">
            <v>744</v>
          </cell>
          <cell r="Q79">
            <v>147.25</v>
          </cell>
          <cell r="R79">
            <v>0</v>
          </cell>
          <cell r="S79">
            <v>82.34375</v>
          </cell>
          <cell r="T79">
            <v>682</v>
          </cell>
          <cell r="U79">
            <v>44.083333333333336</v>
          </cell>
          <cell r="Z79">
            <v>1699.6770833333333</v>
          </cell>
          <cell r="AA79">
            <v>220.95802083333334</v>
          </cell>
          <cell r="AB79">
            <v>0</v>
          </cell>
          <cell r="AC79">
            <v>0</v>
          </cell>
          <cell r="AD79">
            <v>0</v>
          </cell>
          <cell r="AF79">
            <v>220.95802083333334</v>
          </cell>
          <cell r="AH79">
            <v>220.95802083333334</v>
          </cell>
          <cell r="AI79">
            <v>1478.7190624999998</v>
          </cell>
          <cell r="AJ79">
            <v>17.5</v>
          </cell>
          <cell r="AK79">
            <v>0</v>
          </cell>
          <cell r="AL79">
            <v>17.5</v>
          </cell>
          <cell r="AM79">
            <v>0</v>
          </cell>
          <cell r="AN79">
            <v>1461.2190624999998</v>
          </cell>
          <cell r="AO79">
            <v>152.97093749999999</v>
          </cell>
          <cell r="AP79">
            <v>28.894510416666666</v>
          </cell>
          <cell r="AQ79">
            <v>29.574381249999998</v>
          </cell>
          <cell r="AR79">
            <v>0</v>
          </cell>
          <cell r="AS79">
            <v>46.392685989583327</v>
          </cell>
          <cell r="AT79">
            <v>13.655866666666668</v>
          </cell>
          <cell r="AU79">
            <v>271.48838182291666</v>
          </cell>
          <cell r="AV79">
            <v>1971.1654651562499</v>
          </cell>
          <cell r="AW79">
            <v>141.63975694444443</v>
          </cell>
          <cell r="AX79">
            <v>100.56847626302084</v>
          </cell>
          <cell r="AY79">
            <v>207.51368863715277</v>
          </cell>
          <cell r="AZ79">
            <v>449.72192184461801</v>
          </cell>
          <cell r="BA79">
            <v>2420.8873870008679</v>
          </cell>
          <cell r="BB79">
            <v>100.87030779170283</v>
          </cell>
          <cell r="BC79">
            <v>325.38808965065431</v>
          </cell>
          <cell r="BE79">
            <v>70</v>
          </cell>
          <cell r="BF79" t="str">
            <v>QUISPE MAMANI, Felix Eleuterio</v>
          </cell>
          <cell r="BI79">
            <v>13</v>
          </cell>
          <cell r="BJ79">
            <v>4.5</v>
          </cell>
          <cell r="BW79">
            <v>17.5</v>
          </cell>
          <cell r="BX79">
            <v>17.5</v>
          </cell>
          <cell r="BY79">
            <v>0</v>
          </cell>
        </row>
        <row r="80">
          <cell r="A80">
            <v>71</v>
          </cell>
          <cell r="B80">
            <v>71</v>
          </cell>
          <cell r="C80" t="str">
            <v>QUISPE MAYTA, Americo</v>
          </cell>
          <cell r="D80" t="str">
            <v>AYUDANTE</v>
          </cell>
          <cell r="E80">
            <v>38156</v>
          </cell>
          <cell r="G80" t="str">
            <v>20100438</v>
          </cell>
          <cell r="H80">
            <v>28.5</v>
          </cell>
          <cell r="I80">
            <v>3.5625</v>
          </cell>
          <cell r="J80" t="str">
            <v>PROFUTURO</v>
          </cell>
          <cell r="K80">
            <v>10</v>
          </cell>
          <cell r="L80">
            <v>1.25</v>
          </cell>
          <cell r="M80">
            <v>0</v>
          </cell>
          <cell r="N80">
            <v>0</v>
          </cell>
          <cell r="P80">
            <v>285</v>
          </cell>
          <cell r="Q80">
            <v>35.625</v>
          </cell>
          <cell r="R80">
            <v>0</v>
          </cell>
          <cell r="S80">
            <v>0</v>
          </cell>
          <cell r="T80">
            <v>0</v>
          </cell>
          <cell r="Z80">
            <v>320.625</v>
          </cell>
          <cell r="AA80">
            <v>0</v>
          </cell>
          <cell r="AB80">
            <v>32.0625</v>
          </cell>
          <cell r="AC80">
            <v>3.270375</v>
          </cell>
          <cell r="AD80">
            <v>7.8553125000000001</v>
          </cell>
          <cell r="AF80">
            <v>43.188187499999998</v>
          </cell>
          <cell r="AH80">
            <v>43.188187499999998</v>
          </cell>
          <cell r="AI80">
            <v>277.43681249999997</v>
          </cell>
          <cell r="AJ80">
            <v>189.6</v>
          </cell>
          <cell r="AK80">
            <v>0</v>
          </cell>
          <cell r="AL80">
            <v>189.6</v>
          </cell>
          <cell r="AM80">
            <v>0</v>
          </cell>
          <cell r="AN80">
            <v>87.836812499999979</v>
          </cell>
          <cell r="AO80">
            <v>28.856249999999999</v>
          </cell>
          <cell r="AP80">
            <v>5.4506250000000005</v>
          </cell>
          <cell r="AQ80">
            <v>5.578875</v>
          </cell>
          <cell r="AR80">
            <v>6.4125000000000005</v>
          </cell>
          <cell r="AS80">
            <v>8.7514593749999996</v>
          </cell>
          <cell r="AT80">
            <v>4.6811249999999998</v>
          </cell>
          <cell r="AU80">
            <v>59.730834375000008</v>
          </cell>
          <cell r="AV80">
            <v>380.35583437500003</v>
          </cell>
          <cell r="AW80">
            <v>26.71875</v>
          </cell>
          <cell r="AX80">
            <v>31.696319531250001</v>
          </cell>
          <cell r="AY80">
            <v>63.392639062500002</v>
          </cell>
          <cell r="AZ80">
            <v>121.80770859374999</v>
          </cell>
          <cell r="BA80">
            <v>502.16354296874999</v>
          </cell>
          <cell r="BB80">
            <v>50.216354296874997</v>
          </cell>
          <cell r="BC80">
            <v>176.19773437499998</v>
          </cell>
          <cell r="BE80">
            <v>71</v>
          </cell>
          <cell r="BF80" t="str">
            <v>QUISPE MAYTA, Americo</v>
          </cell>
          <cell r="BR80">
            <v>189.6</v>
          </cell>
          <cell r="BW80">
            <v>189.6</v>
          </cell>
          <cell r="BX80">
            <v>189.6</v>
          </cell>
          <cell r="BY80">
            <v>0</v>
          </cell>
        </row>
        <row r="81">
          <cell r="A81">
            <v>72</v>
          </cell>
          <cell r="B81">
            <v>72</v>
          </cell>
          <cell r="C81" t="str">
            <v>QUISPE NEIRA, Fausto</v>
          </cell>
          <cell r="D81" t="str">
            <v>AYUDANTE</v>
          </cell>
          <cell r="E81">
            <v>37742</v>
          </cell>
          <cell r="G81" t="str">
            <v>02416847</v>
          </cell>
          <cell r="H81">
            <v>28.5</v>
          </cell>
          <cell r="I81">
            <v>3.5625</v>
          </cell>
          <cell r="J81" t="str">
            <v>ONP</v>
          </cell>
          <cell r="K81">
            <v>25</v>
          </cell>
          <cell r="L81">
            <v>5</v>
          </cell>
          <cell r="M81">
            <v>0</v>
          </cell>
          <cell r="N81">
            <v>20</v>
          </cell>
          <cell r="P81">
            <v>712.5</v>
          </cell>
          <cell r="Q81">
            <v>142.5</v>
          </cell>
          <cell r="R81">
            <v>0</v>
          </cell>
          <cell r="S81">
            <v>89.0625</v>
          </cell>
          <cell r="T81">
            <v>0</v>
          </cell>
          <cell r="U81">
            <v>46</v>
          </cell>
          <cell r="Z81">
            <v>990.0625</v>
          </cell>
          <cell r="AA81">
            <v>128.708125</v>
          </cell>
          <cell r="AB81">
            <v>0</v>
          </cell>
          <cell r="AC81">
            <v>0</v>
          </cell>
          <cell r="AD81">
            <v>0</v>
          </cell>
          <cell r="AF81">
            <v>128.708125</v>
          </cell>
          <cell r="AH81">
            <v>128.708125</v>
          </cell>
          <cell r="AI81">
            <v>861.354375</v>
          </cell>
          <cell r="AJ81">
            <v>207.6</v>
          </cell>
          <cell r="AK81">
            <v>0</v>
          </cell>
          <cell r="AL81">
            <v>207.6</v>
          </cell>
          <cell r="AM81">
            <v>5</v>
          </cell>
          <cell r="AN81">
            <v>648.75437499999998</v>
          </cell>
          <cell r="AO81">
            <v>89.105625000000003</v>
          </cell>
          <cell r="AP81">
            <v>16.831062500000002</v>
          </cell>
          <cell r="AQ81">
            <v>17.2270875</v>
          </cell>
          <cell r="AR81">
            <v>0</v>
          </cell>
          <cell r="AS81">
            <v>27.023755937499999</v>
          </cell>
          <cell r="AT81">
            <v>13.1546</v>
          </cell>
          <cell r="AU81">
            <v>163.3421309375</v>
          </cell>
          <cell r="AV81">
            <v>1153.4046309375001</v>
          </cell>
          <cell r="AW81">
            <v>82.505208333333329</v>
          </cell>
          <cell r="AX81">
            <v>88.695177578125012</v>
          </cell>
          <cell r="AY81">
            <v>184.56743848958334</v>
          </cell>
          <cell r="AZ81">
            <v>355.76782440104171</v>
          </cell>
          <cell r="BA81">
            <v>1509.1724553385418</v>
          </cell>
          <cell r="BB81">
            <v>60.366898213541674</v>
          </cell>
          <cell r="BC81">
            <v>211.81367794225147</v>
          </cell>
          <cell r="BE81">
            <v>72</v>
          </cell>
          <cell r="BF81" t="str">
            <v>QUISPE NEIRA, Fausto</v>
          </cell>
          <cell r="BQ81">
            <v>78.8</v>
          </cell>
          <cell r="BV81">
            <v>128.80000000000001</v>
          </cell>
          <cell r="BW81">
            <v>207.60000000000002</v>
          </cell>
          <cell r="BX81">
            <v>207.6</v>
          </cell>
          <cell r="BY81">
            <v>0</v>
          </cell>
        </row>
        <row r="82">
          <cell r="A82">
            <v>73</v>
          </cell>
          <cell r="B82">
            <v>73</v>
          </cell>
          <cell r="C82" t="str">
            <v>QUISPE RUELAS, Martin</v>
          </cell>
          <cell r="D82" t="str">
            <v>AYUDANTE</v>
          </cell>
          <cell r="E82">
            <v>37814</v>
          </cell>
          <cell r="G82">
            <v>40875398</v>
          </cell>
          <cell r="H82">
            <v>28.5</v>
          </cell>
          <cell r="I82">
            <v>3.5625</v>
          </cell>
          <cell r="J82" t="str">
            <v>INTEGRA</v>
          </cell>
          <cell r="K82">
            <v>25</v>
          </cell>
          <cell r="L82">
            <v>5</v>
          </cell>
          <cell r="M82">
            <v>0</v>
          </cell>
          <cell r="N82">
            <v>20</v>
          </cell>
          <cell r="P82">
            <v>712.5</v>
          </cell>
          <cell r="Q82">
            <v>142.5</v>
          </cell>
          <cell r="R82">
            <v>0</v>
          </cell>
          <cell r="S82">
            <v>89.0625</v>
          </cell>
          <cell r="T82">
            <v>0</v>
          </cell>
          <cell r="U82">
            <v>46</v>
          </cell>
          <cell r="V82">
            <v>80</v>
          </cell>
          <cell r="Z82">
            <v>1070.0625</v>
          </cell>
          <cell r="AA82">
            <v>0</v>
          </cell>
          <cell r="AB82">
            <v>107.00625000000001</v>
          </cell>
          <cell r="AC82">
            <v>9.4165500000000009</v>
          </cell>
          <cell r="AD82">
            <v>22.4713125</v>
          </cell>
          <cell r="AF82">
            <v>138.89411250000001</v>
          </cell>
          <cell r="AH82">
            <v>138.89411250000001</v>
          </cell>
          <cell r="AI82">
            <v>931.16838749999999</v>
          </cell>
          <cell r="AJ82">
            <v>15</v>
          </cell>
          <cell r="AK82">
            <v>0</v>
          </cell>
          <cell r="AL82">
            <v>15</v>
          </cell>
          <cell r="AM82">
            <v>0</v>
          </cell>
          <cell r="AN82">
            <v>916.16838749999999</v>
          </cell>
          <cell r="AO82">
            <v>96.305624999999992</v>
          </cell>
          <cell r="AP82">
            <v>18.191062500000001</v>
          </cell>
          <cell r="AQ82">
            <v>18.619087499999999</v>
          </cell>
          <cell r="AR82">
            <v>21.401250000000001</v>
          </cell>
          <cell r="AS82">
            <v>29.207355937500001</v>
          </cell>
          <cell r="AT82">
            <v>13.1546</v>
          </cell>
          <cell r="AU82">
            <v>196.87898093749999</v>
          </cell>
          <cell r="AV82">
            <v>1266.9414809375</v>
          </cell>
          <cell r="AW82">
            <v>89.171875</v>
          </cell>
          <cell r="AX82">
            <v>91.489915078125009</v>
          </cell>
          <cell r="AY82">
            <v>190.15691348958333</v>
          </cell>
          <cell r="AZ82">
            <v>370.81870356770833</v>
          </cell>
          <cell r="BA82">
            <v>1637.7601845052084</v>
          </cell>
          <cell r="BB82">
            <v>65.510407380208335</v>
          </cell>
          <cell r="BC82">
            <v>229.86107852704677</v>
          </cell>
          <cell r="BE82">
            <v>73</v>
          </cell>
          <cell r="BF82" t="str">
            <v>QUISPE RUELAS, Martin</v>
          </cell>
          <cell r="BO82">
            <v>15</v>
          </cell>
          <cell r="BW82">
            <v>15</v>
          </cell>
          <cell r="BX82">
            <v>15</v>
          </cell>
          <cell r="BY82">
            <v>0</v>
          </cell>
        </row>
        <row r="83">
          <cell r="A83">
            <v>74</v>
          </cell>
          <cell r="B83">
            <v>74</v>
          </cell>
          <cell r="C83" t="str">
            <v>QUISPE YANQUI, Enrique</v>
          </cell>
          <cell r="D83" t="str">
            <v>PERFORISTA</v>
          </cell>
          <cell r="E83">
            <v>36997</v>
          </cell>
          <cell r="G83" t="str">
            <v>02008914</v>
          </cell>
          <cell r="H83">
            <v>31</v>
          </cell>
          <cell r="I83">
            <v>3.875</v>
          </cell>
          <cell r="J83" t="str">
            <v>HORIZONTE</v>
          </cell>
          <cell r="K83">
            <v>25</v>
          </cell>
          <cell r="L83">
            <v>5</v>
          </cell>
          <cell r="M83">
            <v>0</v>
          </cell>
          <cell r="N83">
            <v>20</v>
          </cell>
          <cell r="P83">
            <v>775</v>
          </cell>
          <cell r="Q83">
            <v>155</v>
          </cell>
          <cell r="R83">
            <v>0</v>
          </cell>
          <cell r="S83">
            <v>96.875</v>
          </cell>
          <cell r="T83">
            <v>0</v>
          </cell>
          <cell r="U83">
            <v>46</v>
          </cell>
          <cell r="Z83">
            <v>1072.875</v>
          </cell>
          <cell r="AA83">
            <v>0</v>
          </cell>
          <cell r="AB83">
            <v>107.28750000000001</v>
          </cell>
          <cell r="AC83">
            <v>9.5485875</v>
          </cell>
          <cell r="AD83">
            <v>24.139687500000001</v>
          </cell>
          <cell r="AF83">
            <v>140.975775</v>
          </cell>
          <cell r="AH83">
            <v>140.975775</v>
          </cell>
          <cell r="AI83">
            <v>931.899225</v>
          </cell>
          <cell r="AJ83">
            <v>211</v>
          </cell>
          <cell r="AK83">
            <v>0</v>
          </cell>
          <cell r="AL83">
            <v>211</v>
          </cell>
          <cell r="AM83">
            <v>14</v>
          </cell>
          <cell r="AN83">
            <v>706.899225</v>
          </cell>
          <cell r="AO83">
            <v>96.558750000000003</v>
          </cell>
          <cell r="AP83">
            <v>18.238875</v>
          </cell>
          <cell r="AQ83">
            <v>18.668025</v>
          </cell>
          <cell r="AR83">
            <v>21.4575</v>
          </cell>
          <cell r="AS83">
            <v>29.284123125000001</v>
          </cell>
          <cell r="AT83">
            <v>14.249600000000001</v>
          </cell>
          <cell r="AU83">
            <v>198.45687312500002</v>
          </cell>
          <cell r="AV83">
            <v>1271.3318731250001</v>
          </cell>
          <cell r="AW83">
            <v>89.40625</v>
          </cell>
          <cell r="AX83">
            <v>97.871406093750011</v>
          </cell>
          <cell r="AY83">
            <v>204.22197885416668</v>
          </cell>
          <cell r="AZ83">
            <v>391.49963494791666</v>
          </cell>
          <cell r="BA83">
            <v>1662.8315080729167</v>
          </cell>
          <cell r="BB83">
            <v>66.513260322916665</v>
          </cell>
          <cell r="BC83">
            <v>214.55890426747311</v>
          </cell>
          <cell r="BE83">
            <v>74</v>
          </cell>
          <cell r="BF83" t="str">
            <v>QUISPE YANQUI, Enrique</v>
          </cell>
          <cell r="BI83">
            <v>31</v>
          </cell>
          <cell r="BL83">
            <v>147.5</v>
          </cell>
          <cell r="BO83">
            <v>7.5</v>
          </cell>
          <cell r="BR83">
            <v>25</v>
          </cell>
          <cell r="BW83">
            <v>211</v>
          </cell>
          <cell r="BX83">
            <v>211</v>
          </cell>
          <cell r="BY83">
            <v>0</v>
          </cell>
        </row>
        <row r="84">
          <cell r="A84">
            <v>75</v>
          </cell>
          <cell r="B84">
            <v>75</v>
          </cell>
          <cell r="C84" t="str">
            <v>QUISPE YURA, Teofilo</v>
          </cell>
          <cell r="D84" t="str">
            <v>AYUDANTE</v>
          </cell>
          <cell r="E84">
            <v>36182</v>
          </cell>
          <cell r="G84">
            <v>23200200</v>
          </cell>
          <cell r="H84">
            <v>28.5</v>
          </cell>
          <cell r="I84">
            <v>3.5625</v>
          </cell>
          <cell r="J84" t="str">
            <v>UNION</v>
          </cell>
          <cell r="K84">
            <v>24</v>
          </cell>
          <cell r="L84">
            <v>4.75</v>
          </cell>
          <cell r="M84">
            <v>1</v>
          </cell>
          <cell r="N84">
            <v>17</v>
          </cell>
          <cell r="P84">
            <v>684</v>
          </cell>
          <cell r="Q84">
            <v>135.375</v>
          </cell>
          <cell r="R84">
            <v>28.5</v>
          </cell>
          <cell r="S84">
            <v>75.703125</v>
          </cell>
          <cell r="T84">
            <v>0</v>
          </cell>
          <cell r="U84">
            <v>45.616666666666667</v>
          </cell>
          <cell r="Z84">
            <v>969.19479166666667</v>
          </cell>
          <cell r="AA84">
            <v>0</v>
          </cell>
          <cell r="AB84">
            <v>96.919479166666676</v>
          </cell>
          <cell r="AC84">
            <v>8.7227531250000006</v>
          </cell>
          <cell r="AD84">
            <v>22.000721770833334</v>
          </cell>
          <cell r="AF84">
            <v>127.64295406250001</v>
          </cell>
          <cell r="AH84">
            <v>127.64295406250001</v>
          </cell>
          <cell r="AI84">
            <v>841.55183760416662</v>
          </cell>
          <cell r="AJ84">
            <v>228.1</v>
          </cell>
          <cell r="AK84">
            <v>0</v>
          </cell>
          <cell r="AL84">
            <v>228.1</v>
          </cell>
          <cell r="AM84">
            <v>8.5</v>
          </cell>
          <cell r="AN84">
            <v>604.9518376041666</v>
          </cell>
          <cell r="AO84">
            <v>87.227531249999998</v>
          </cell>
          <cell r="AP84">
            <v>16.476311458333335</v>
          </cell>
          <cell r="AQ84">
            <v>16.863989374999999</v>
          </cell>
          <cell r="AR84">
            <v>19.383895833333334</v>
          </cell>
          <cell r="AS84">
            <v>26.454171838541665</v>
          </cell>
          <cell r="AT84">
            <v>13.044978333333333</v>
          </cell>
          <cell r="AU84">
            <v>179.45087808854169</v>
          </cell>
          <cell r="AV84">
            <v>1148.6456697552085</v>
          </cell>
          <cell r="AW84">
            <v>80.766232638888894</v>
          </cell>
          <cell r="AX84">
            <v>89.411878729600701</v>
          </cell>
          <cell r="AY84">
            <v>183.83816718142361</v>
          </cell>
          <cell r="AZ84">
            <v>354.01627854991318</v>
          </cell>
          <cell r="BA84">
            <v>1502.6619483051218</v>
          </cell>
          <cell r="BB84">
            <v>62.610914512713407</v>
          </cell>
          <cell r="BC84">
            <v>219.68741934285404</v>
          </cell>
          <cell r="BE84">
            <v>75</v>
          </cell>
          <cell r="BF84" t="str">
            <v>QUISPE YURA, Teofilo</v>
          </cell>
          <cell r="BJ84">
            <v>16</v>
          </cell>
          <cell r="BN84">
            <v>153.5</v>
          </cell>
          <cell r="BO84">
            <v>23.2</v>
          </cell>
          <cell r="BQ84">
            <v>35.4</v>
          </cell>
          <cell r="BW84">
            <v>228.1</v>
          </cell>
          <cell r="BX84">
            <v>228.1</v>
          </cell>
          <cell r="BY84">
            <v>0</v>
          </cell>
        </row>
        <row r="85">
          <cell r="A85">
            <v>76</v>
          </cell>
          <cell r="B85">
            <v>76</v>
          </cell>
          <cell r="C85" t="str">
            <v>RAMOS ALE, Fernando Jaime</v>
          </cell>
          <cell r="D85" t="str">
            <v>AYUDANTE</v>
          </cell>
          <cell r="E85">
            <v>37627</v>
          </cell>
          <cell r="G85">
            <v>29712456</v>
          </cell>
          <cell r="H85">
            <v>28.5</v>
          </cell>
          <cell r="I85">
            <v>3.5625</v>
          </cell>
          <cell r="J85" t="str">
            <v>PROFUTURO</v>
          </cell>
          <cell r="K85">
            <v>25</v>
          </cell>
          <cell r="L85">
            <v>5</v>
          </cell>
          <cell r="M85">
            <v>0</v>
          </cell>
          <cell r="N85">
            <v>20</v>
          </cell>
          <cell r="P85">
            <v>712.5</v>
          </cell>
          <cell r="Q85">
            <v>142.5</v>
          </cell>
          <cell r="R85">
            <v>0</v>
          </cell>
          <cell r="S85">
            <v>89.0625</v>
          </cell>
          <cell r="T85">
            <v>0</v>
          </cell>
          <cell r="U85">
            <v>46</v>
          </cell>
          <cell r="Z85">
            <v>990.0625</v>
          </cell>
          <cell r="AA85">
            <v>0</v>
          </cell>
          <cell r="AB85">
            <v>99.006250000000009</v>
          </cell>
          <cell r="AC85">
            <v>10.098637500000001</v>
          </cell>
          <cell r="AD85">
            <v>24.256531250000002</v>
          </cell>
          <cell r="AF85">
            <v>133.36141875000001</v>
          </cell>
          <cell r="AH85">
            <v>133.36141875000001</v>
          </cell>
          <cell r="AI85">
            <v>856.70108125000002</v>
          </cell>
          <cell r="AJ85">
            <v>0</v>
          </cell>
          <cell r="AK85">
            <v>0</v>
          </cell>
          <cell r="AL85">
            <v>0</v>
          </cell>
          <cell r="AM85">
            <v>5</v>
          </cell>
          <cell r="AN85">
            <v>851.70108125000002</v>
          </cell>
          <cell r="AO85">
            <v>89.105625000000003</v>
          </cell>
          <cell r="AP85">
            <v>16.831062500000002</v>
          </cell>
          <cell r="AQ85">
            <v>17.2270875</v>
          </cell>
          <cell r="AR85">
            <v>19.80125</v>
          </cell>
          <cell r="AS85">
            <v>27.023755937499999</v>
          </cell>
          <cell r="AT85">
            <v>13.1546</v>
          </cell>
          <cell r="AU85">
            <v>183.14338093749998</v>
          </cell>
          <cell r="AV85">
            <v>1173.2058809375001</v>
          </cell>
          <cell r="AW85">
            <v>82.505208333333329</v>
          </cell>
          <cell r="AX85">
            <v>90.345281744791677</v>
          </cell>
          <cell r="AY85">
            <v>187.86764682291667</v>
          </cell>
          <cell r="AZ85">
            <v>360.7181369010417</v>
          </cell>
          <cell r="BA85">
            <v>1533.9240178385417</v>
          </cell>
          <cell r="BB85">
            <v>61.356960713541667</v>
          </cell>
          <cell r="BC85">
            <v>215.28758145102339</v>
          </cell>
          <cell r="BE85">
            <v>76</v>
          </cell>
          <cell r="BF85" t="str">
            <v>RAMOS ALE, Fernando Jaime</v>
          </cell>
          <cell r="BI85">
            <v>0</v>
          </cell>
          <cell r="BW85">
            <v>0</v>
          </cell>
          <cell r="BX85">
            <v>0</v>
          </cell>
          <cell r="BY85">
            <v>0</v>
          </cell>
        </row>
        <row r="86">
          <cell r="A86">
            <v>77</v>
          </cell>
          <cell r="B86">
            <v>77</v>
          </cell>
          <cell r="C86" t="str">
            <v>RAMOS ALE, Oscar Wilson</v>
          </cell>
          <cell r="D86" t="str">
            <v>AYUDANTE</v>
          </cell>
          <cell r="E86">
            <v>37834</v>
          </cell>
          <cell r="G86">
            <v>41924784</v>
          </cell>
          <cell r="H86">
            <v>28.5</v>
          </cell>
          <cell r="I86">
            <v>3.5625</v>
          </cell>
          <cell r="J86" t="str">
            <v>HORIZONTE</v>
          </cell>
          <cell r="K86">
            <v>24</v>
          </cell>
          <cell r="L86">
            <v>4.75</v>
          </cell>
          <cell r="M86">
            <v>0</v>
          </cell>
          <cell r="N86">
            <v>17</v>
          </cell>
          <cell r="P86">
            <v>684</v>
          </cell>
          <cell r="Q86">
            <v>135.375</v>
          </cell>
          <cell r="R86">
            <v>0</v>
          </cell>
          <cell r="S86">
            <v>75.703125</v>
          </cell>
          <cell r="T86">
            <v>0</v>
          </cell>
          <cell r="Z86">
            <v>895.078125</v>
          </cell>
          <cell r="AA86">
            <v>0</v>
          </cell>
          <cell r="AB86">
            <v>89.5078125</v>
          </cell>
          <cell r="AC86">
            <v>7.9661953125</v>
          </cell>
          <cell r="AD86">
            <v>20.139257812499999</v>
          </cell>
          <cell r="AF86">
            <v>117.613265625</v>
          </cell>
          <cell r="AH86">
            <v>117.613265625</v>
          </cell>
          <cell r="AI86">
            <v>777.46485937500006</v>
          </cell>
          <cell r="AJ86">
            <v>180.3</v>
          </cell>
          <cell r="AK86">
            <v>0</v>
          </cell>
          <cell r="AL86">
            <v>180.3</v>
          </cell>
          <cell r="AM86">
            <v>0</v>
          </cell>
          <cell r="AN86">
            <v>597.16485937500011</v>
          </cell>
          <cell r="AO86">
            <v>80.557031249999994</v>
          </cell>
          <cell r="AP86">
            <v>15.216328125</v>
          </cell>
          <cell r="AQ86">
            <v>15.574359374999998</v>
          </cell>
          <cell r="AR86">
            <v>17.901562500000001</v>
          </cell>
          <cell r="AS86">
            <v>24.431157421875</v>
          </cell>
          <cell r="AT86">
            <v>11.962875</v>
          </cell>
          <cell r="AU86">
            <v>165.64331367187498</v>
          </cell>
          <cell r="AV86">
            <v>1060.7214386718749</v>
          </cell>
          <cell r="AW86">
            <v>74.58984375</v>
          </cell>
          <cell r="AX86">
            <v>82.084859472656248</v>
          </cell>
          <cell r="AY86">
            <v>176.7869064453125</v>
          </cell>
          <cell r="AZ86">
            <v>333.46160966796879</v>
          </cell>
          <cell r="BA86">
            <v>1394.1830483398437</v>
          </cell>
          <cell r="BB86">
            <v>58.090960347493485</v>
          </cell>
          <cell r="BC86">
            <v>203.8279310438368</v>
          </cell>
          <cell r="BE86">
            <v>77</v>
          </cell>
          <cell r="BF86" t="str">
            <v>RAMOS ALE, Oscar Wilson</v>
          </cell>
          <cell r="BH86">
            <v>83.3</v>
          </cell>
          <cell r="BI86">
            <v>0</v>
          </cell>
          <cell r="BJ86">
            <v>2</v>
          </cell>
          <cell r="BO86">
            <v>95</v>
          </cell>
          <cell r="BW86">
            <v>180.3</v>
          </cell>
          <cell r="BX86">
            <v>180.3</v>
          </cell>
          <cell r="BY86">
            <v>0</v>
          </cell>
        </row>
        <row r="87">
          <cell r="A87">
            <v>78</v>
          </cell>
          <cell r="B87">
            <v>78</v>
          </cell>
          <cell r="C87" t="str">
            <v>RAMOS BARRA, Eugenio</v>
          </cell>
          <cell r="D87" t="str">
            <v>AYUDANTE</v>
          </cell>
          <cell r="E87">
            <v>37749</v>
          </cell>
          <cell r="G87" t="str">
            <v>23255761</v>
          </cell>
          <cell r="H87">
            <v>28.5</v>
          </cell>
          <cell r="I87">
            <v>3.5625</v>
          </cell>
          <cell r="J87" t="str">
            <v>PROFUTURO</v>
          </cell>
          <cell r="K87">
            <v>25</v>
          </cell>
          <cell r="L87">
            <v>5</v>
          </cell>
          <cell r="M87">
            <v>0</v>
          </cell>
          <cell r="N87">
            <v>20</v>
          </cell>
          <cell r="P87">
            <v>712.5</v>
          </cell>
          <cell r="Q87">
            <v>142.5</v>
          </cell>
          <cell r="R87">
            <v>0</v>
          </cell>
          <cell r="S87">
            <v>89.0625</v>
          </cell>
          <cell r="T87">
            <v>0</v>
          </cell>
          <cell r="U87">
            <v>46</v>
          </cell>
          <cell r="Z87">
            <v>990.0625</v>
          </cell>
          <cell r="AA87">
            <v>0</v>
          </cell>
          <cell r="AB87">
            <v>99.006250000000009</v>
          </cell>
          <cell r="AC87">
            <v>10.098637500000001</v>
          </cell>
          <cell r="AD87">
            <v>24.256531250000002</v>
          </cell>
          <cell r="AF87">
            <v>133.36141875000001</v>
          </cell>
          <cell r="AH87">
            <v>133.36141875000001</v>
          </cell>
          <cell r="AI87">
            <v>856.70108125000002</v>
          </cell>
          <cell r="AJ87">
            <v>100</v>
          </cell>
          <cell r="AK87">
            <v>0</v>
          </cell>
          <cell r="AL87">
            <v>100</v>
          </cell>
          <cell r="AM87">
            <v>0</v>
          </cell>
          <cell r="AN87">
            <v>756.70108125000002</v>
          </cell>
          <cell r="AO87">
            <v>89.105625000000003</v>
          </cell>
          <cell r="AP87">
            <v>16.831062500000002</v>
          </cell>
          <cell r="AQ87">
            <v>17.2270875</v>
          </cell>
          <cell r="AR87">
            <v>19.80125</v>
          </cell>
          <cell r="AS87">
            <v>27.023755937499999</v>
          </cell>
          <cell r="AT87">
            <v>13.1546</v>
          </cell>
          <cell r="AU87">
            <v>183.14338093749998</v>
          </cell>
          <cell r="AV87">
            <v>1173.2058809375001</v>
          </cell>
          <cell r="AW87">
            <v>82.505208333333329</v>
          </cell>
          <cell r="AX87">
            <v>90.345281744791677</v>
          </cell>
          <cell r="AY87">
            <v>187.86764682291667</v>
          </cell>
          <cell r="AZ87">
            <v>360.7181369010417</v>
          </cell>
          <cell r="BA87">
            <v>1533.9240178385417</v>
          </cell>
          <cell r="BB87">
            <v>61.356960713541667</v>
          </cell>
          <cell r="BC87">
            <v>215.28758145102339</v>
          </cell>
          <cell r="BE87">
            <v>78</v>
          </cell>
          <cell r="BF87" t="str">
            <v>RAMOS BARRA, Eugenio</v>
          </cell>
          <cell r="BH87">
            <v>100</v>
          </cell>
          <cell r="BW87">
            <v>100</v>
          </cell>
          <cell r="BX87">
            <v>100</v>
          </cell>
          <cell r="BY87">
            <v>0</v>
          </cell>
        </row>
        <row r="88">
          <cell r="A88">
            <v>79</v>
          </cell>
          <cell r="B88">
            <v>79</v>
          </cell>
          <cell r="C88" t="str">
            <v>RAMOS BARRA, Paulino</v>
          </cell>
          <cell r="D88" t="str">
            <v>AYUDANTE</v>
          </cell>
          <cell r="E88">
            <v>38094</v>
          </cell>
          <cell r="G88" t="str">
            <v>23278615</v>
          </cell>
          <cell r="H88">
            <v>28.5</v>
          </cell>
          <cell r="I88">
            <v>3.5625</v>
          </cell>
          <cell r="J88" t="str">
            <v>ONP</v>
          </cell>
          <cell r="K88">
            <v>25</v>
          </cell>
          <cell r="L88">
            <v>5</v>
          </cell>
          <cell r="M88">
            <v>0</v>
          </cell>
          <cell r="N88">
            <v>20</v>
          </cell>
          <cell r="O88">
            <v>99</v>
          </cell>
          <cell r="P88">
            <v>712.5</v>
          </cell>
          <cell r="Q88">
            <v>142.5</v>
          </cell>
          <cell r="R88">
            <v>0</v>
          </cell>
          <cell r="S88">
            <v>89.0625</v>
          </cell>
          <cell r="T88">
            <v>705.375</v>
          </cell>
          <cell r="U88">
            <v>46</v>
          </cell>
          <cell r="V88">
            <v>80</v>
          </cell>
          <cell r="Z88">
            <v>1775.4375</v>
          </cell>
          <cell r="AA88">
            <v>230.80687500000002</v>
          </cell>
          <cell r="AB88">
            <v>0</v>
          </cell>
          <cell r="AC88">
            <v>0</v>
          </cell>
          <cell r="AD88">
            <v>0</v>
          </cell>
          <cell r="AF88">
            <v>230.80687500000002</v>
          </cell>
          <cell r="AH88">
            <v>230.80687500000002</v>
          </cell>
          <cell r="AI88">
            <v>1544.630625</v>
          </cell>
          <cell r="AJ88">
            <v>231</v>
          </cell>
          <cell r="AK88">
            <v>0</v>
          </cell>
          <cell r="AL88">
            <v>231</v>
          </cell>
          <cell r="AM88">
            <v>0</v>
          </cell>
          <cell r="AN88">
            <v>1313.630625</v>
          </cell>
          <cell r="AO88">
            <v>159.78937500000001</v>
          </cell>
          <cell r="AP88">
            <v>30.182437500000002</v>
          </cell>
          <cell r="AQ88">
            <v>30.892612499999998</v>
          </cell>
          <cell r="AR88">
            <v>0</v>
          </cell>
          <cell r="AS88">
            <v>48.460566562499999</v>
          </cell>
          <cell r="AT88">
            <v>13.1546</v>
          </cell>
          <cell r="AU88">
            <v>282.47959156249999</v>
          </cell>
          <cell r="AV88">
            <v>2057.9170915625</v>
          </cell>
          <cell r="AW88">
            <v>147.953125</v>
          </cell>
          <cell r="AX88">
            <v>98.623299296875004</v>
          </cell>
          <cell r="AY88">
            <v>204.42368192708332</v>
          </cell>
          <cell r="AZ88">
            <v>451.00010622395837</v>
          </cell>
          <cell r="BA88">
            <v>2508.9171977864585</v>
          </cell>
          <cell r="BB88">
            <v>100.35668791145834</v>
          </cell>
          <cell r="BC88">
            <v>352.12872951388891</v>
          </cell>
          <cell r="BE88">
            <v>79</v>
          </cell>
          <cell r="BF88" t="str">
            <v>RAMOS BARRA, Paulino</v>
          </cell>
          <cell r="BH88">
            <v>221</v>
          </cell>
          <cell r="BL88">
            <v>10</v>
          </cell>
          <cell r="BW88">
            <v>231</v>
          </cell>
          <cell r="BX88">
            <v>231</v>
          </cell>
          <cell r="BY88">
            <v>0</v>
          </cell>
        </row>
        <row r="89">
          <cell r="A89">
            <v>80</v>
          </cell>
          <cell r="B89">
            <v>80</v>
          </cell>
          <cell r="C89" t="str">
            <v>RAMOS INGA, Jesus</v>
          </cell>
          <cell r="D89" t="str">
            <v>PERFORISTA</v>
          </cell>
          <cell r="E89">
            <v>37995</v>
          </cell>
          <cell r="G89">
            <v>10261888</v>
          </cell>
          <cell r="H89">
            <v>31</v>
          </cell>
          <cell r="I89">
            <v>3.875</v>
          </cell>
          <cell r="J89" t="str">
            <v>INTEGRA</v>
          </cell>
          <cell r="K89">
            <v>20</v>
          </cell>
          <cell r="L89">
            <v>3.75</v>
          </cell>
          <cell r="M89">
            <v>1</v>
          </cell>
          <cell r="N89">
            <v>5</v>
          </cell>
          <cell r="P89">
            <v>620</v>
          </cell>
          <cell r="Q89">
            <v>116.25</v>
          </cell>
          <cell r="R89">
            <v>31</v>
          </cell>
          <cell r="S89">
            <v>24.21875</v>
          </cell>
          <cell r="T89">
            <v>0</v>
          </cell>
          <cell r="U89">
            <v>37.950000000000003</v>
          </cell>
          <cell r="Z89">
            <v>829.41875000000005</v>
          </cell>
          <cell r="AA89">
            <v>0</v>
          </cell>
          <cell r="AB89">
            <v>82.94187500000001</v>
          </cell>
          <cell r="AC89">
            <v>7.2988850000000012</v>
          </cell>
          <cell r="AD89">
            <v>17.417793750000001</v>
          </cell>
          <cell r="AF89">
            <v>107.65855375000001</v>
          </cell>
          <cell r="AH89">
            <v>107.65855375000001</v>
          </cell>
          <cell r="AI89">
            <v>721.76019625000004</v>
          </cell>
          <cell r="AJ89">
            <v>315</v>
          </cell>
          <cell r="AK89">
            <v>0</v>
          </cell>
          <cell r="AL89">
            <v>315</v>
          </cell>
          <cell r="AM89">
            <v>5</v>
          </cell>
          <cell r="AN89">
            <v>401.76019625000004</v>
          </cell>
          <cell r="AO89">
            <v>74.647687500000004</v>
          </cell>
          <cell r="AP89">
            <v>14.100118750000002</v>
          </cell>
          <cell r="AQ89">
            <v>14.43188625</v>
          </cell>
          <cell r="AR89">
            <v>16.588375000000003</v>
          </cell>
          <cell r="AS89">
            <v>22.638984781250002</v>
          </cell>
          <cell r="AT89">
            <v>11.755920000000001</v>
          </cell>
          <cell r="AU89">
            <v>154.16297228125001</v>
          </cell>
          <cell r="AV89">
            <v>983.58172228124999</v>
          </cell>
          <cell r="AW89">
            <v>69.118229166666666</v>
          </cell>
          <cell r="AX89">
            <v>79.946914356770833</v>
          </cell>
          <cell r="AY89">
            <v>157.60528704687499</v>
          </cell>
          <cell r="AZ89">
            <v>306.67043057031248</v>
          </cell>
          <cell r="BA89">
            <v>1290.2521528515624</v>
          </cell>
          <cell r="BB89">
            <v>64.512607642578118</v>
          </cell>
          <cell r="BC89">
            <v>208.10518594380039</v>
          </cell>
          <cell r="BE89">
            <v>80</v>
          </cell>
          <cell r="BF89" t="str">
            <v>RAMOS INGA, Jesus</v>
          </cell>
          <cell r="BG89">
            <v>100</v>
          </cell>
          <cell r="BI89">
            <v>145</v>
          </cell>
          <cell r="BR89">
            <v>70</v>
          </cell>
          <cell r="BW89">
            <v>315</v>
          </cell>
          <cell r="BX89">
            <v>315</v>
          </cell>
          <cell r="BY89">
            <v>0</v>
          </cell>
        </row>
        <row r="90">
          <cell r="A90">
            <v>81</v>
          </cell>
          <cell r="B90">
            <v>81</v>
          </cell>
          <cell r="C90" t="str">
            <v>ROJAS HUARCAYA, Edilberto Melquiades</v>
          </cell>
          <cell r="D90" t="str">
            <v>AYUDANTE</v>
          </cell>
          <cell r="E90">
            <v>37996</v>
          </cell>
          <cell r="G90">
            <v>21527133</v>
          </cell>
          <cell r="H90">
            <v>28.5</v>
          </cell>
          <cell r="I90">
            <v>3.5625</v>
          </cell>
          <cell r="J90" t="str">
            <v>PROFUTURO</v>
          </cell>
          <cell r="K90">
            <v>25</v>
          </cell>
          <cell r="L90">
            <v>5</v>
          </cell>
          <cell r="M90">
            <v>0</v>
          </cell>
          <cell r="N90">
            <v>20</v>
          </cell>
          <cell r="P90">
            <v>712.5</v>
          </cell>
          <cell r="Q90">
            <v>142.5</v>
          </cell>
          <cell r="R90">
            <v>0</v>
          </cell>
          <cell r="S90">
            <v>89.0625</v>
          </cell>
          <cell r="T90">
            <v>0</v>
          </cell>
          <cell r="U90">
            <v>46</v>
          </cell>
          <cell r="Z90">
            <v>990.0625</v>
          </cell>
          <cell r="AA90">
            <v>0</v>
          </cell>
          <cell r="AB90">
            <v>99.006250000000009</v>
          </cell>
          <cell r="AC90">
            <v>10.098637500000001</v>
          </cell>
          <cell r="AD90">
            <v>24.256531250000002</v>
          </cell>
          <cell r="AF90">
            <v>133.36141875000001</v>
          </cell>
          <cell r="AH90">
            <v>133.36141875000001</v>
          </cell>
          <cell r="AI90">
            <v>856.70108125000002</v>
          </cell>
          <cell r="AJ90">
            <v>275.39999999999998</v>
          </cell>
          <cell r="AK90">
            <v>0</v>
          </cell>
          <cell r="AL90">
            <v>275.39999999999998</v>
          </cell>
          <cell r="AM90">
            <v>0</v>
          </cell>
          <cell r="AN90">
            <v>581.30108125000004</v>
          </cell>
          <cell r="AO90">
            <v>89.105625000000003</v>
          </cell>
          <cell r="AP90">
            <v>16.831062500000002</v>
          </cell>
          <cell r="AQ90">
            <v>17.2270875</v>
          </cell>
          <cell r="AR90">
            <v>19.80125</v>
          </cell>
          <cell r="AS90">
            <v>27.023755937499999</v>
          </cell>
          <cell r="AT90">
            <v>13.1546</v>
          </cell>
          <cell r="AU90">
            <v>183.14338093749998</v>
          </cell>
          <cell r="AV90">
            <v>1173.2058809375001</v>
          </cell>
          <cell r="AW90">
            <v>82.505208333333329</v>
          </cell>
          <cell r="AX90">
            <v>90.345281744791677</v>
          </cell>
          <cell r="AY90">
            <v>187.86764682291667</v>
          </cell>
          <cell r="AZ90">
            <v>360.7181369010417</v>
          </cell>
          <cell r="BA90">
            <v>1533.9240178385417</v>
          </cell>
          <cell r="BB90">
            <v>61.356960713541667</v>
          </cell>
          <cell r="BC90">
            <v>215.28758145102339</v>
          </cell>
          <cell r="BE90">
            <v>81</v>
          </cell>
          <cell r="BF90" t="str">
            <v>ROJAS HUARCAYA, Edilberto Melquiades</v>
          </cell>
          <cell r="BI90">
            <v>18</v>
          </cell>
          <cell r="BN90">
            <v>153</v>
          </cell>
          <cell r="BR90">
            <v>44.4</v>
          </cell>
          <cell r="BS90">
            <v>60</v>
          </cell>
          <cell r="BW90">
            <v>275.39999999999998</v>
          </cell>
          <cell r="BX90">
            <v>275.39999999999998</v>
          </cell>
          <cell r="BY90">
            <v>0</v>
          </cell>
        </row>
        <row r="91">
          <cell r="A91">
            <v>82</v>
          </cell>
          <cell r="B91">
            <v>82</v>
          </cell>
          <cell r="C91" t="str">
            <v>ROSAS ZUNI, Bernardo</v>
          </cell>
          <cell r="D91" t="str">
            <v>PERFORISTA</v>
          </cell>
          <cell r="E91">
            <v>37269</v>
          </cell>
          <cell r="G91">
            <v>29553204</v>
          </cell>
          <cell r="H91">
            <v>31</v>
          </cell>
          <cell r="I91">
            <v>3.875</v>
          </cell>
          <cell r="J91" t="str">
            <v>INTEGRA</v>
          </cell>
          <cell r="K91">
            <v>25</v>
          </cell>
          <cell r="L91">
            <v>5</v>
          </cell>
          <cell r="M91">
            <v>0</v>
          </cell>
          <cell r="N91">
            <v>20</v>
          </cell>
          <cell r="P91">
            <v>775</v>
          </cell>
          <cell r="Q91">
            <v>155</v>
          </cell>
          <cell r="R91">
            <v>0</v>
          </cell>
          <cell r="S91">
            <v>96.875</v>
          </cell>
          <cell r="T91">
            <v>0</v>
          </cell>
          <cell r="Z91">
            <v>1026.875</v>
          </cell>
          <cell r="AA91">
            <v>0</v>
          </cell>
          <cell r="AB91">
            <v>102.6875</v>
          </cell>
          <cell r="AC91">
            <v>9.0365000000000002</v>
          </cell>
          <cell r="AD91">
            <v>21.564375000000002</v>
          </cell>
          <cell r="AF91">
            <v>133.288375</v>
          </cell>
          <cell r="AH91">
            <v>133.288375</v>
          </cell>
          <cell r="AI91">
            <v>893.58662500000003</v>
          </cell>
          <cell r="AJ91">
            <v>233</v>
          </cell>
          <cell r="AK91">
            <v>0</v>
          </cell>
          <cell r="AL91">
            <v>233</v>
          </cell>
          <cell r="AM91">
            <v>0</v>
          </cell>
          <cell r="AN91">
            <v>660.58662500000003</v>
          </cell>
          <cell r="AO91">
            <v>92.418750000000003</v>
          </cell>
          <cell r="AP91">
            <v>17.456875</v>
          </cell>
          <cell r="AQ91">
            <v>17.867625</v>
          </cell>
          <cell r="AR91">
            <v>20.537500000000001</v>
          </cell>
          <cell r="AS91">
            <v>28.028553124999998</v>
          </cell>
          <cell r="AT91">
            <v>13.577999999999999</v>
          </cell>
          <cell r="AU91">
            <v>189.88730312500002</v>
          </cell>
          <cell r="AV91">
            <v>1216.762303125</v>
          </cell>
          <cell r="AW91">
            <v>85.572916666666671</v>
          </cell>
          <cell r="AX91">
            <v>93.323941927083339</v>
          </cell>
          <cell r="AY91">
            <v>202.79371718749999</v>
          </cell>
          <cell r="AZ91">
            <v>381.69057578125</v>
          </cell>
          <cell r="BA91">
            <v>1598.4528789062501</v>
          </cell>
          <cell r="BB91">
            <v>63.938115156250007</v>
          </cell>
          <cell r="BC91">
            <v>206.25198437500001</v>
          </cell>
          <cell r="BE91">
            <v>82</v>
          </cell>
          <cell r="BF91" t="str">
            <v>ROSAS ZUNI, Bernardo</v>
          </cell>
          <cell r="BG91">
            <v>25</v>
          </cell>
          <cell r="BI91">
            <v>178</v>
          </cell>
          <cell r="BQ91">
            <v>20</v>
          </cell>
          <cell r="BR91">
            <v>10</v>
          </cell>
          <cell r="BW91">
            <v>233</v>
          </cell>
          <cell r="BX91">
            <v>233</v>
          </cell>
          <cell r="BY91">
            <v>0</v>
          </cell>
        </row>
        <row r="92">
          <cell r="A92">
            <v>83</v>
          </cell>
          <cell r="B92">
            <v>83</v>
          </cell>
          <cell r="C92" t="str">
            <v>SOLANO HUAMANI, Raul</v>
          </cell>
          <cell r="D92" t="str">
            <v>AYUDANTE</v>
          </cell>
          <cell r="E92">
            <v>37622</v>
          </cell>
          <cell r="G92">
            <v>40723421</v>
          </cell>
          <cell r="H92">
            <v>28.5</v>
          </cell>
          <cell r="I92">
            <v>3.5625</v>
          </cell>
          <cell r="J92" t="str">
            <v>PROFUTURO</v>
          </cell>
          <cell r="K92">
            <v>25</v>
          </cell>
          <cell r="L92">
            <v>5</v>
          </cell>
          <cell r="M92">
            <v>0</v>
          </cell>
          <cell r="N92">
            <v>20</v>
          </cell>
          <cell r="P92">
            <v>712.5</v>
          </cell>
          <cell r="Q92">
            <v>142.5</v>
          </cell>
          <cell r="R92">
            <v>0</v>
          </cell>
          <cell r="S92">
            <v>89.0625</v>
          </cell>
          <cell r="T92">
            <v>0</v>
          </cell>
          <cell r="U92">
            <v>46</v>
          </cell>
          <cell r="Z92">
            <v>990.0625</v>
          </cell>
          <cell r="AA92">
            <v>0</v>
          </cell>
          <cell r="AB92">
            <v>99.006250000000009</v>
          </cell>
          <cell r="AC92">
            <v>10.098637500000001</v>
          </cell>
          <cell r="AD92">
            <v>24.256531250000002</v>
          </cell>
          <cell r="AF92">
            <v>133.36141875000001</v>
          </cell>
          <cell r="AH92">
            <v>133.36141875000001</v>
          </cell>
          <cell r="AI92">
            <v>856.70108125000002</v>
          </cell>
          <cell r="AJ92">
            <v>150.5</v>
          </cell>
          <cell r="AK92">
            <v>0</v>
          </cell>
          <cell r="AL92">
            <v>150.5</v>
          </cell>
          <cell r="AM92">
            <v>0</v>
          </cell>
          <cell r="AN92">
            <v>706.20108125000002</v>
          </cell>
          <cell r="AO92">
            <v>89.105625000000003</v>
          </cell>
          <cell r="AP92">
            <v>16.831062500000002</v>
          </cell>
          <cell r="AQ92">
            <v>17.2270875</v>
          </cell>
          <cell r="AR92">
            <v>19.80125</v>
          </cell>
          <cell r="AS92">
            <v>27.023755937499999</v>
          </cell>
          <cell r="AT92">
            <v>13.1546</v>
          </cell>
          <cell r="AU92">
            <v>183.14338093749998</v>
          </cell>
          <cell r="AV92">
            <v>1173.2058809375001</v>
          </cell>
          <cell r="AW92">
            <v>82.505208333333329</v>
          </cell>
          <cell r="AX92">
            <v>90.345281744791677</v>
          </cell>
          <cell r="AY92">
            <v>187.86764682291667</v>
          </cell>
          <cell r="AZ92">
            <v>360.7181369010417</v>
          </cell>
          <cell r="BA92">
            <v>1533.9240178385417</v>
          </cell>
          <cell r="BB92">
            <v>61.356960713541667</v>
          </cell>
          <cell r="BC92">
            <v>215.28758145102339</v>
          </cell>
          <cell r="BE92">
            <v>83</v>
          </cell>
          <cell r="BF92" t="str">
            <v>SOLANO HUAMANI, Raul</v>
          </cell>
          <cell r="BH92">
            <v>135</v>
          </cell>
          <cell r="BK92">
            <v>5.5</v>
          </cell>
          <cell r="BM92">
            <v>10</v>
          </cell>
          <cell r="BW92">
            <v>150.5</v>
          </cell>
          <cell r="BX92">
            <v>150.5</v>
          </cell>
          <cell r="BY92">
            <v>0</v>
          </cell>
        </row>
        <row r="93">
          <cell r="A93">
            <v>84</v>
          </cell>
          <cell r="B93">
            <v>84</v>
          </cell>
          <cell r="C93" t="str">
            <v>SOTO MOLLO, Jose</v>
          </cell>
          <cell r="D93" t="str">
            <v>PERFORISTA</v>
          </cell>
          <cell r="E93">
            <v>36767</v>
          </cell>
          <cell r="G93">
            <v>30571672</v>
          </cell>
          <cell r="H93">
            <v>31</v>
          </cell>
          <cell r="I93">
            <v>3.875</v>
          </cell>
          <cell r="J93" t="str">
            <v>UNION</v>
          </cell>
          <cell r="K93">
            <v>25</v>
          </cell>
          <cell r="L93">
            <v>5</v>
          </cell>
          <cell r="M93">
            <v>0</v>
          </cell>
          <cell r="N93">
            <v>20</v>
          </cell>
          <cell r="O93">
            <v>66</v>
          </cell>
          <cell r="P93">
            <v>775</v>
          </cell>
          <cell r="Q93">
            <v>155</v>
          </cell>
          <cell r="R93">
            <v>0</v>
          </cell>
          <cell r="S93">
            <v>96.875</v>
          </cell>
          <cell r="T93">
            <v>511.5</v>
          </cell>
          <cell r="U93">
            <v>46</v>
          </cell>
          <cell r="Z93">
            <v>1584.375</v>
          </cell>
          <cell r="AA93">
            <v>0</v>
          </cell>
          <cell r="AB93">
            <v>158.4375</v>
          </cell>
          <cell r="AC93">
            <v>14.259375000000002</v>
          </cell>
          <cell r="AD93">
            <v>35.965312500000003</v>
          </cell>
          <cell r="AF93">
            <v>208.66218750000002</v>
          </cell>
          <cell r="AH93">
            <v>208.66218750000002</v>
          </cell>
          <cell r="AI93">
            <v>1375.7128124999999</v>
          </cell>
          <cell r="AJ93">
            <v>288.8</v>
          </cell>
          <cell r="AK93">
            <v>0</v>
          </cell>
          <cell r="AL93">
            <v>288.8</v>
          </cell>
          <cell r="AM93">
            <v>0</v>
          </cell>
          <cell r="AN93">
            <v>1086.9128125</v>
          </cell>
          <cell r="AO93">
            <v>142.59375</v>
          </cell>
          <cell r="AP93">
            <v>26.934375000000003</v>
          </cell>
          <cell r="AQ93">
            <v>27.568124999999998</v>
          </cell>
          <cell r="AR93">
            <v>31.6875</v>
          </cell>
          <cell r="AS93">
            <v>43.245515624999996</v>
          </cell>
          <cell r="AT93">
            <v>14.249600000000001</v>
          </cell>
          <cell r="AU93">
            <v>286.27886562499998</v>
          </cell>
          <cell r="AV93">
            <v>1870.653865625</v>
          </cell>
          <cell r="AW93">
            <v>132.03125</v>
          </cell>
          <cell r="AX93">
            <v>105.18990546875</v>
          </cell>
          <cell r="AY93">
            <v>218.85897760416665</v>
          </cell>
          <cell r="AZ93">
            <v>456.08013307291662</v>
          </cell>
          <cell r="BA93">
            <v>2326.7339986979168</v>
          </cell>
          <cell r="BB93">
            <v>93.069359947916666</v>
          </cell>
          <cell r="BC93">
            <v>300.22374176747314</v>
          </cell>
          <cell r="BE93">
            <v>84</v>
          </cell>
          <cell r="BF93" t="str">
            <v>SOTO MOLLO, Jose</v>
          </cell>
          <cell r="BG93">
            <v>50</v>
          </cell>
          <cell r="BI93">
            <v>150</v>
          </cell>
          <cell r="BM93">
            <v>47</v>
          </cell>
          <cell r="BQ93">
            <v>41.8</v>
          </cell>
          <cell r="BW93">
            <v>288.8</v>
          </cell>
          <cell r="BX93">
            <v>288.8</v>
          </cell>
          <cell r="BY93">
            <v>0</v>
          </cell>
        </row>
        <row r="94">
          <cell r="A94">
            <v>85</v>
          </cell>
          <cell r="B94">
            <v>85</v>
          </cell>
          <cell r="C94" t="str">
            <v>SULLCA FLORES, Mauro</v>
          </cell>
          <cell r="D94" t="str">
            <v>PERFORISTA</v>
          </cell>
          <cell r="E94">
            <v>37262</v>
          </cell>
          <cell r="G94">
            <v>41871959</v>
          </cell>
          <cell r="H94">
            <v>31</v>
          </cell>
          <cell r="I94">
            <v>3.875</v>
          </cell>
          <cell r="J94" t="str">
            <v>UNION</v>
          </cell>
          <cell r="K94">
            <v>25</v>
          </cell>
          <cell r="L94">
            <v>5</v>
          </cell>
          <cell r="M94">
            <v>0</v>
          </cell>
          <cell r="N94">
            <v>20</v>
          </cell>
          <cell r="O94">
            <v>77</v>
          </cell>
          <cell r="P94">
            <v>775</v>
          </cell>
          <cell r="Q94">
            <v>155</v>
          </cell>
          <cell r="R94">
            <v>0</v>
          </cell>
          <cell r="S94">
            <v>96.875</v>
          </cell>
          <cell r="T94">
            <v>596.75</v>
          </cell>
          <cell r="U94">
            <v>46</v>
          </cell>
          <cell r="V94">
            <v>300</v>
          </cell>
          <cell r="Z94">
            <v>1969.625</v>
          </cell>
          <cell r="AA94">
            <v>0</v>
          </cell>
          <cell r="AB94">
            <v>196.96250000000001</v>
          </cell>
          <cell r="AC94">
            <v>17.726625000000002</v>
          </cell>
          <cell r="AD94">
            <v>44.710487499999999</v>
          </cell>
          <cell r="AF94">
            <v>259.39961249999999</v>
          </cell>
          <cell r="AH94">
            <v>259.39961249999999</v>
          </cell>
          <cell r="AI94">
            <v>1710.2253875000001</v>
          </cell>
          <cell r="AJ94">
            <v>411.5</v>
          </cell>
          <cell r="AK94">
            <v>0</v>
          </cell>
          <cell r="AL94">
            <v>411.5</v>
          </cell>
          <cell r="AM94">
            <v>10</v>
          </cell>
          <cell r="AN94">
            <v>1288.7253875000001</v>
          </cell>
          <cell r="AO94">
            <v>177.26624999999999</v>
          </cell>
          <cell r="AP94">
            <v>33.483625000000004</v>
          </cell>
          <cell r="AQ94">
            <v>34.271474999999995</v>
          </cell>
          <cell r="AR94">
            <v>39.392499999999998</v>
          </cell>
          <cell r="AS94">
            <v>53.760914374999999</v>
          </cell>
          <cell r="AT94">
            <v>14.249600000000001</v>
          </cell>
          <cell r="AU94">
            <v>352.42436437499998</v>
          </cell>
          <cell r="AV94">
            <v>2322.0493643750001</v>
          </cell>
          <cell r="AW94">
            <v>164.13541666666666</v>
          </cell>
          <cell r="AX94">
            <v>110.70203036458334</v>
          </cell>
          <cell r="AY94">
            <v>229.88322739583336</v>
          </cell>
          <cell r="AZ94">
            <v>504.7206744270834</v>
          </cell>
          <cell r="BA94">
            <v>2826.7700388020835</v>
          </cell>
          <cell r="BB94">
            <v>113.07080155208334</v>
          </cell>
          <cell r="BC94">
            <v>364.74452113575268</v>
          </cell>
          <cell r="BE94">
            <v>85</v>
          </cell>
          <cell r="BF94" t="str">
            <v>SULLCA FLORES, Mauro</v>
          </cell>
          <cell r="BJ94">
            <v>34.5</v>
          </cell>
          <cell r="BL94">
            <v>224</v>
          </cell>
          <cell r="BT94">
            <v>153</v>
          </cell>
          <cell r="BW94">
            <v>411.5</v>
          </cell>
          <cell r="BX94">
            <v>411.5</v>
          </cell>
          <cell r="BY94">
            <v>0</v>
          </cell>
        </row>
        <row r="95">
          <cell r="A95">
            <v>86</v>
          </cell>
          <cell r="B95">
            <v>86</v>
          </cell>
          <cell r="C95" t="str">
            <v>TAIPE PAUCAR , Ever Cirilo</v>
          </cell>
          <cell r="D95" t="str">
            <v>AYUDANTE</v>
          </cell>
          <cell r="E95">
            <v>37653</v>
          </cell>
          <cell r="G95">
            <v>42242260</v>
          </cell>
          <cell r="H95">
            <v>28.5</v>
          </cell>
          <cell r="I95">
            <v>3.5625</v>
          </cell>
          <cell r="J95" t="str">
            <v>PROFUTURO</v>
          </cell>
          <cell r="K95">
            <v>25</v>
          </cell>
          <cell r="L95">
            <v>5</v>
          </cell>
          <cell r="M95">
            <v>0</v>
          </cell>
          <cell r="N95">
            <v>20</v>
          </cell>
          <cell r="P95">
            <v>712.5</v>
          </cell>
          <cell r="Q95">
            <v>142.5</v>
          </cell>
          <cell r="R95">
            <v>0</v>
          </cell>
          <cell r="S95">
            <v>89.0625</v>
          </cell>
          <cell r="T95">
            <v>0</v>
          </cell>
          <cell r="U95">
            <v>46</v>
          </cell>
          <cell r="V95">
            <v>225</v>
          </cell>
          <cell r="Z95">
            <v>1215.0625</v>
          </cell>
          <cell r="AA95">
            <v>0</v>
          </cell>
          <cell r="AB95">
            <v>121.50625000000001</v>
          </cell>
          <cell r="AC95">
            <v>12.393637500000001</v>
          </cell>
          <cell r="AD95">
            <v>29.769031250000001</v>
          </cell>
          <cell r="AF95">
            <v>163.66891875000002</v>
          </cell>
          <cell r="AH95">
            <v>163.66891875000002</v>
          </cell>
          <cell r="AI95">
            <v>1051.3935812499999</v>
          </cell>
          <cell r="AJ95">
            <v>271</v>
          </cell>
          <cell r="AK95">
            <v>0</v>
          </cell>
          <cell r="AL95">
            <v>271</v>
          </cell>
          <cell r="AM95">
            <v>19</v>
          </cell>
          <cell r="AN95">
            <v>761.3935812499999</v>
          </cell>
          <cell r="AO95">
            <v>109.35562499999999</v>
          </cell>
          <cell r="AP95">
            <v>20.656062500000001</v>
          </cell>
          <cell r="AQ95">
            <v>21.142087499999999</v>
          </cell>
          <cell r="AR95">
            <v>24.30125</v>
          </cell>
          <cell r="AS95">
            <v>33.165130937500003</v>
          </cell>
          <cell r="AT95">
            <v>13.1546</v>
          </cell>
          <cell r="AU95">
            <v>221.7747559375</v>
          </cell>
          <cell r="AV95">
            <v>1436.8372559375</v>
          </cell>
          <cell r="AW95">
            <v>101.25520833333333</v>
          </cell>
          <cell r="AX95">
            <v>93.564562994791672</v>
          </cell>
          <cell r="AY95">
            <v>194.30620932291666</v>
          </cell>
          <cell r="AZ95">
            <v>389.12598065104169</v>
          </cell>
          <cell r="BA95">
            <v>1825.9632365885418</v>
          </cell>
          <cell r="BB95">
            <v>73.038529463541678</v>
          </cell>
          <cell r="BC95">
            <v>256.27554197733923</v>
          </cell>
          <cell r="BE95">
            <v>86</v>
          </cell>
          <cell r="BF95" t="str">
            <v>TAIPE PAUCAR , Ever Cirilo</v>
          </cell>
          <cell r="BI95">
            <v>25</v>
          </cell>
          <cell r="BL95">
            <v>200</v>
          </cell>
          <cell r="BO95">
            <v>46</v>
          </cell>
          <cell r="BW95">
            <v>271</v>
          </cell>
          <cell r="BX95">
            <v>271</v>
          </cell>
          <cell r="BY95">
            <v>0</v>
          </cell>
        </row>
        <row r="96">
          <cell r="A96">
            <v>87</v>
          </cell>
          <cell r="B96">
            <v>87</v>
          </cell>
          <cell r="C96" t="str">
            <v>UNOCC SEDANO, Angel</v>
          </cell>
          <cell r="D96" t="str">
            <v>AYUDANTE</v>
          </cell>
          <cell r="E96">
            <v>38050</v>
          </cell>
          <cell r="G96">
            <v>42326853</v>
          </cell>
          <cell r="H96">
            <v>28.5</v>
          </cell>
          <cell r="I96">
            <v>3.5625</v>
          </cell>
          <cell r="J96" t="str">
            <v>UNION</v>
          </cell>
          <cell r="K96">
            <v>25</v>
          </cell>
          <cell r="L96">
            <v>5</v>
          </cell>
          <cell r="M96">
            <v>0</v>
          </cell>
          <cell r="N96">
            <v>20</v>
          </cell>
          <cell r="P96">
            <v>712.5</v>
          </cell>
          <cell r="Q96">
            <v>142.5</v>
          </cell>
          <cell r="R96">
            <v>0</v>
          </cell>
          <cell r="S96">
            <v>89.0625</v>
          </cell>
          <cell r="T96">
            <v>0</v>
          </cell>
          <cell r="Z96">
            <v>944.0625</v>
          </cell>
          <cell r="AA96">
            <v>0</v>
          </cell>
          <cell r="AB96">
            <v>94.40625</v>
          </cell>
          <cell r="AC96">
            <v>8.4965625000000014</v>
          </cell>
          <cell r="AD96">
            <v>21.430218750000002</v>
          </cell>
          <cell r="AF96">
            <v>124.33303125</v>
          </cell>
          <cell r="AH96">
            <v>124.33303125</v>
          </cell>
          <cell r="AI96">
            <v>819.72946875000002</v>
          </cell>
          <cell r="AJ96">
            <v>276.8</v>
          </cell>
          <cell r="AK96">
            <v>0</v>
          </cell>
          <cell r="AL96">
            <v>276.8</v>
          </cell>
          <cell r="AM96">
            <v>6</v>
          </cell>
          <cell r="AN96">
            <v>536.92946875000007</v>
          </cell>
          <cell r="AO96">
            <v>84.965625000000003</v>
          </cell>
          <cell r="AP96">
            <v>16.049062500000002</v>
          </cell>
          <cell r="AQ96">
            <v>16.4266875</v>
          </cell>
          <cell r="AR96">
            <v>18.881250000000001</v>
          </cell>
          <cell r="AS96">
            <v>25.768185937499997</v>
          </cell>
          <cell r="AT96">
            <v>12.483000000000001</v>
          </cell>
          <cell r="AU96">
            <v>174.57381093750001</v>
          </cell>
          <cell r="AV96">
            <v>1118.6363109375</v>
          </cell>
          <cell r="AW96">
            <v>78.671875</v>
          </cell>
          <cell r="AX96">
            <v>85.797817578124992</v>
          </cell>
          <cell r="AY96">
            <v>186.43938515624998</v>
          </cell>
          <cell r="AZ96">
            <v>350.90907773437493</v>
          </cell>
          <cell r="BA96">
            <v>1469.5453886718749</v>
          </cell>
          <cell r="BB96">
            <v>58.781815546874995</v>
          </cell>
          <cell r="BC96">
            <v>206.25198437499995</v>
          </cell>
          <cell r="BE96">
            <v>87</v>
          </cell>
          <cell r="BF96" t="str">
            <v>UNOCC SEDANO, Angel</v>
          </cell>
          <cell r="BH96">
            <v>170.8</v>
          </cell>
          <cell r="BJ96">
            <v>7</v>
          </cell>
          <cell r="BM96">
            <v>14</v>
          </cell>
          <cell r="BQ96">
            <v>80</v>
          </cell>
          <cell r="BR96">
            <v>5</v>
          </cell>
          <cell r="BW96">
            <v>276.8</v>
          </cell>
          <cell r="BX96">
            <v>276.8</v>
          </cell>
          <cell r="BY96">
            <v>0</v>
          </cell>
        </row>
        <row r="97">
          <cell r="A97">
            <v>88</v>
          </cell>
          <cell r="B97">
            <v>88</v>
          </cell>
          <cell r="C97" t="str">
            <v>VILCA QUISPE, Emilio Elmer</v>
          </cell>
          <cell r="D97" t="str">
            <v>PERFORISTA</v>
          </cell>
          <cell r="E97">
            <v>38157</v>
          </cell>
          <cell r="G97" t="str">
            <v>40753044</v>
          </cell>
          <cell r="H97">
            <v>31</v>
          </cell>
          <cell r="I97">
            <v>3.875</v>
          </cell>
          <cell r="J97" t="str">
            <v>INTEGRA</v>
          </cell>
          <cell r="K97">
            <v>9</v>
          </cell>
          <cell r="L97">
            <v>1</v>
          </cell>
          <cell r="M97">
            <v>0</v>
          </cell>
          <cell r="N97">
            <v>0</v>
          </cell>
          <cell r="P97">
            <v>279</v>
          </cell>
          <cell r="Q97">
            <v>31</v>
          </cell>
          <cell r="R97">
            <v>0</v>
          </cell>
          <cell r="S97">
            <v>0</v>
          </cell>
          <cell r="T97">
            <v>0</v>
          </cell>
          <cell r="Z97">
            <v>310</v>
          </cell>
          <cell r="AA97">
            <v>0</v>
          </cell>
          <cell r="AB97">
            <v>31</v>
          </cell>
          <cell r="AC97">
            <v>2.7280000000000002</v>
          </cell>
          <cell r="AD97">
            <v>6.5100000000000007</v>
          </cell>
          <cell r="AF97">
            <v>40.238</v>
          </cell>
          <cell r="AH97">
            <v>40.238</v>
          </cell>
          <cell r="AI97">
            <v>269.762</v>
          </cell>
          <cell r="AJ97">
            <v>193.1</v>
          </cell>
          <cell r="AK97">
            <v>0</v>
          </cell>
          <cell r="AL97">
            <v>193.1</v>
          </cell>
          <cell r="AM97">
            <v>0</v>
          </cell>
          <cell r="AN97">
            <v>76.662000000000006</v>
          </cell>
          <cell r="AO97">
            <v>27.9</v>
          </cell>
          <cell r="AP97">
            <v>5.2700000000000005</v>
          </cell>
          <cell r="AQ97">
            <v>5.3939999999999992</v>
          </cell>
          <cell r="AR97">
            <v>6.2</v>
          </cell>
          <cell r="AS97">
            <v>8.4614499999999992</v>
          </cell>
          <cell r="AT97">
            <v>4.5259999999999998</v>
          </cell>
          <cell r="AU97">
            <v>57.751450000000006</v>
          </cell>
          <cell r="AV97">
            <v>367.75144999999998</v>
          </cell>
          <cell r="AW97">
            <v>25.833333333333332</v>
          </cell>
          <cell r="AX97">
            <v>30.645954166666666</v>
          </cell>
          <cell r="AY97">
            <v>61.291908333333332</v>
          </cell>
          <cell r="AZ97">
            <v>117.77119583333334</v>
          </cell>
          <cell r="BA97">
            <v>485.52264583333329</v>
          </cell>
          <cell r="BB97">
            <v>53.946960648148142</v>
          </cell>
          <cell r="BC97">
            <v>174.02245370370369</v>
          </cell>
          <cell r="BE97">
            <v>88</v>
          </cell>
          <cell r="BF97" t="str">
            <v>VILCA QUISPE, EMILIO ELMER</v>
          </cell>
          <cell r="BL97">
            <v>149.6</v>
          </cell>
          <cell r="BO97">
            <v>43.5</v>
          </cell>
          <cell r="BW97">
            <v>193.1</v>
          </cell>
          <cell r="BX97">
            <v>193.1</v>
          </cell>
          <cell r="BY97">
            <v>0</v>
          </cell>
        </row>
        <row r="98">
          <cell r="A98">
            <v>89</v>
          </cell>
          <cell r="B98">
            <v>89</v>
          </cell>
          <cell r="C98" t="str">
            <v>VILCA QUISPE, Ernesto</v>
          </cell>
          <cell r="D98" t="str">
            <v>AYUDANTE</v>
          </cell>
          <cell r="E98">
            <v>38139</v>
          </cell>
          <cell r="G98" t="str">
            <v>02173443</v>
          </cell>
          <cell r="H98">
            <v>28.5</v>
          </cell>
          <cell r="I98">
            <v>3.5625</v>
          </cell>
          <cell r="J98" t="str">
            <v>HORIZONTE</v>
          </cell>
          <cell r="K98">
            <v>22</v>
          </cell>
          <cell r="L98">
            <v>4.25</v>
          </cell>
          <cell r="M98">
            <v>0</v>
          </cell>
          <cell r="N98">
            <v>11</v>
          </cell>
          <cell r="P98">
            <v>627</v>
          </cell>
          <cell r="Q98">
            <v>121.125</v>
          </cell>
          <cell r="R98">
            <v>0</v>
          </cell>
          <cell r="S98">
            <v>48.984375</v>
          </cell>
          <cell r="T98">
            <v>0</v>
          </cell>
          <cell r="Z98">
            <v>797.109375</v>
          </cell>
          <cell r="AA98">
            <v>0</v>
          </cell>
          <cell r="AB98">
            <v>79.7109375</v>
          </cell>
          <cell r="AC98">
            <v>7.0942734375000001</v>
          </cell>
          <cell r="AD98">
            <v>17.934960937499998</v>
          </cell>
          <cell r="AF98">
            <v>104.74017187499999</v>
          </cell>
          <cell r="AH98">
            <v>104.74017187499999</v>
          </cell>
          <cell r="AI98">
            <v>692.36920312500001</v>
          </cell>
          <cell r="AJ98">
            <v>465</v>
          </cell>
          <cell r="AK98">
            <v>0</v>
          </cell>
          <cell r="AL98">
            <v>465</v>
          </cell>
          <cell r="AM98">
            <v>0</v>
          </cell>
          <cell r="AN98">
            <v>227.36920312500001</v>
          </cell>
          <cell r="AO98">
            <v>71.739843749999991</v>
          </cell>
          <cell r="AP98">
            <v>13.550859375000002</v>
          </cell>
          <cell r="AQ98">
            <v>13.869703124999999</v>
          </cell>
          <cell r="AR98">
            <v>15.942187500000001</v>
          </cell>
          <cell r="AS98">
            <v>21.757100390625002</v>
          </cell>
          <cell r="AT98">
            <v>10.922625</v>
          </cell>
          <cell r="AU98">
            <v>147.78231914062502</v>
          </cell>
          <cell r="AV98">
            <v>944.89169414062508</v>
          </cell>
          <cell r="AW98">
            <v>66.42578125</v>
          </cell>
          <cell r="AX98">
            <v>74.658943261718761</v>
          </cell>
          <cell r="AY98">
            <v>157.48194902343752</v>
          </cell>
          <cell r="AZ98">
            <v>298.56667353515627</v>
          </cell>
          <cell r="BA98">
            <v>1243.4583676757813</v>
          </cell>
          <cell r="BB98">
            <v>56.520834894353698</v>
          </cell>
          <cell r="BC98">
            <v>198.31871892755683</v>
          </cell>
          <cell r="BE98">
            <v>89</v>
          </cell>
          <cell r="BF98" t="str">
            <v>VILCA QUISPE, ERNESTO</v>
          </cell>
          <cell r="BH98">
            <v>82</v>
          </cell>
          <cell r="BL98">
            <v>383</v>
          </cell>
          <cell r="BW98">
            <v>465</v>
          </cell>
          <cell r="BX98">
            <v>465</v>
          </cell>
          <cell r="BY98">
            <v>0</v>
          </cell>
        </row>
        <row r="99">
          <cell r="B99" t="str">
            <v>SUB TOTAL  PLANILLA  DE OBREROS = 89</v>
          </cell>
          <cell r="K99">
            <v>1892</v>
          </cell>
          <cell r="L99">
            <v>368</v>
          </cell>
          <cell r="M99">
            <v>42</v>
          </cell>
          <cell r="N99">
            <v>1318</v>
          </cell>
          <cell r="O99">
            <v>1023</v>
          </cell>
          <cell r="P99">
            <v>56216.5</v>
          </cell>
          <cell r="Q99">
            <v>10941</v>
          </cell>
          <cell r="R99">
            <v>1284.5</v>
          </cell>
          <cell r="S99">
            <v>6121.328125</v>
          </cell>
          <cell r="T99">
            <v>7694.5</v>
          </cell>
          <cell r="U99">
            <v>2099.8999999999996</v>
          </cell>
          <cell r="V99">
            <v>3340</v>
          </cell>
          <cell r="W99">
            <v>4804</v>
          </cell>
          <cell r="X99">
            <v>215.24</v>
          </cell>
          <cell r="Y99">
            <v>150.16999999999999</v>
          </cell>
          <cell r="Z99">
            <v>92501.728124999994</v>
          </cell>
          <cell r="AA99">
            <v>1526.8242708333335</v>
          </cell>
          <cell r="AB99">
            <v>8075.6926041666729</v>
          </cell>
          <cell r="AC99">
            <v>747.3305370833333</v>
          </cell>
          <cell r="AD99">
            <v>1837.577640416667</v>
          </cell>
          <cell r="AE99">
            <v>0</v>
          </cell>
          <cell r="AF99">
            <v>12187.425052500006</v>
          </cell>
          <cell r="AG99">
            <v>3223.23</v>
          </cell>
          <cell r="AH99">
            <v>15410.655052500002</v>
          </cell>
          <cell r="AI99">
            <v>77091.073072499988</v>
          </cell>
          <cell r="AJ99">
            <v>17324.099999999995</v>
          </cell>
          <cell r="AK99">
            <v>7</v>
          </cell>
          <cell r="AL99">
            <v>17331.099999999995</v>
          </cell>
          <cell r="AM99">
            <v>431.5</v>
          </cell>
          <cell r="AN99">
            <v>59328.473072500004</v>
          </cell>
          <cell r="AO99">
            <v>8358.0424312500018</v>
          </cell>
          <cell r="AP99">
            <v>1576.1884581250004</v>
          </cell>
          <cell r="AQ99">
            <v>1615.888203374999</v>
          </cell>
          <cell r="AR99">
            <v>1622.4467208333326</v>
          </cell>
          <cell r="AS99">
            <v>2534.8085351218756</v>
          </cell>
          <cell r="AT99">
            <v>1035.2467259999992</v>
          </cell>
          <cell r="AU99">
            <v>16742.621074705203</v>
          </cell>
          <cell r="AV99">
            <v>109244.34919970522</v>
          </cell>
          <cell r="AW99">
            <v>7708.4773437499962</v>
          </cell>
          <cell r="AX99">
            <v>7268.249992396266</v>
          </cell>
          <cell r="AY99">
            <v>15206.738005625868</v>
          </cell>
          <cell r="AZ99">
            <v>30183.465341772138</v>
          </cell>
          <cell r="BA99">
            <v>139427.81454147733</v>
          </cell>
          <cell r="BG99">
            <v>736</v>
          </cell>
          <cell r="BH99">
            <v>1731</v>
          </cell>
          <cell r="BI99">
            <v>2854.5</v>
          </cell>
          <cell r="BJ99">
            <v>218.90000000000003</v>
          </cell>
          <cell r="BK99">
            <v>95.1</v>
          </cell>
          <cell r="BL99">
            <v>4466.7999999999993</v>
          </cell>
          <cell r="BM99">
            <v>522.90000000000009</v>
          </cell>
          <cell r="BN99">
            <v>899.5</v>
          </cell>
          <cell r="BO99">
            <v>1956</v>
          </cell>
          <cell r="BP99">
            <v>86</v>
          </cell>
          <cell r="BQ99">
            <v>1850.1999999999998</v>
          </cell>
          <cell r="BR99">
            <v>1279.8000000000002</v>
          </cell>
          <cell r="BS99">
            <v>149.9</v>
          </cell>
          <cell r="BT99">
            <v>153</v>
          </cell>
          <cell r="BU99">
            <v>265.5</v>
          </cell>
          <cell r="BV99">
            <v>128.80000000000001</v>
          </cell>
          <cell r="BW99">
            <v>17393.899999999998</v>
          </cell>
        </row>
        <row r="100">
          <cell r="Z100">
            <v>83992.318124999991</v>
          </cell>
        </row>
        <row r="102">
          <cell r="B102" t="str">
            <v>2.-  PLANILLA EMPLEADOS:</v>
          </cell>
        </row>
        <row r="103">
          <cell r="B103" t="str">
            <v>Nº</v>
          </cell>
          <cell r="C103" t="str">
            <v>NOMBRE  Y  APELLIDOS</v>
          </cell>
          <cell r="D103" t="str">
            <v>CARGO
OCUPACION</v>
          </cell>
          <cell r="E103" t="str">
            <v xml:space="preserve">FECHA   INGRESO  PDT </v>
          </cell>
          <cell r="F103" t="str">
            <v>FECHA   CESE</v>
          </cell>
          <cell r="G103" t="str">
            <v>LIBRETA  ELECTORAL</v>
          </cell>
          <cell r="H103" t="str">
            <v>SUELDO</v>
          </cell>
          <cell r="I103" t="str">
            <v>IMPORTE  HORA</v>
          </cell>
          <cell r="J103" t="str">
            <v>AFP/ONP</v>
          </cell>
          <cell r="K103" t="str">
            <v>JORNADA</v>
          </cell>
          <cell r="P103" t="str">
            <v>REMUNERACIONES</v>
          </cell>
          <cell r="Z103" t="str">
            <v>TOTAL 
REMUNERACION</v>
          </cell>
          <cell r="AA103" t="str">
            <v>RETENCIONES A CARGO DEL TRABAJADOR POR TRIBUTOS, APORTES PREVISIONALES, CUOTAS Y OTROS CONCEPTOS</v>
          </cell>
          <cell r="AF103" t="str">
            <v xml:space="preserve">TOTAL                   DCTO                   LEY </v>
          </cell>
          <cell r="AG103" t="str">
            <v>ADELANTO VACACIONES JUNIO-04  PAGADO REMESA MAYO-04</v>
          </cell>
          <cell r="AH103" t="str">
            <v>TOTAL  DCTO LEY  +  ADELANTO VACACIONES</v>
          </cell>
          <cell r="AI103" t="str">
            <v>TOTAL A GANAR</v>
          </cell>
          <cell r="AJ103" t="str">
            <v>DCTO  PENSION   Y MERCANTIL</v>
          </cell>
          <cell r="AK103" t="str">
            <v>DCTO  PENSION   Y MERCANTIL   CONGEMIN</v>
          </cell>
          <cell r="AL103" t="str">
            <v>TOTAL  POR MERCANTIL, PENSION</v>
          </cell>
          <cell r="AM103" t="str">
            <v>ADELANTOS  CONGEMIN</v>
          </cell>
          <cell r="AN103" t="str">
            <v>TOTAL   NETO     GANADO</v>
          </cell>
          <cell r="AO103" t="str">
            <v>TRIBUTOS Y APORTES A CARGO DEL EMPLEADOR</v>
          </cell>
          <cell r="AV103" t="str">
            <v>COSTO   PLANILLA                          S / BS</v>
          </cell>
          <cell r="AW103" t="str">
            <v>CTS                                                                              8.33%</v>
          </cell>
          <cell r="AX103" t="str">
            <v>VACACIONES  TRUNCAS    10.22%</v>
          </cell>
          <cell r="AY103" t="str">
            <v>GRATIFICAC    TRUNCA      20.44%</v>
          </cell>
          <cell r="AZ103" t="str">
            <v>TOTAL   BENEFICIOS SOCIALES</v>
          </cell>
          <cell r="BA103" t="str">
            <v>GRAN   TOTAL COSTO PLANILLA</v>
          </cell>
          <cell r="BE103">
            <v>1</v>
          </cell>
          <cell r="BW103">
            <v>0</v>
          </cell>
        </row>
        <row r="104">
          <cell r="K104" t="str">
            <v>T.O</v>
          </cell>
          <cell r="L104" t="str">
            <v>D Y F     LEY</v>
          </cell>
          <cell r="M104" t="str">
            <v>SUBSID</v>
          </cell>
          <cell r="N104" t="str">
            <v>H.E 
25%</v>
          </cell>
          <cell r="O104" t="str">
            <v>H.E 
100%</v>
          </cell>
          <cell r="P104" t="str">
            <v>IMPORTES</v>
          </cell>
          <cell r="U104" t="str">
            <v>ASIG. FAMILIAR</v>
          </cell>
          <cell r="V104" t="str">
            <v xml:space="preserve">REINTEGROS     </v>
          </cell>
          <cell r="W104" t="str">
            <v>VACACION   JUNIO-04</v>
          </cell>
          <cell r="X104" t="str">
            <v>VAC  TRUNCAS</v>
          </cell>
          <cell r="Y104" t="str">
            <v>GRATIF.    PROPORCIONA</v>
          </cell>
          <cell r="AA104" t="str">
            <v>S.  N.  P.</v>
          </cell>
          <cell r="AB104" t="str">
            <v>SISTEMA PRIVADO DE PENSIONES</v>
          </cell>
          <cell r="AE104" t="str">
            <v>RENTA                        5ta</v>
          </cell>
          <cell r="AO104" t="str">
            <v>ESSALUD    
 9%</v>
          </cell>
          <cell r="AP104" t="str">
            <v>I.E.S  
1.70 %</v>
          </cell>
          <cell r="AQ104" t="str">
            <v>SCTR               1.74%</v>
          </cell>
          <cell r="AR104" t="str">
            <v>LEY  27252       ALTO RIESGO     2%</v>
          </cell>
          <cell r="AS104" t="str">
            <v>SCTR-P        RIMAC              2.65%</v>
          </cell>
          <cell r="AT104" t="str">
            <v>VIDA LEY  RIMAC        0.53%</v>
          </cell>
          <cell r="AU104" t="str">
            <v>TOTAL APORTES       18.39%</v>
          </cell>
          <cell r="BE104">
            <v>2</v>
          </cell>
          <cell r="BH104">
            <v>0</v>
          </cell>
          <cell r="BW104">
            <v>0</v>
          </cell>
        </row>
        <row r="105">
          <cell r="P105" t="str">
            <v>ORDINARIO</v>
          </cell>
          <cell r="Q105" t="str">
            <v>BONOS</v>
          </cell>
          <cell r="R105" t="str">
            <v>SUBSIDIOS</v>
          </cell>
          <cell r="S105" t="str">
            <v>EXT                                  25%</v>
          </cell>
          <cell r="T105" t="str">
            <v>EXT                                  100%</v>
          </cell>
          <cell r="AB105" t="str">
            <v xml:space="preserve">Obligat. 8% + </v>
          </cell>
          <cell r="AC105" t="str">
            <v>SEG.</v>
          </cell>
          <cell r="AD105" t="str">
            <v>COMISI</v>
          </cell>
          <cell r="BE105">
            <v>3</v>
          </cell>
          <cell r="BW105">
            <v>0</v>
          </cell>
        </row>
        <row r="106">
          <cell r="A106">
            <v>90</v>
          </cell>
          <cell r="B106">
            <v>1</v>
          </cell>
          <cell r="C106" t="str">
            <v>BAUTISTA SOTO, Raul Francisco</v>
          </cell>
          <cell r="D106" t="str">
            <v>ING. RESIDENTE</v>
          </cell>
          <cell r="E106">
            <v>38047</v>
          </cell>
          <cell r="G106" t="str">
            <v>06567723</v>
          </cell>
          <cell r="H106">
            <v>3300</v>
          </cell>
          <cell r="J106" t="str">
            <v>UNION</v>
          </cell>
          <cell r="K106">
            <v>30</v>
          </cell>
          <cell r="P106">
            <v>3300</v>
          </cell>
          <cell r="Q106">
            <v>0</v>
          </cell>
          <cell r="R106">
            <v>0</v>
          </cell>
          <cell r="T106">
            <v>0</v>
          </cell>
          <cell r="U106">
            <v>0</v>
          </cell>
          <cell r="V106">
            <v>0</v>
          </cell>
          <cell r="Z106">
            <v>3300</v>
          </cell>
          <cell r="AA106">
            <v>0</v>
          </cell>
          <cell r="AB106">
            <v>264</v>
          </cell>
          <cell r="AC106">
            <v>29.700000000000003</v>
          </cell>
          <cell r="AD106">
            <v>74.910000000000011</v>
          </cell>
          <cell r="AE106">
            <v>297.5</v>
          </cell>
          <cell r="AF106">
            <v>666.11</v>
          </cell>
          <cell r="AG106">
            <v>0</v>
          </cell>
          <cell r="AH106">
            <v>666.11</v>
          </cell>
          <cell r="AI106">
            <v>2633.89</v>
          </cell>
          <cell r="AK106">
            <v>79.8</v>
          </cell>
          <cell r="AL106">
            <v>79.8</v>
          </cell>
          <cell r="AM106">
            <v>36</v>
          </cell>
          <cell r="AN106">
            <v>2518.0899999999997</v>
          </cell>
          <cell r="AO106">
            <v>297</v>
          </cell>
          <cell r="AP106">
            <v>56.1</v>
          </cell>
          <cell r="AQ106">
            <v>57.419999999999995</v>
          </cell>
          <cell r="AR106">
            <v>0</v>
          </cell>
          <cell r="AS106">
            <v>90.073499999999996</v>
          </cell>
          <cell r="AT106">
            <v>17.489999999999998</v>
          </cell>
          <cell r="AU106">
            <v>518.08350000000007</v>
          </cell>
          <cell r="AV106">
            <v>3818.0835000000002</v>
          </cell>
          <cell r="AW106">
            <v>274.89</v>
          </cell>
          <cell r="AX106">
            <v>318.17362500000002</v>
          </cell>
          <cell r="AY106">
            <v>636.34725000000003</v>
          </cell>
          <cell r="AZ106">
            <v>1229.410875</v>
          </cell>
          <cell r="BA106">
            <v>5047.4943750000002</v>
          </cell>
          <cell r="BE106">
            <v>4</v>
          </cell>
          <cell r="BF106" t="str">
            <v>OSCANOA GARCIA, Luis Angel</v>
          </cell>
          <cell r="BH106">
            <v>0</v>
          </cell>
          <cell r="BI106">
            <v>5</v>
          </cell>
          <cell r="BW106">
            <v>5</v>
          </cell>
        </row>
        <row r="107">
          <cell r="A107">
            <v>91</v>
          </cell>
          <cell r="B107">
            <v>2</v>
          </cell>
          <cell r="C107" t="str">
            <v>CARDENAS VILLEGAS, Efrain Filiberto</v>
          </cell>
          <cell r="D107" t="str">
            <v>JEFE DE GUARDIA</v>
          </cell>
          <cell r="E107">
            <v>37997</v>
          </cell>
          <cell r="G107" t="str">
            <v>20005193</v>
          </cell>
          <cell r="H107">
            <v>1980</v>
          </cell>
          <cell r="J107" t="str">
            <v>PROFUTURO</v>
          </cell>
          <cell r="K107">
            <v>30</v>
          </cell>
          <cell r="P107">
            <v>1980</v>
          </cell>
          <cell r="Q107">
            <v>0</v>
          </cell>
          <cell r="R107">
            <v>0</v>
          </cell>
          <cell r="T107">
            <v>0</v>
          </cell>
          <cell r="U107">
            <v>0</v>
          </cell>
          <cell r="V107">
            <v>0</v>
          </cell>
          <cell r="Z107">
            <v>1980</v>
          </cell>
          <cell r="AA107">
            <v>0</v>
          </cell>
          <cell r="AB107">
            <v>158.4</v>
          </cell>
          <cell r="AC107">
            <v>20.196000000000002</v>
          </cell>
          <cell r="AD107">
            <v>48.510000000000005</v>
          </cell>
          <cell r="AE107">
            <v>66.5</v>
          </cell>
          <cell r="AF107">
            <v>293.60599999999999</v>
          </cell>
          <cell r="AH107">
            <v>293.60599999999999</v>
          </cell>
          <cell r="AI107">
            <v>1686.394</v>
          </cell>
          <cell r="AK107">
            <v>5</v>
          </cell>
          <cell r="AL107">
            <v>5</v>
          </cell>
          <cell r="AM107">
            <v>53</v>
          </cell>
          <cell r="AN107">
            <v>1628.394</v>
          </cell>
          <cell r="AO107">
            <v>178.2</v>
          </cell>
          <cell r="AP107">
            <v>33.660000000000004</v>
          </cell>
          <cell r="AQ107">
            <v>34.451999999999998</v>
          </cell>
          <cell r="AR107">
            <v>0</v>
          </cell>
          <cell r="AS107">
            <v>54.0441</v>
          </cell>
          <cell r="AT107">
            <v>10.494</v>
          </cell>
          <cell r="AU107">
            <v>310.8501</v>
          </cell>
          <cell r="AV107">
            <v>2290.8501000000001</v>
          </cell>
          <cell r="AW107">
            <v>164.934</v>
          </cell>
          <cell r="AX107">
            <v>190.90417500000001</v>
          </cell>
          <cell r="AY107">
            <v>381.80835000000002</v>
          </cell>
          <cell r="AZ107">
            <v>737.646525</v>
          </cell>
          <cell r="BA107">
            <v>3028.4966250000002</v>
          </cell>
          <cell r="BG107">
            <v>736</v>
          </cell>
          <cell r="BH107">
            <v>1731</v>
          </cell>
          <cell r="BI107">
            <v>2859.5</v>
          </cell>
          <cell r="BJ107">
            <v>218.90000000000003</v>
          </cell>
          <cell r="BK107">
            <v>95.1</v>
          </cell>
          <cell r="BL107">
            <v>4466.7999999999993</v>
          </cell>
          <cell r="BM107">
            <v>522.90000000000009</v>
          </cell>
          <cell r="BN107">
            <v>899.5</v>
          </cell>
          <cell r="BO107">
            <v>1956</v>
          </cell>
          <cell r="BP107">
            <v>86</v>
          </cell>
          <cell r="BQ107">
            <v>1850.1999999999998</v>
          </cell>
          <cell r="BR107">
            <v>1279.8000000000002</v>
          </cell>
          <cell r="BS107">
            <v>149.9</v>
          </cell>
          <cell r="BT107">
            <v>153</v>
          </cell>
          <cell r="BU107">
            <v>265.5</v>
          </cell>
          <cell r="BV107">
            <v>128.80000000000001</v>
          </cell>
          <cell r="BW107">
            <v>17398.899999999998</v>
          </cell>
        </row>
        <row r="108">
          <cell r="A108">
            <v>92</v>
          </cell>
          <cell r="B108">
            <v>3</v>
          </cell>
          <cell r="C108" t="str">
            <v>CARDENAS VILLEGAS, Ronald Ulises</v>
          </cell>
          <cell r="D108" t="str">
            <v>G. OPERACIONES</v>
          </cell>
          <cell r="E108">
            <v>38018</v>
          </cell>
          <cell r="H108">
            <v>3000</v>
          </cell>
          <cell r="J108" t="str">
            <v>UNION</v>
          </cell>
          <cell r="K108">
            <v>30</v>
          </cell>
          <cell r="P108">
            <v>3000</v>
          </cell>
          <cell r="Q108">
            <v>0</v>
          </cell>
          <cell r="R108">
            <v>0</v>
          </cell>
          <cell r="T108">
            <v>0</v>
          </cell>
          <cell r="U108">
            <v>0</v>
          </cell>
          <cell r="V108">
            <v>0</v>
          </cell>
          <cell r="Z108">
            <v>3000</v>
          </cell>
          <cell r="AA108">
            <v>0</v>
          </cell>
          <cell r="AB108">
            <v>240</v>
          </cell>
          <cell r="AC108">
            <v>27.000000000000004</v>
          </cell>
          <cell r="AD108">
            <v>68.100000000000009</v>
          </cell>
          <cell r="AE108">
            <v>245</v>
          </cell>
          <cell r="AF108">
            <v>580.1</v>
          </cell>
          <cell r="AH108">
            <v>580.1</v>
          </cell>
          <cell r="AI108">
            <v>2419.9</v>
          </cell>
          <cell r="AK108">
            <v>0</v>
          </cell>
          <cell r="AL108">
            <v>0</v>
          </cell>
          <cell r="AM108">
            <v>0</v>
          </cell>
          <cell r="AN108">
            <v>2419.9</v>
          </cell>
          <cell r="AO108">
            <v>270</v>
          </cell>
          <cell r="AP108">
            <v>51.000000000000007</v>
          </cell>
          <cell r="AQ108">
            <v>52.199999999999996</v>
          </cell>
          <cell r="AR108">
            <v>0</v>
          </cell>
          <cell r="AS108">
            <v>81.885000000000005</v>
          </cell>
          <cell r="AT108">
            <v>15.9</v>
          </cell>
          <cell r="AU108">
            <v>470.98499999999996</v>
          </cell>
          <cell r="AV108">
            <v>3470.9850000000001</v>
          </cell>
          <cell r="AW108">
            <v>249.9</v>
          </cell>
          <cell r="AX108">
            <v>289.24875000000003</v>
          </cell>
          <cell r="AY108">
            <v>578.49750000000006</v>
          </cell>
          <cell r="AZ108">
            <v>1117.6462500000002</v>
          </cell>
          <cell r="BA108">
            <v>4588.6312500000004</v>
          </cell>
        </row>
        <row r="109">
          <cell r="A109">
            <v>93</v>
          </cell>
          <cell r="B109">
            <v>4</v>
          </cell>
          <cell r="C109" t="str">
            <v>HENOSTROZA VIVAR,   Fredy Emerson</v>
          </cell>
          <cell r="D109" t="str">
            <v>ADMINISTRADOR</v>
          </cell>
          <cell r="E109">
            <v>37956</v>
          </cell>
          <cell r="G109" t="str">
            <v>40439357</v>
          </cell>
          <cell r="H109">
            <v>900</v>
          </cell>
          <cell r="J109" t="str">
            <v>PROFUTURO</v>
          </cell>
          <cell r="K109">
            <v>30</v>
          </cell>
          <cell r="P109">
            <v>900</v>
          </cell>
          <cell r="Q109">
            <v>0</v>
          </cell>
          <cell r="R109">
            <v>0</v>
          </cell>
          <cell r="T109">
            <v>0</v>
          </cell>
          <cell r="U109">
            <v>0</v>
          </cell>
          <cell r="Z109">
            <v>900</v>
          </cell>
          <cell r="AA109">
            <v>0</v>
          </cell>
          <cell r="AB109">
            <v>72</v>
          </cell>
          <cell r="AC109">
            <v>9.1800000000000015</v>
          </cell>
          <cell r="AD109">
            <v>22.05</v>
          </cell>
          <cell r="AF109">
            <v>103.23</v>
          </cell>
          <cell r="AH109">
            <v>103.23</v>
          </cell>
          <cell r="AI109">
            <v>796.77</v>
          </cell>
          <cell r="AK109">
            <v>79.400000000000006</v>
          </cell>
          <cell r="AL109">
            <v>79.400000000000006</v>
          </cell>
          <cell r="AM109">
            <v>51</v>
          </cell>
          <cell r="AN109">
            <v>666.37</v>
          </cell>
          <cell r="AO109">
            <v>81</v>
          </cell>
          <cell r="AP109">
            <v>15.3</v>
          </cell>
          <cell r="AQ109">
            <v>15.659999999999998</v>
          </cell>
          <cell r="AR109">
            <v>0</v>
          </cell>
          <cell r="AS109">
            <v>24.565499999999997</v>
          </cell>
          <cell r="AT109">
            <v>4.7700000000000005</v>
          </cell>
          <cell r="AU109">
            <v>141.2955</v>
          </cell>
          <cell r="AV109">
            <v>1041.2954999999999</v>
          </cell>
          <cell r="AW109">
            <v>74.97</v>
          </cell>
          <cell r="AX109">
            <v>86.774625</v>
          </cell>
          <cell r="AY109">
            <v>173.54925</v>
          </cell>
          <cell r="AZ109">
            <v>335.29387499999996</v>
          </cell>
          <cell r="BA109">
            <v>1376.589375</v>
          </cell>
        </row>
        <row r="110">
          <cell r="A110">
            <v>94</v>
          </cell>
          <cell r="B110">
            <v>5</v>
          </cell>
          <cell r="C110" t="str">
            <v>MOLINA DURAND Carlos Alfredo</v>
          </cell>
          <cell r="D110" t="str">
            <v>JEFE DE GUARDIA</v>
          </cell>
          <cell r="E110">
            <v>37956</v>
          </cell>
          <cell r="F110">
            <v>37772</v>
          </cell>
          <cell r="G110" t="str">
            <v>01314907</v>
          </cell>
          <cell r="H110">
            <v>1980</v>
          </cell>
          <cell r="J110" t="str">
            <v>PROFUTURO</v>
          </cell>
          <cell r="K110">
            <v>0</v>
          </cell>
          <cell r="P110">
            <v>0</v>
          </cell>
          <cell r="Q110">
            <v>0</v>
          </cell>
          <cell r="R110">
            <v>0</v>
          </cell>
          <cell r="T110">
            <v>0</v>
          </cell>
          <cell r="U110">
            <v>0</v>
          </cell>
          <cell r="V110">
            <v>0</v>
          </cell>
          <cell r="X110">
            <v>990</v>
          </cell>
          <cell r="Y110">
            <v>1650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  <cell r="AH110">
            <v>0</v>
          </cell>
          <cell r="AI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237.6</v>
          </cell>
          <cell r="AP110">
            <v>-11.22</v>
          </cell>
          <cell r="AQ110">
            <v>45.936</v>
          </cell>
          <cell r="AR110">
            <v>0</v>
          </cell>
          <cell r="AS110">
            <v>72.058799999999991</v>
          </cell>
          <cell r="AT110">
            <v>13.992000000000001</v>
          </cell>
          <cell r="AU110">
            <v>358.36679999999996</v>
          </cell>
          <cell r="AV110">
            <v>358.36679999999996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358.36679999999996</v>
          </cell>
        </row>
        <row r="111">
          <cell r="A111">
            <v>95</v>
          </cell>
          <cell r="B111">
            <v>6</v>
          </cell>
          <cell r="C111" t="str">
            <v>OSCANOA GARCIA, Luis Angel</v>
          </cell>
          <cell r="D111" t="str">
            <v>ING. SEGURIDAD</v>
          </cell>
          <cell r="E111">
            <v>37997</v>
          </cell>
          <cell r="G111" t="str">
            <v>04001307</v>
          </cell>
          <cell r="H111">
            <v>2750</v>
          </cell>
          <cell r="J111" t="str">
            <v>ONP</v>
          </cell>
          <cell r="K111">
            <v>30</v>
          </cell>
          <cell r="P111">
            <v>2750</v>
          </cell>
          <cell r="Q111">
            <v>0</v>
          </cell>
          <cell r="R111">
            <v>0</v>
          </cell>
          <cell r="U111">
            <v>0</v>
          </cell>
          <cell r="V111">
            <v>0</v>
          </cell>
          <cell r="Z111">
            <v>2750</v>
          </cell>
          <cell r="AA111">
            <v>357.5</v>
          </cell>
          <cell r="AB111">
            <v>0</v>
          </cell>
          <cell r="AC111">
            <v>0</v>
          </cell>
          <cell r="AD111">
            <v>0</v>
          </cell>
          <cell r="AE111">
            <v>201.25</v>
          </cell>
          <cell r="AF111">
            <v>558.75</v>
          </cell>
          <cell r="AH111">
            <v>558.75</v>
          </cell>
          <cell r="AI111">
            <v>2191.25</v>
          </cell>
          <cell r="AJ111">
            <v>5</v>
          </cell>
          <cell r="AK111">
            <v>11.4</v>
          </cell>
          <cell r="AL111">
            <v>16.399999999999999</v>
          </cell>
          <cell r="AM111">
            <v>349</v>
          </cell>
          <cell r="AN111">
            <v>1825.85</v>
          </cell>
          <cell r="AO111">
            <v>247.5</v>
          </cell>
          <cell r="AP111">
            <v>46.75</v>
          </cell>
          <cell r="AQ111">
            <v>47.849999999999994</v>
          </cell>
          <cell r="AR111">
            <v>0</v>
          </cell>
          <cell r="AS111">
            <v>75.061250000000001</v>
          </cell>
          <cell r="AT111">
            <v>14.574999999999999</v>
          </cell>
          <cell r="AU111">
            <v>431.73624999999998</v>
          </cell>
          <cell r="AV111">
            <v>3181.7362499999999</v>
          </cell>
          <cell r="AW111">
            <v>229.07499999999999</v>
          </cell>
          <cell r="AX111">
            <v>265.14468749999997</v>
          </cell>
          <cell r="AY111">
            <v>530.28937499999995</v>
          </cell>
          <cell r="AZ111">
            <v>1024.5090624999998</v>
          </cell>
          <cell r="BA111">
            <v>4206.2453124999993</v>
          </cell>
        </row>
        <row r="112">
          <cell r="B112" t="str">
            <v>SUB  TOTAL EMPLEADOS = 5</v>
          </cell>
          <cell r="K112">
            <v>150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11930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990</v>
          </cell>
          <cell r="Y112">
            <v>1650</v>
          </cell>
          <cell r="Z112">
            <v>11930</v>
          </cell>
          <cell r="AA112">
            <v>357.5</v>
          </cell>
          <cell r="AB112">
            <v>734.4</v>
          </cell>
          <cell r="AC112">
            <v>86.076000000000008</v>
          </cell>
          <cell r="AD112">
            <v>213.57000000000005</v>
          </cell>
          <cell r="AE112">
            <v>810.25</v>
          </cell>
          <cell r="AF112">
            <v>2201.7960000000003</v>
          </cell>
          <cell r="AG112">
            <v>0</v>
          </cell>
          <cell r="AH112">
            <v>2201.7960000000003</v>
          </cell>
          <cell r="AI112">
            <v>9728.2039999999997</v>
          </cell>
          <cell r="AJ112">
            <v>5</v>
          </cell>
          <cell r="AK112">
            <v>175.6</v>
          </cell>
          <cell r="AL112">
            <v>180.6</v>
          </cell>
          <cell r="AM112">
            <v>489</v>
          </cell>
          <cell r="AN112">
            <v>9058.6039999999994</v>
          </cell>
          <cell r="AO112">
            <v>1311.3</v>
          </cell>
          <cell r="AP112">
            <v>191.59000000000003</v>
          </cell>
          <cell r="AQ112">
            <v>253.51799999999997</v>
          </cell>
          <cell r="AR112">
            <v>0</v>
          </cell>
          <cell r="AS112">
            <v>397.68814999999995</v>
          </cell>
          <cell r="AT112">
            <v>77.221000000000004</v>
          </cell>
          <cell r="AU112">
            <v>2231.3171499999999</v>
          </cell>
          <cell r="AV112">
            <v>14161.317150000001</v>
          </cell>
          <cell r="AW112">
            <v>993.76900000000001</v>
          </cell>
          <cell r="AX112">
            <v>1150.2458624999999</v>
          </cell>
          <cell r="AY112">
            <v>2300.4917249999999</v>
          </cell>
          <cell r="AZ112">
            <v>4444.5065875</v>
          </cell>
          <cell r="BA112">
            <v>18605.823737499999</v>
          </cell>
        </row>
        <row r="114">
          <cell r="B114" t="str">
            <v>TOTAL PLANILLA JUNIO- 2004</v>
          </cell>
          <cell r="K114">
            <v>2042</v>
          </cell>
          <cell r="L114">
            <v>368</v>
          </cell>
          <cell r="M114">
            <v>42</v>
          </cell>
          <cell r="N114">
            <v>1318</v>
          </cell>
          <cell r="O114">
            <v>1023</v>
          </cell>
          <cell r="P114">
            <v>68146.5</v>
          </cell>
          <cell r="Q114">
            <v>10941</v>
          </cell>
          <cell r="R114">
            <v>1284.5</v>
          </cell>
          <cell r="S114">
            <v>6121.328125</v>
          </cell>
          <cell r="T114">
            <v>7694.5</v>
          </cell>
          <cell r="U114">
            <v>2099.8999999999996</v>
          </cell>
          <cell r="V114">
            <v>3340</v>
          </cell>
          <cell r="W114">
            <v>4804</v>
          </cell>
          <cell r="X114">
            <v>1205.24</v>
          </cell>
          <cell r="Y114">
            <v>1800.17</v>
          </cell>
          <cell r="Z114">
            <v>104431.72812499999</v>
          </cell>
          <cell r="AA114">
            <v>1884.3242708333335</v>
          </cell>
          <cell r="AB114">
            <v>8810.0926041666735</v>
          </cell>
          <cell r="AC114">
            <v>833.40653708333332</v>
          </cell>
          <cell r="AD114">
            <v>2051.1476404166669</v>
          </cell>
          <cell r="AE114">
            <v>810.25</v>
          </cell>
          <cell r="AF114">
            <v>14389.221052500006</v>
          </cell>
          <cell r="AG114">
            <v>3223.23</v>
          </cell>
          <cell r="AH114">
            <v>17612.451052500001</v>
          </cell>
          <cell r="AI114">
            <v>86819.277072499986</v>
          </cell>
          <cell r="AJ114">
            <v>17329.099999999995</v>
          </cell>
          <cell r="AK114">
            <v>182.6</v>
          </cell>
          <cell r="AL114">
            <v>17511.699999999993</v>
          </cell>
          <cell r="AM114">
            <v>920.5</v>
          </cell>
          <cell r="AN114">
            <v>68387.077072500004</v>
          </cell>
          <cell r="AO114">
            <v>9669.342431250001</v>
          </cell>
          <cell r="AP114">
            <v>1767.7784581250003</v>
          </cell>
          <cell r="AQ114">
            <v>1869.406203374999</v>
          </cell>
          <cell r="AR114">
            <v>1622.4467208333326</v>
          </cell>
          <cell r="AS114">
            <v>2932.4966851218755</v>
          </cell>
          <cell r="AT114">
            <v>1112.4677259999992</v>
          </cell>
          <cell r="AU114">
            <v>18973.938224705202</v>
          </cell>
          <cell r="AV114">
            <v>123405.66634970522</v>
          </cell>
          <cell r="AW114">
            <v>8702.2463437499955</v>
          </cell>
          <cell r="AX114">
            <v>8418.4958548962659</v>
          </cell>
          <cell r="AY114">
            <v>17507.22973062587</v>
          </cell>
          <cell r="AZ114">
            <v>34627.971929272142</v>
          </cell>
          <cell r="BA114">
            <v>158033.63827897733</v>
          </cell>
        </row>
        <row r="116">
          <cell r="B116" t="str">
            <v>4.-  VACACIONES:  (JULIO - 2004)</v>
          </cell>
        </row>
        <row r="117">
          <cell r="B117" t="str">
            <v>Nº</v>
          </cell>
          <cell r="C117" t="str">
            <v>NOMBRE  Y  APELLIDOS</v>
          </cell>
          <cell r="D117" t="str">
            <v>CARGO
OCUPACION</v>
          </cell>
          <cell r="E117" t="str">
            <v xml:space="preserve">FECHA   INGRESO  PDT </v>
          </cell>
          <cell r="F117" t="str">
            <v>FECHA           CESE</v>
          </cell>
          <cell r="G117" t="str">
            <v>LIBRETA  ELECTORAL</v>
          </cell>
          <cell r="H117" t="str">
            <v>JOR.</v>
          </cell>
          <cell r="I117" t="str">
            <v>IMPORTE  HORA</v>
          </cell>
          <cell r="J117" t="str">
            <v>AFP / ONP</v>
          </cell>
          <cell r="K117" t="str">
            <v>T.O.</v>
          </cell>
          <cell r="L117" t="str">
            <v>IMPORTES</v>
          </cell>
          <cell r="Q117" t="str">
            <v>TOTAL 
REMUNERACION</v>
          </cell>
          <cell r="R117" t="str">
            <v>RETENCIONES A CARGO DEL TRABAJADOR POR TRIBUTOS, APORTES PREVISIONALES, CUOTAS Y OTROS CONCEPTOS</v>
          </cell>
          <cell r="W117" t="str">
            <v xml:space="preserve">TOTAL                   DCTO                   LEY </v>
          </cell>
          <cell r="X117" t="str">
            <v>TOTAL A GANAR</v>
          </cell>
          <cell r="Y117" t="str">
            <v>TRIBUTOS Y APORTES A CARGO DEL EMPLEADOR</v>
          </cell>
          <cell r="AF117" t="str">
            <v>TOTAL</v>
          </cell>
        </row>
        <row r="118">
          <cell r="L118" t="str">
            <v>ORDINARIO</v>
          </cell>
          <cell r="N118" t="str">
            <v xml:space="preserve">PROMEDIO HORAS EXTRAS </v>
          </cell>
          <cell r="P118" t="str">
            <v>ASIGNACION FAMILIAR</v>
          </cell>
          <cell r="R118" t="str">
            <v>S.  N.  P.</v>
          </cell>
          <cell r="S118" t="str">
            <v>SISTEMA PRIVADO DE PENSIONES</v>
          </cell>
          <cell r="V118" t="str">
            <v>IPSS               VIDA</v>
          </cell>
          <cell r="Y118" t="str">
            <v>ESSALUD
 9%</v>
          </cell>
          <cell r="Z118" t="str">
            <v>I.E.S  
1.70 %</v>
          </cell>
          <cell r="AA118" t="str">
            <v>SCTR               1.74%</v>
          </cell>
          <cell r="AB118" t="str">
            <v>LEY  27252       ALTO RIESGO     2%</v>
          </cell>
          <cell r="AC118" t="str">
            <v>RIMAC               5.667%</v>
          </cell>
          <cell r="AD118" t="str">
            <v>TOTAL APORTES       20.41%</v>
          </cell>
          <cell r="AE118" t="str">
            <v>CTS</v>
          </cell>
        </row>
        <row r="119">
          <cell r="S119">
            <v>0.1</v>
          </cell>
          <cell r="T119" t="str">
            <v>SEG.</v>
          </cell>
          <cell r="U119" t="str">
            <v>COMISI</v>
          </cell>
        </row>
        <row r="120">
          <cell r="A120">
            <v>96</v>
          </cell>
          <cell r="B120">
            <v>1</v>
          </cell>
          <cell r="C120" t="str">
            <v>MAMANI FLORES, Ruben Alfonso</v>
          </cell>
          <cell r="D120" t="str">
            <v>PERFORISTA</v>
          </cell>
          <cell r="E120">
            <v>37730</v>
          </cell>
          <cell r="G120">
            <v>30582421</v>
          </cell>
          <cell r="H120">
            <v>31</v>
          </cell>
          <cell r="I120">
            <v>3.875</v>
          </cell>
          <cell r="J120" t="str">
            <v>PROFUTURO</v>
          </cell>
          <cell r="K120">
            <v>30</v>
          </cell>
          <cell r="L120">
            <v>930</v>
          </cell>
          <cell r="P120">
            <v>46</v>
          </cell>
          <cell r="Q120">
            <v>976</v>
          </cell>
          <cell r="R120">
            <v>0</v>
          </cell>
          <cell r="S120">
            <v>97.600000000000009</v>
          </cell>
          <cell r="T120">
            <v>9.9552000000000014</v>
          </cell>
          <cell r="U120">
            <v>23.912000000000003</v>
          </cell>
          <cell r="W120">
            <v>131.46720000000002</v>
          </cell>
          <cell r="X120">
            <v>844.53279999999995</v>
          </cell>
          <cell r="Y120">
            <v>87.84</v>
          </cell>
          <cell r="Z120">
            <v>16.592000000000002</v>
          </cell>
          <cell r="AA120">
            <v>16.982399999999998</v>
          </cell>
          <cell r="AB120">
            <v>19.52</v>
          </cell>
          <cell r="AC120">
            <v>55.309919999999998</v>
          </cell>
          <cell r="AD120">
            <v>196.24432000000002</v>
          </cell>
          <cell r="AE120">
            <v>81.300799999999995</v>
          </cell>
          <cell r="AF120">
            <v>1253.54512</v>
          </cell>
        </row>
        <row r="121">
          <cell r="A121">
            <v>97</v>
          </cell>
          <cell r="B121">
            <v>2</v>
          </cell>
          <cell r="C121" t="str">
            <v>QUISPE MAMANI, Felix Eleuterio</v>
          </cell>
          <cell r="D121" t="str">
            <v>PERFORISTA</v>
          </cell>
          <cell r="E121">
            <v>37731</v>
          </cell>
          <cell r="G121">
            <v>29384553</v>
          </cell>
          <cell r="H121">
            <v>31</v>
          </cell>
          <cell r="I121">
            <v>3.875</v>
          </cell>
          <cell r="J121" t="str">
            <v>ONP</v>
          </cell>
          <cell r="K121">
            <v>30</v>
          </cell>
          <cell r="L121">
            <v>930</v>
          </cell>
          <cell r="P121">
            <v>46</v>
          </cell>
          <cell r="Q121">
            <v>976</v>
          </cell>
          <cell r="R121">
            <v>126.88000000000001</v>
          </cell>
          <cell r="S121">
            <v>0</v>
          </cell>
          <cell r="T121">
            <v>0</v>
          </cell>
          <cell r="U121">
            <v>0</v>
          </cell>
          <cell r="W121">
            <v>126.88000000000001</v>
          </cell>
          <cell r="X121">
            <v>849.12</v>
          </cell>
          <cell r="Y121">
            <v>87.84</v>
          </cell>
          <cell r="Z121">
            <v>16.592000000000002</v>
          </cell>
          <cell r="AA121">
            <v>16.982399999999998</v>
          </cell>
          <cell r="AB121">
            <v>0</v>
          </cell>
          <cell r="AC121">
            <v>55.309919999999998</v>
          </cell>
          <cell r="AD121">
            <v>176.72432000000001</v>
          </cell>
          <cell r="AE121">
            <v>81.300799999999995</v>
          </cell>
          <cell r="AF121">
            <v>1234.02512</v>
          </cell>
        </row>
        <row r="122">
          <cell r="A122">
            <v>98</v>
          </cell>
          <cell r="B122">
            <v>3</v>
          </cell>
          <cell r="C122" t="str">
            <v>QUISPE AQUISE, Sergio</v>
          </cell>
          <cell r="D122" t="str">
            <v>PERFORISTA</v>
          </cell>
          <cell r="E122">
            <v>37377</v>
          </cell>
          <cell r="G122">
            <v>10653061</v>
          </cell>
          <cell r="H122">
            <v>31</v>
          </cell>
          <cell r="I122">
            <v>3.875</v>
          </cell>
          <cell r="J122" t="str">
            <v>PROFUTURO</v>
          </cell>
          <cell r="K122">
            <v>30</v>
          </cell>
          <cell r="L122">
            <v>930</v>
          </cell>
          <cell r="P122">
            <v>46</v>
          </cell>
          <cell r="Q122">
            <v>976</v>
          </cell>
          <cell r="R122">
            <v>0</v>
          </cell>
          <cell r="S122">
            <v>97.600000000000009</v>
          </cell>
          <cell r="T122">
            <v>9.9552000000000014</v>
          </cell>
          <cell r="U122">
            <v>23.912000000000003</v>
          </cell>
          <cell r="W122">
            <v>131.46720000000002</v>
          </cell>
          <cell r="X122">
            <v>844.53279999999995</v>
          </cell>
          <cell r="Y122">
            <v>87.84</v>
          </cell>
          <cell r="Z122">
            <v>16.592000000000002</v>
          </cell>
          <cell r="AA122">
            <v>16.982399999999998</v>
          </cell>
          <cell r="AB122">
            <v>19.52</v>
          </cell>
          <cell r="AC122">
            <v>55.309919999999998</v>
          </cell>
          <cell r="AD122">
            <v>196.24432000000002</v>
          </cell>
          <cell r="AE122">
            <v>81.300799999999995</v>
          </cell>
          <cell r="AF122">
            <v>1253.54512</v>
          </cell>
        </row>
        <row r="123">
          <cell r="A123">
            <v>99</v>
          </cell>
          <cell r="B123">
            <v>4</v>
          </cell>
          <cell r="C123" t="str">
            <v>QUISPE NEIRA, Fausto</v>
          </cell>
          <cell r="D123" t="str">
            <v>AYUDANTE</v>
          </cell>
          <cell r="E123">
            <v>37742</v>
          </cell>
          <cell r="G123" t="str">
            <v>02416847</v>
          </cell>
          <cell r="H123">
            <v>28.5</v>
          </cell>
          <cell r="I123">
            <v>3.5625</v>
          </cell>
          <cell r="J123" t="str">
            <v>ONP</v>
          </cell>
          <cell r="K123">
            <v>30</v>
          </cell>
          <cell r="L123">
            <v>855</v>
          </cell>
          <cell r="P123">
            <v>46</v>
          </cell>
          <cell r="Q123">
            <v>901</v>
          </cell>
          <cell r="R123">
            <v>117.13000000000001</v>
          </cell>
          <cell r="S123">
            <v>0</v>
          </cell>
          <cell r="T123">
            <v>0</v>
          </cell>
          <cell r="U123">
            <v>0</v>
          </cell>
          <cell r="W123">
            <v>117.13000000000001</v>
          </cell>
          <cell r="X123">
            <v>783.87</v>
          </cell>
          <cell r="Y123">
            <v>81.09</v>
          </cell>
          <cell r="Z123">
            <v>15.317000000000002</v>
          </cell>
          <cell r="AA123">
            <v>15.677399999999999</v>
          </cell>
          <cell r="AB123">
            <v>0</v>
          </cell>
          <cell r="AC123">
            <v>51.059669999999997</v>
          </cell>
          <cell r="AD123">
            <v>163.14407</v>
          </cell>
          <cell r="AE123">
            <v>75.053299999999993</v>
          </cell>
          <cell r="AF123">
            <v>1139.1973700000001</v>
          </cell>
        </row>
        <row r="124">
          <cell r="A124">
            <v>100</v>
          </cell>
          <cell r="B124">
            <v>5</v>
          </cell>
          <cell r="C124" t="str">
            <v>RAMOS BARRA, Eugenio</v>
          </cell>
          <cell r="D124" t="str">
            <v>AYUDANTE</v>
          </cell>
          <cell r="E124">
            <v>37749</v>
          </cell>
          <cell r="G124" t="str">
            <v>23255761</v>
          </cell>
          <cell r="H124">
            <v>28.5</v>
          </cell>
          <cell r="I124">
            <v>3.5625</v>
          </cell>
          <cell r="J124" t="str">
            <v>PROFUTURO</v>
          </cell>
          <cell r="K124">
            <v>30</v>
          </cell>
          <cell r="L124">
            <v>855</v>
          </cell>
          <cell r="P124">
            <v>46</v>
          </cell>
          <cell r="Q124">
            <v>901</v>
          </cell>
          <cell r="R124">
            <v>0</v>
          </cell>
          <cell r="S124">
            <v>90.100000000000009</v>
          </cell>
          <cell r="T124">
            <v>9.1902000000000008</v>
          </cell>
          <cell r="U124">
            <v>22.0745</v>
          </cell>
          <cell r="W124">
            <v>121.36470000000001</v>
          </cell>
          <cell r="X124">
            <v>779.63530000000003</v>
          </cell>
          <cell r="Y124">
            <v>81.09</v>
          </cell>
          <cell r="Z124">
            <v>15.317000000000002</v>
          </cell>
          <cell r="AA124">
            <v>15.677399999999999</v>
          </cell>
          <cell r="AB124">
            <v>18.02</v>
          </cell>
          <cell r="AC124">
            <v>51.059669999999997</v>
          </cell>
          <cell r="AD124">
            <v>181.16407000000004</v>
          </cell>
          <cell r="AE124">
            <v>75.053299999999993</v>
          </cell>
          <cell r="AF124">
            <v>1157.2173700000001</v>
          </cell>
        </row>
        <row r="125">
          <cell r="B125" t="str">
            <v>TOTAL VACACIONISTAS  = 5</v>
          </cell>
          <cell r="K125">
            <v>150</v>
          </cell>
          <cell r="L125">
            <v>4500</v>
          </cell>
          <cell r="N125">
            <v>0</v>
          </cell>
          <cell r="P125">
            <v>230</v>
          </cell>
          <cell r="Q125">
            <v>4730</v>
          </cell>
          <cell r="R125">
            <v>244.01000000000002</v>
          </cell>
          <cell r="S125">
            <v>285.3</v>
          </cell>
          <cell r="T125">
            <v>29.100600000000004</v>
          </cell>
          <cell r="U125">
            <v>69.898500000000013</v>
          </cell>
          <cell r="V125">
            <v>0</v>
          </cell>
          <cell r="W125">
            <v>628.30910000000006</v>
          </cell>
          <cell r="X125">
            <v>4101.6908999999996</v>
          </cell>
          <cell r="Y125">
            <v>425.70000000000005</v>
          </cell>
          <cell r="Z125">
            <v>80.410000000000025</v>
          </cell>
          <cell r="AA125">
            <v>82.301999999999992</v>
          </cell>
          <cell r="AB125">
            <v>57.06</v>
          </cell>
          <cell r="AC125">
            <v>268.04909999999995</v>
          </cell>
          <cell r="AD125">
            <v>913.52110000000016</v>
          </cell>
          <cell r="AE125">
            <v>394.00899999999996</v>
          </cell>
          <cell r="AF125">
            <v>6037.5300999999999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NTA DE QUINTA CATEGORIA"/>
      <sheetName val="AFP"/>
      <sheetName val="TAREO MARZO"/>
      <sheetName val="GENERAL"/>
      <sheetName val="EMPLEADO"/>
      <sheetName val="PLANILLA EMPLEADOS"/>
      <sheetName val="PLANILLA OBREROS"/>
      <sheetName val="DATOS"/>
      <sheetName val="LIQUIDACION OBREROS"/>
      <sheetName val="LIQUIDACION DE EMPLEADOS"/>
      <sheetName val="CALCULO DE DIFERENCIA DE FECHAS"/>
      <sheetName val="CONCESIONARIOS "/>
      <sheetName val="BOLETAS OBREROS"/>
      <sheetName val="BOLETAS EMPLEADOS"/>
      <sheetName val="RESUMEN PLANILLAS"/>
      <sheetName val="PENSION"/>
      <sheetName val="SALUD"/>
    </sheetNames>
    <sheetDataSet>
      <sheetData sheetId="0" refreshError="1"/>
      <sheetData sheetId="1"/>
      <sheetData sheetId="2">
        <row r="6">
          <cell r="B6" t="str">
            <v>INFORME DEL TAREO DIARIO DE PROMISER SAC</v>
          </cell>
          <cell r="J6" t="str">
            <v xml:space="preserve">F                       </v>
          </cell>
        </row>
        <row r="7">
          <cell r="B7">
            <v>1</v>
          </cell>
          <cell r="C7">
            <v>2</v>
          </cell>
          <cell r="D7">
            <v>3</v>
          </cell>
          <cell r="E7">
            <v>4</v>
          </cell>
          <cell r="F7">
            <v>4</v>
          </cell>
          <cell r="G7">
            <v>5</v>
          </cell>
          <cell r="H7">
            <v>6</v>
          </cell>
          <cell r="I7">
            <v>7</v>
          </cell>
          <cell r="J7">
            <v>8</v>
          </cell>
          <cell r="K7">
            <v>9</v>
          </cell>
          <cell r="L7">
            <v>10</v>
          </cell>
          <cell r="M7">
            <v>11</v>
          </cell>
          <cell r="N7">
            <v>12</v>
          </cell>
          <cell r="P7">
            <v>13</v>
          </cell>
          <cell r="Q7">
            <v>14</v>
          </cell>
          <cell r="R7">
            <v>15</v>
          </cell>
          <cell r="S7">
            <v>16</v>
          </cell>
          <cell r="T7">
            <v>17</v>
          </cell>
          <cell r="U7">
            <v>18</v>
          </cell>
          <cell r="V7">
            <v>19</v>
          </cell>
          <cell r="W7">
            <v>20</v>
          </cell>
          <cell r="X7">
            <v>21</v>
          </cell>
          <cell r="Y7">
            <v>22</v>
          </cell>
          <cell r="Z7">
            <v>23</v>
          </cell>
          <cell r="AA7">
            <v>24</v>
          </cell>
          <cell r="AB7">
            <v>25</v>
          </cell>
          <cell r="AC7">
            <v>26</v>
          </cell>
          <cell r="AD7">
            <v>27</v>
          </cell>
          <cell r="AE7">
            <v>28</v>
          </cell>
          <cell r="AF7">
            <v>29</v>
          </cell>
          <cell r="AG7">
            <v>30</v>
          </cell>
          <cell r="AH7">
            <v>31</v>
          </cell>
          <cell r="AI7">
            <v>32</v>
          </cell>
          <cell r="AK7">
            <v>33</v>
          </cell>
          <cell r="AL7">
            <v>34</v>
          </cell>
          <cell r="AM7">
            <v>35</v>
          </cell>
          <cell r="AN7">
            <v>36</v>
          </cell>
          <cell r="AO7" t="e">
            <v>#REF!</v>
          </cell>
          <cell r="AP7" t="e">
            <v>#REF!</v>
          </cell>
          <cell r="AQ7" t="e">
            <v>#REF!</v>
          </cell>
          <cell r="AR7" t="e">
            <v>#REF!</v>
          </cell>
          <cell r="AS7" t="e">
            <v>#REF!</v>
          </cell>
          <cell r="AT7" t="e">
            <v>#REF!</v>
          </cell>
          <cell r="AU7" t="e">
            <v>#REF!</v>
          </cell>
          <cell r="AV7" t="e">
            <v>#REF!</v>
          </cell>
          <cell r="AW7" t="e">
            <v>#REF!</v>
          </cell>
          <cell r="AX7" t="e">
            <v>#REF!</v>
          </cell>
          <cell r="AY7" t="e">
            <v>#REF!</v>
          </cell>
          <cell r="AZ7" t="e">
            <v>#REF!</v>
          </cell>
          <cell r="BA7" t="e">
            <v>#REF!</v>
          </cell>
          <cell r="BB7" t="e">
            <v>#REF!</v>
          </cell>
          <cell r="BC7" t="e">
            <v>#REF!</v>
          </cell>
          <cell r="BD7" t="e">
            <v>#REF!</v>
          </cell>
          <cell r="BE7" t="e">
            <v>#REF!</v>
          </cell>
          <cell r="BF7" t="e">
            <v>#REF!</v>
          </cell>
          <cell r="BG7" t="e">
            <v>#REF!</v>
          </cell>
          <cell r="BH7" t="e">
            <v>#REF!</v>
          </cell>
          <cell r="BI7" t="e">
            <v>#REF!</v>
          </cell>
          <cell r="BJ7" t="e">
            <v>#REF!</v>
          </cell>
        </row>
        <row r="8">
          <cell r="J8" t="str">
            <v>S</v>
          </cell>
          <cell r="AL8" t="str">
            <v>DL</v>
          </cell>
        </row>
        <row r="9">
          <cell r="B9" t="str">
            <v>MES DE FEBRERO - MARZO 2009</v>
          </cell>
          <cell r="J9">
            <v>1</v>
          </cell>
          <cell r="K9">
            <v>2</v>
          </cell>
          <cell r="L9">
            <v>3</v>
          </cell>
          <cell r="M9">
            <v>4</v>
          </cell>
          <cell r="N9">
            <v>5</v>
          </cell>
          <cell r="O9">
            <v>6</v>
          </cell>
          <cell r="P9">
            <v>7</v>
          </cell>
          <cell r="Q9">
            <v>8</v>
          </cell>
          <cell r="R9">
            <v>9</v>
          </cell>
          <cell r="S9">
            <v>10</v>
          </cell>
          <cell r="T9">
            <v>11</v>
          </cell>
          <cell r="U9">
            <v>12</v>
          </cell>
          <cell r="V9">
            <v>13</v>
          </cell>
          <cell r="W9">
            <v>14</v>
          </cell>
          <cell r="X9">
            <v>15</v>
          </cell>
          <cell r="Y9">
            <v>16</v>
          </cell>
          <cell r="Z9">
            <v>17</v>
          </cell>
          <cell r="AA9">
            <v>18</v>
          </cell>
          <cell r="AB9">
            <v>19</v>
          </cell>
          <cell r="AC9">
            <v>20</v>
          </cell>
          <cell r="AD9">
            <v>21</v>
          </cell>
          <cell r="AE9">
            <v>22</v>
          </cell>
          <cell r="AF9">
            <v>23</v>
          </cell>
          <cell r="AG9">
            <v>24</v>
          </cell>
          <cell r="AH9">
            <v>25</v>
          </cell>
          <cell r="AI9">
            <v>26</v>
          </cell>
          <cell r="AJ9">
            <v>27</v>
          </cell>
          <cell r="AK9">
            <v>28</v>
          </cell>
          <cell r="AL9">
            <v>29</v>
          </cell>
          <cell r="AM9">
            <v>30</v>
          </cell>
          <cell r="AN9">
            <v>31</v>
          </cell>
          <cell r="AO9" t="str">
            <v>TABLA DE ASISTENCIA</v>
          </cell>
          <cell r="AW9" t="str">
            <v>AUSENCIA</v>
          </cell>
          <cell r="BA9" t="str">
            <v>GENERALES</v>
          </cell>
        </row>
        <row r="10">
          <cell r="B10" t="str">
            <v>N°</v>
          </cell>
          <cell r="C10" t="str">
            <v>APELIDOS Y NOMBRES</v>
          </cell>
          <cell r="D10" t="str">
            <v>F. INGRESO</v>
          </cell>
          <cell r="E10" t="str">
            <v>FECHA DE CESE</v>
          </cell>
          <cell r="F10" t="str">
            <v>MOTIVO DE CESE</v>
          </cell>
          <cell r="G10" t="str">
            <v>CARGO</v>
          </cell>
          <cell r="H10" t="str">
            <v>JEFE DE GUARDIA</v>
          </cell>
          <cell r="I10" t="str">
            <v>SITUACION</v>
          </cell>
          <cell r="J10">
            <v>39870</v>
          </cell>
          <cell r="K10">
            <v>39871</v>
          </cell>
          <cell r="L10">
            <v>39872</v>
          </cell>
          <cell r="M10">
            <v>39873</v>
          </cell>
          <cell r="N10">
            <v>39874</v>
          </cell>
          <cell r="O10">
            <v>39875</v>
          </cell>
          <cell r="P10">
            <v>39876</v>
          </cell>
          <cell r="Q10">
            <v>39877</v>
          </cell>
          <cell r="R10">
            <v>39878</v>
          </cell>
          <cell r="S10">
            <v>39879</v>
          </cell>
          <cell r="T10">
            <v>39880</v>
          </cell>
          <cell r="U10">
            <v>39881</v>
          </cell>
          <cell r="V10">
            <v>39882</v>
          </cell>
          <cell r="W10">
            <v>39883</v>
          </cell>
          <cell r="X10">
            <v>39884</v>
          </cell>
          <cell r="Y10">
            <v>39885</v>
          </cell>
          <cell r="Z10">
            <v>39886</v>
          </cell>
          <cell r="AA10">
            <v>39887</v>
          </cell>
          <cell r="AB10">
            <v>39888</v>
          </cell>
          <cell r="AC10">
            <v>39889</v>
          </cell>
          <cell r="AD10">
            <v>39890</v>
          </cell>
          <cell r="AE10">
            <v>39891</v>
          </cell>
          <cell r="AF10">
            <v>39892</v>
          </cell>
          <cell r="AG10">
            <v>39893</v>
          </cell>
          <cell r="AH10">
            <v>39894</v>
          </cell>
          <cell r="AI10">
            <v>39895</v>
          </cell>
          <cell r="AJ10">
            <v>39896</v>
          </cell>
          <cell r="AK10">
            <v>39897</v>
          </cell>
          <cell r="AL10">
            <v>39898</v>
          </cell>
          <cell r="AM10">
            <v>39899</v>
          </cell>
          <cell r="AN10">
            <v>39900</v>
          </cell>
          <cell r="AO10" t="str">
            <v>TAREO</v>
          </cell>
          <cell r="AP10" t="str">
            <v>LIBRE</v>
          </cell>
          <cell r="AQ10" t="str">
            <v>AUSENCIA</v>
          </cell>
          <cell r="AR10" t="str">
            <v>TOTAL LIBRE</v>
          </cell>
          <cell r="AS10" t="str">
            <v>ORDINARIOS</v>
          </cell>
          <cell r="AT10" t="str">
            <v>FERIADO</v>
          </cell>
          <cell r="AU10" t="str">
            <v>VACACIONES</v>
          </cell>
          <cell r="AV10" t="str">
            <v>DESCANSO MEDICO</v>
          </cell>
          <cell r="AW10" t="str">
            <v>FALTA</v>
          </cell>
          <cell r="AX10" t="str">
            <v>SUSPENSION</v>
          </cell>
          <cell r="AY10" t="str">
            <v>PERMISO</v>
          </cell>
          <cell r="AZ10" t="str">
            <v>TOTAL INASISTENCIAS</v>
          </cell>
          <cell r="BA10" t="str">
            <v>DIA        TRABAJADOS</v>
          </cell>
          <cell r="BB10" t="str">
            <v>FERIADO TRABAJ</v>
          </cell>
          <cell r="BC10" t="str">
            <v>ALIMENTO</v>
          </cell>
          <cell r="BD10" t="str">
            <v>CUARTO</v>
          </cell>
          <cell r="BH10" t="str">
            <v>REINTEGRO DICIEMBRE</v>
          </cell>
        </row>
        <row r="11">
          <cell r="B11">
            <v>1</v>
          </cell>
          <cell r="C11" t="str">
            <v>ACOSTA SAPALLANAY JUAN</v>
          </cell>
          <cell r="D11">
            <v>39320</v>
          </cell>
          <cell r="E11">
            <v>39897</v>
          </cell>
          <cell r="F11" t="str">
            <v>TERMINO DE OBRA</v>
          </cell>
          <cell r="G11" t="str">
            <v>Chofer</v>
          </cell>
          <cell r="H11" t="str">
            <v>ING. ACERO</v>
          </cell>
          <cell r="I11" t="str">
            <v>ACTIVO</v>
          </cell>
          <cell r="J11" t="str">
            <v>DL</v>
          </cell>
          <cell r="K11" t="str">
            <v>DL</v>
          </cell>
          <cell r="L11" t="str">
            <v>DL</v>
          </cell>
          <cell r="M11" t="str">
            <v>DL</v>
          </cell>
          <cell r="N11" t="str">
            <v>DL</v>
          </cell>
          <cell r="O11" t="str">
            <v>DL</v>
          </cell>
          <cell r="P11" t="str">
            <v>T</v>
          </cell>
          <cell r="Q11" t="str">
            <v>T</v>
          </cell>
          <cell r="R11" t="str">
            <v>T</v>
          </cell>
          <cell r="S11" t="str">
            <v>T</v>
          </cell>
          <cell r="T11" t="str">
            <v>T</v>
          </cell>
          <cell r="U11" t="str">
            <v>T</v>
          </cell>
          <cell r="V11" t="str">
            <v>T</v>
          </cell>
          <cell r="W11" t="str">
            <v>T</v>
          </cell>
          <cell r="X11" t="str">
            <v>T</v>
          </cell>
          <cell r="Y11" t="str">
            <v>T</v>
          </cell>
          <cell r="Z11" t="str">
            <v>T</v>
          </cell>
          <cell r="AA11" t="str">
            <v>T</v>
          </cell>
          <cell r="AB11" t="str">
            <v>T</v>
          </cell>
          <cell r="AC11" t="str">
            <v>T</v>
          </cell>
          <cell r="AD11" t="str">
            <v>DL</v>
          </cell>
          <cell r="AE11" t="str">
            <v>DL</v>
          </cell>
          <cell r="AF11" t="str">
            <v>DL</v>
          </cell>
          <cell r="AG11" t="str">
            <v>DL</v>
          </cell>
          <cell r="AH11" t="str">
            <v>DL</v>
          </cell>
          <cell r="AI11" t="str">
            <v>DL</v>
          </cell>
          <cell r="AJ11" t="str">
            <v>DL</v>
          </cell>
          <cell r="AK11" t="str">
            <v>T</v>
          </cell>
          <cell r="AL11">
            <v>0.5</v>
          </cell>
          <cell r="AO11">
            <v>15</v>
          </cell>
          <cell r="AP11">
            <v>13</v>
          </cell>
          <cell r="AQ11">
            <v>0</v>
          </cell>
          <cell r="AR11">
            <v>13</v>
          </cell>
          <cell r="AS11">
            <v>28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28</v>
          </cell>
          <cell r="BB11">
            <v>0</v>
          </cell>
          <cell r="BC11">
            <v>75</v>
          </cell>
          <cell r="BD11">
            <v>60</v>
          </cell>
          <cell r="BE11">
            <v>40</v>
          </cell>
          <cell r="BF11">
            <v>1120</v>
          </cell>
          <cell r="BI11">
            <v>0</v>
          </cell>
          <cell r="BJ11">
            <v>1120</v>
          </cell>
        </row>
        <row r="12">
          <cell r="B12">
            <v>2</v>
          </cell>
          <cell r="C12" t="str">
            <v>AGUILAR CHAMORRO NILES CARLOS</v>
          </cell>
          <cell r="D12">
            <v>39358</v>
          </cell>
          <cell r="E12">
            <v>39897</v>
          </cell>
          <cell r="F12" t="str">
            <v>TERMINO DE OBRA</v>
          </cell>
          <cell r="G12" t="str">
            <v>Perforista B</v>
          </cell>
          <cell r="H12" t="str">
            <v>ING. ORIUNDO</v>
          </cell>
          <cell r="I12" t="str">
            <v>ACTIVO</v>
          </cell>
          <cell r="J12" t="str">
            <v>T</v>
          </cell>
          <cell r="K12" t="str">
            <v>T</v>
          </cell>
          <cell r="L12" t="str">
            <v>T</v>
          </cell>
          <cell r="M12" t="str">
            <v>T</v>
          </cell>
          <cell r="N12" t="str">
            <v>T</v>
          </cell>
          <cell r="O12" t="str">
            <v>T</v>
          </cell>
          <cell r="P12" t="str">
            <v>DL</v>
          </cell>
          <cell r="Q12" t="str">
            <v>DL</v>
          </cell>
          <cell r="R12" t="str">
            <v>DL</v>
          </cell>
          <cell r="S12" t="str">
            <v>DL</v>
          </cell>
          <cell r="T12" t="str">
            <v>DL</v>
          </cell>
          <cell r="U12" t="str">
            <v>DL</v>
          </cell>
          <cell r="V12" t="str">
            <v>DL</v>
          </cell>
          <cell r="W12" t="str">
            <v>BM</v>
          </cell>
          <cell r="X12" t="str">
            <v>BM</v>
          </cell>
          <cell r="Y12" t="str">
            <v>BM</v>
          </cell>
          <cell r="Z12" t="str">
            <v>T</v>
          </cell>
          <cell r="AA12" t="str">
            <v>T</v>
          </cell>
          <cell r="AB12" t="str">
            <v>T</v>
          </cell>
          <cell r="AC12" t="str">
            <v>T</v>
          </cell>
          <cell r="AD12" t="str">
            <v>T</v>
          </cell>
          <cell r="AE12" t="str">
            <v>T</v>
          </cell>
          <cell r="AF12" t="str">
            <v>T</v>
          </cell>
          <cell r="AG12" t="str">
            <v>T</v>
          </cell>
          <cell r="AH12" t="str">
            <v>T</v>
          </cell>
          <cell r="AI12" t="str">
            <v>T</v>
          </cell>
          <cell r="AJ12" t="str">
            <v>T</v>
          </cell>
          <cell r="AK12" t="str">
            <v>DL</v>
          </cell>
          <cell r="AL12">
            <v>6</v>
          </cell>
          <cell r="AO12">
            <v>17</v>
          </cell>
          <cell r="AP12">
            <v>8</v>
          </cell>
          <cell r="AQ12">
            <v>0</v>
          </cell>
          <cell r="AR12">
            <v>8</v>
          </cell>
          <cell r="AS12">
            <v>25</v>
          </cell>
          <cell r="AT12">
            <v>0</v>
          </cell>
          <cell r="AU12">
            <v>0</v>
          </cell>
          <cell r="AV12">
            <v>3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28</v>
          </cell>
          <cell r="BB12">
            <v>0</v>
          </cell>
          <cell r="BC12">
            <v>85</v>
          </cell>
          <cell r="BD12">
            <v>60</v>
          </cell>
          <cell r="BE12">
            <v>45</v>
          </cell>
          <cell r="BF12">
            <v>1260</v>
          </cell>
          <cell r="BI12">
            <v>0</v>
          </cell>
          <cell r="BJ12">
            <v>1260</v>
          </cell>
        </row>
        <row r="13">
          <cell r="B13">
            <v>3</v>
          </cell>
          <cell r="C13" t="str">
            <v>ALANIA BERNALDO VIDAL</v>
          </cell>
          <cell r="D13">
            <v>39330</v>
          </cell>
          <cell r="E13">
            <v>39897</v>
          </cell>
          <cell r="F13" t="str">
            <v>TERMINO DE OBRA</v>
          </cell>
          <cell r="G13" t="str">
            <v>Ayudante Perforista</v>
          </cell>
          <cell r="H13" t="str">
            <v>ING. ACERO</v>
          </cell>
          <cell r="I13" t="str">
            <v>ACTIVO</v>
          </cell>
          <cell r="J13" t="str">
            <v>DL</v>
          </cell>
          <cell r="K13" t="str">
            <v>DL</v>
          </cell>
          <cell r="L13" t="str">
            <v>DL</v>
          </cell>
          <cell r="M13" t="str">
            <v>DL</v>
          </cell>
          <cell r="N13" t="str">
            <v>DL</v>
          </cell>
          <cell r="O13" t="str">
            <v>DL</v>
          </cell>
          <cell r="P13" t="str">
            <v>T</v>
          </cell>
          <cell r="Q13" t="str">
            <v>T</v>
          </cell>
          <cell r="R13" t="str">
            <v>T</v>
          </cell>
          <cell r="S13" t="str">
            <v>T</v>
          </cell>
          <cell r="T13" t="str">
            <v>T</v>
          </cell>
          <cell r="U13" t="str">
            <v>T</v>
          </cell>
          <cell r="V13" t="str">
            <v>T</v>
          </cell>
          <cell r="W13" t="str">
            <v>T</v>
          </cell>
          <cell r="X13" t="str">
            <v>T</v>
          </cell>
          <cell r="Y13" t="str">
            <v>T</v>
          </cell>
          <cell r="Z13" t="str">
            <v>T</v>
          </cell>
          <cell r="AA13" t="str">
            <v>T</v>
          </cell>
          <cell r="AB13" t="str">
            <v>T</v>
          </cell>
          <cell r="AC13" t="str">
            <v>T</v>
          </cell>
          <cell r="AD13" t="str">
            <v>DL</v>
          </cell>
          <cell r="AE13" t="str">
            <v>DL</v>
          </cell>
          <cell r="AF13" t="str">
            <v>DL</v>
          </cell>
          <cell r="AG13" t="str">
            <v>DL</v>
          </cell>
          <cell r="AH13" t="str">
            <v>DL</v>
          </cell>
          <cell r="AI13" t="str">
            <v>DL</v>
          </cell>
          <cell r="AJ13" t="str">
            <v>DL</v>
          </cell>
          <cell r="AK13" t="str">
            <v>T</v>
          </cell>
          <cell r="AL13">
            <v>0.5</v>
          </cell>
          <cell r="AO13">
            <v>15</v>
          </cell>
          <cell r="AP13">
            <v>13</v>
          </cell>
          <cell r="AQ13">
            <v>0</v>
          </cell>
          <cell r="AR13">
            <v>13</v>
          </cell>
          <cell r="AS13">
            <v>28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28</v>
          </cell>
          <cell r="BB13">
            <v>0</v>
          </cell>
          <cell r="BC13">
            <v>75</v>
          </cell>
          <cell r="BD13">
            <v>60</v>
          </cell>
          <cell r="BE13">
            <v>45</v>
          </cell>
          <cell r="BF13">
            <v>1260</v>
          </cell>
          <cell r="BI13">
            <v>0</v>
          </cell>
          <cell r="BJ13">
            <v>1260</v>
          </cell>
        </row>
        <row r="14">
          <cell r="B14">
            <v>4</v>
          </cell>
          <cell r="C14" t="str">
            <v>ALANIA SANTOS ELVIS</v>
          </cell>
          <cell r="D14">
            <v>39466</v>
          </cell>
          <cell r="E14">
            <v>39897</v>
          </cell>
          <cell r="F14" t="str">
            <v>TERMINO DE OBRA</v>
          </cell>
          <cell r="G14" t="str">
            <v>Perforista A</v>
          </cell>
          <cell r="H14" t="str">
            <v>ING. ACERO</v>
          </cell>
          <cell r="I14" t="str">
            <v>ACTIVO</v>
          </cell>
          <cell r="J14" t="str">
            <v>DL</v>
          </cell>
          <cell r="K14" t="str">
            <v>DL</v>
          </cell>
          <cell r="L14" t="str">
            <v>DL</v>
          </cell>
          <cell r="M14" t="str">
            <v>DL</v>
          </cell>
          <cell r="N14" t="str">
            <v>DL</v>
          </cell>
          <cell r="O14" t="str">
            <v>DL</v>
          </cell>
          <cell r="P14" t="str">
            <v>BM</v>
          </cell>
          <cell r="Q14" t="str">
            <v>BM</v>
          </cell>
          <cell r="R14" t="str">
            <v>BM</v>
          </cell>
          <cell r="S14" t="str">
            <v>BM</v>
          </cell>
          <cell r="T14" t="str">
            <v>BM</v>
          </cell>
          <cell r="U14" t="str">
            <v>BM</v>
          </cell>
          <cell r="V14" t="str">
            <v>BM</v>
          </cell>
          <cell r="W14" t="str">
            <v>BM</v>
          </cell>
          <cell r="X14" t="str">
            <v>BM</v>
          </cell>
          <cell r="Y14" t="str">
            <v>BM</v>
          </cell>
          <cell r="Z14" t="str">
            <v>BM</v>
          </cell>
          <cell r="AA14" t="str">
            <v>BM</v>
          </cell>
          <cell r="AB14" t="str">
            <v>BM</v>
          </cell>
          <cell r="AC14" t="str">
            <v>BM</v>
          </cell>
          <cell r="AD14" t="str">
            <v>BM</v>
          </cell>
          <cell r="AE14" t="str">
            <v>BM</v>
          </cell>
          <cell r="AF14" t="str">
            <v>DL</v>
          </cell>
          <cell r="AG14" t="str">
            <v>DL</v>
          </cell>
          <cell r="AH14" t="str">
            <v>DL</v>
          </cell>
          <cell r="AI14" t="str">
            <v>DL</v>
          </cell>
          <cell r="AJ14" t="str">
            <v>DL</v>
          </cell>
          <cell r="AK14" t="str">
            <v>T</v>
          </cell>
          <cell r="AL14">
            <v>0.5</v>
          </cell>
          <cell r="AO14">
            <v>1</v>
          </cell>
          <cell r="AP14">
            <v>11</v>
          </cell>
          <cell r="AQ14">
            <v>0</v>
          </cell>
          <cell r="AR14">
            <v>11</v>
          </cell>
          <cell r="AS14">
            <v>12</v>
          </cell>
          <cell r="AT14">
            <v>0</v>
          </cell>
          <cell r="AU14">
            <v>0</v>
          </cell>
          <cell r="AV14">
            <v>16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28</v>
          </cell>
          <cell r="BB14">
            <v>0</v>
          </cell>
          <cell r="BC14">
            <v>5</v>
          </cell>
          <cell r="BD14">
            <v>60</v>
          </cell>
          <cell r="BE14">
            <v>50</v>
          </cell>
          <cell r="BF14">
            <v>1400</v>
          </cell>
          <cell r="BI14">
            <v>0</v>
          </cell>
          <cell r="BJ14">
            <v>1400</v>
          </cell>
        </row>
        <row r="15">
          <cell r="B15">
            <v>5</v>
          </cell>
          <cell r="C15" t="str">
            <v>ALFARO BERNAOLA ANGEL JESUS</v>
          </cell>
          <cell r="D15">
            <v>39466</v>
          </cell>
          <cell r="E15">
            <v>39897</v>
          </cell>
          <cell r="F15" t="str">
            <v>TERMINO DE OBRA</v>
          </cell>
          <cell r="G15" t="str">
            <v>Perforista A</v>
          </cell>
          <cell r="H15" t="str">
            <v>ING. ORIUNDO</v>
          </cell>
          <cell r="I15" t="str">
            <v>ACTIVO</v>
          </cell>
          <cell r="J15" t="str">
            <v>T</v>
          </cell>
          <cell r="K15" t="str">
            <v>T</v>
          </cell>
          <cell r="L15" t="str">
            <v>T</v>
          </cell>
          <cell r="M15" t="str">
            <v>T</v>
          </cell>
          <cell r="N15" t="str">
            <v>T</v>
          </cell>
          <cell r="O15" t="str">
            <v>T</v>
          </cell>
          <cell r="P15" t="str">
            <v>DL</v>
          </cell>
          <cell r="Q15" t="str">
            <v>DL</v>
          </cell>
          <cell r="R15" t="str">
            <v>DL</v>
          </cell>
          <cell r="S15" t="str">
            <v>DL</v>
          </cell>
          <cell r="T15" t="str">
            <v>DL</v>
          </cell>
          <cell r="U15" t="str">
            <v>DL</v>
          </cell>
          <cell r="V15" t="str">
            <v>DL</v>
          </cell>
          <cell r="W15" t="str">
            <v>T</v>
          </cell>
          <cell r="X15" t="str">
            <v>T</v>
          </cell>
          <cell r="Y15" t="str">
            <v>T</v>
          </cell>
          <cell r="Z15" t="str">
            <v>T</v>
          </cell>
          <cell r="AA15" t="str">
            <v>T</v>
          </cell>
          <cell r="AB15" t="str">
            <v>T</v>
          </cell>
          <cell r="AC15" t="str">
            <v>T</v>
          </cell>
          <cell r="AD15" t="str">
            <v>T</v>
          </cell>
          <cell r="AE15" t="str">
            <v>T</v>
          </cell>
          <cell r="AF15" t="str">
            <v>T</v>
          </cell>
          <cell r="AG15" t="str">
            <v>T</v>
          </cell>
          <cell r="AH15" t="str">
            <v>T</v>
          </cell>
          <cell r="AI15" t="str">
            <v>T</v>
          </cell>
          <cell r="AJ15" t="str">
            <v>T</v>
          </cell>
          <cell r="AK15" t="str">
            <v>DL</v>
          </cell>
          <cell r="AL15">
            <v>6</v>
          </cell>
          <cell r="AO15">
            <v>20</v>
          </cell>
          <cell r="AP15">
            <v>8</v>
          </cell>
          <cell r="AQ15">
            <v>0</v>
          </cell>
          <cell r="AR15">
            <v>8</v>
          </cell>
          <cell r="AS15">
            <v>28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28</v>
          </cell>
          <cell r="BB15">
            <v>0</v>
          </cell>
          <cell r="BC15">
            <v>100</v>
          </cell>
          <cell r="BD15">
            <v>60</v>
          </cell>
          <cell r="BE15">
            <v>50</v>
          </cell>
          <cell r="BF15">
            <v>1400</v>
          </cell>
          <cell r="BI15">
            <v>0</v>
          </cell>
          <cell r="BJ15">
            <v>1400</v>
          </cell>
        </row>
        <row r="16">
          <cell r="B16">
            <v>6</v>
          </cell>
          <cell r="C16" t="str">
            <v>ALVAREZ ALIAGA ARNALDO</v>
          </cell>
          <cell r="D16">
            <v>39336</v>
          </cell>
          <cell r="E16">
            <v>39897</v>
          </cell>
          <cell r="F16" t="str">
            <v>TERMINO DE OBRA</v>
          </cell>
          <cell r="G16" t="str">
            <v>Ayudante Perforista</v>
          </cell>
          <cell r="H16" t="str">
            <v>ING. ACERO</v>
          </cell>
          <cell r="I16" t="str">
            <v>ACTIVO</v>
          </cell>
          <cell r="J16" t="str">
            <v>DL</v>
          </cell>
          <cell r="K16" t="str">
            <v>DL</v>
          </cell>
          <cell r="L16" t="str">
            <v>DL</v>
          </cell>
          <cell r="M16" t="str">
            <v>DL</v>
          </cell>
          <cell r="N16" t="str">
            <v>DL</v>
          </cell>
          <cell r="O16" t="str">
            <v>DL</v>
          </cell>
          <cell r="P16" t="str">
            <v>T</v>
          </cell>
          <cell r="Q16" t="str">
            <v>T</v>
          </cell>
          <cell r="R16" t="str">
            <v>T</v>
          </cell>
          <cell r="S16" t="str">
            <v>T</v>
          </cell>
          <cell r="T16" t="str">
            <v>T</v>
          </cell>
          <cell r="U16" t="str">
            <v>T</v>
          </cell>
          <cell r="V16" t="str">
            <v>T</v>
          </cell>
          <cell r="W16" t="str">
            <v>T</v>
          </cell>
          <cell r="X16" t="str">
            <v>T</v>
          </cell>
          <cell r="Y16" t="str">
            <v>T</v>
          </cell>
          <cell r="Z16" t="str">
            <v>T</v>
          </cell>
          <cell r="AA16" t="str">
            <v>T</v>
          </cell>
          <cell r="AB16" t="str">
            <v>T</v>
          </cell>
          <cell r="AC16" t="str">
            <v>T</v>
          </cell>
          <cell r="AD16" t="str">
            <v>DL</v>
          </cell>
          <cell r="AE16" t="str">
            <v>DL</v>
          </cell>
          <cell r="AF16" t="str">
            <v>DL</v>
          </cell>
          <cell r="AG16" t="str">
            <v>DL</v>
          </cell>
          <cell r="AH16" t="str">
            <v>DL</v>
          </cell>
          <cell r="AI16" t="str">
            <v>DL</v>
          </cell>
          <cell r="AJ16" t="str">
            <v>DL</v>
          </cell>
          <cell r="AK16" t="str">
            <v>T</v>
          </cell>
          <cell r="AL16">
            <v>0.5</v>
          </cell>
          <cell r="AO16">
            <v>15</v>
          </cell>
          <cell r="AP16">
            <v>13</v>
          </cell>
          <cell r="AQ16">
            <v>0</v>
          </cell>
          <cell r="AR16">
            <v>13</v>
          </cell>
          <cell r="AS16">
            <v>28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28</v>
          </cell>
          <cell r="BB16">
            <v>0</v>
          </cell>
          <cell r="BC16">
            <v>75</v>
          </cell>
          <cell r="BD16">
            <v>60</v>
          </cell>
          <cell r="BE16">
            <v>40</v>
          </cell>
          <cell r="BF16">
            <v>1120</v>
          </cell>
          <cell r="BI16">
            <v>0</v>
          </cell>
          <cell r="BJ16">
            <v>1120</v>
          </cell>
        </row>
        <row r="17">
          <cell r="B17">
            <v>7</v>
          </cell>
          <cell r="C17" t="str">
            <v>ALVINO QUISPE OMAR EDGAR</v>
          </cell>
          <cell r="D17">
            <v>39656</v>
          </cell>
          <cell r="E17">
            <v>39897</v>
          </cell>
          <cell r="F17" t="str">
            <v>TERMINO DE OBRA</v>
          </cell>
          <cell r="G17" t="str">
            <v>Ayudante Perforista</v>
          </cell>
          <cell r="H17" t="str">
            <v xml:space="preserve">ING. ORIUNDO </v>
          </cell>
          <cell r="I17" t="str">
            <v xml:space="preserve">ACTIVO </v>
          </cell>
          <cell r="J17" t="str">
            <v>T</v>
          </cell>
          <cell r="K17" t="str">
            <v>T</v>
          </cell>
          <cell r="L17" t="str">
            <v>T</v>
          </cell>
          <cell r="M17" t="str">
            <v>T</v>
          </cell>
          <cell r="N17" t="str">
            <v>T</v>
          </cell>
          <cell r="O17" t="str">
            <v>T</v>
          </cell>
          <cell r="P17" t="str">
            <v>DL</v>
          </cell>
          <cell r="Q17" t="str">
            <v>DL</v>
          </cell>
          <cell r="R17" t="str">
            <v>DL</v>
          </cell>
          <cell r="S17" t="str">
            <v>DL</v>
          </cell>
          <cell r="T17" t="str">
            <v>DL</v>
          </cell>
          <cell r="U17" t="str">
            <v>DL</v>
          </cell>
          <cell r="V17" t="str">
            <v>DL</v>
          </cell>
          <cell r="W17" t="str">
            <v>T</v>
          </cell>
          <cell r="X17" t="str">
            <v>T</v>
          </cell>
          <cell r="Y17" t="str">
            <v>T</v>
          </cell>
          <cell r="Z17" t="str">
            <v>T</v>
          </cell>
          <cell r="AA17" t="str">
            <v>T</v>
          </cell>
          <cell r="AB17" t="str">
            <v>T</v>
          </cell>
          <cell r="AC17" t="str">
            <v>T</v>
          </cell>
          <cell r="AD17" t="str">
            <v>T</v>
          </cell>
          <cell r="AE17" t="str">
            <v>T</v>
          </cell>
          <cell r="AF17" t="str">
            <v>T</v>
          </cell>
          <cell r="AG17" t="str">
            <v>T</v>
          </cell>
          <cell r="AH17" t="str">
            <v>T</v>
          </cell>
          <cell r="AI17" t="str">
            <v>T</v>
          </cell>
          <cell r="AJ17" t="str">
            <v>T</v>
          </cell>
          <cell r="AK17" t="str">
            <v>DL</v>
          </cell>
          <cell r="AL17">
            <v>6</v>
          </cell>
          <cell r="AO17">
            <v>20</v>
          </cell>
          <cell r="AP17">
            <v>8</v>
          </cell>
          <cell r="AQ17">
            <v>0</v>
          </cell>
          <cell r="AR17">
            <v>8</v>
          </cell>
          <cell r="AS17">
            <v>28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28</v>
          </cell>
          <cell r="BB17">
            <v>0</v>
          </cell>
          <cell r="BC17">
            <v>100</v>
          </cell>
          <cell r="BD17">
            <v>60</v>
          </cell>
          <cell r="BE17">
            <v>40</v>
          </cell>
          <cell r="BF17">
            <v>1120</v>
          </cell>
          <cell r="BI17">
            <v>0</v>
          </cell>
          <cell r="BJ17">
            <v>1120</v>
          </cell>
        </row>
        <row r="18">
          <cell r="B18">
            <v>8</v>
          </cell>
          <cell r="C18" t="str">
            <v>ARANDA SANTOS BARTOLOME JORGE</v>
          </cell>
          <cell r="D18">
            <v>39485</v>
          </cell>
          <cell r="E18">
            <v>39897</v>
          </cell>
          <cell r="F18" t="str">
            <v>TERMINO DE OBRA</v>
          </cell>
          <cell r="G18" t="str">
            <v>Perforista B</v>
          </cell>
          <cell r="H18" t="str">
            <v>ING. ORIUNDO</v>
          </cell>
          <cell r="I18" t="str">
            <v>ACTIVO</v>
          </cell>
          <cell r="J18" t="str">
            <v xml:space="preserve">F                       </v>
          </cell>
          <cell r="K18" t="str">
            <v>S</v>
          </cell>
          <cell r="L18" t="str">
            <v>T</v>
          </cell>
          <cell r="M18" t="str">
            <v>T</v>
          </cell>
          <cell r="N18" t="str">
            <v>T</v>
          </cell>
          <cell r="O18" t="str">
            <v>T</v>
          </cell>
          <cell r="P18" t="str">
            <v>DL</v>
          </cell>
          <cell r="Q18" t="str">
            <v>DL</v>
          </cell>
          <cell r="R18" t="str">
            <v>DL</v>
          </cell>
          <cell r="S18" t="str">
            <v>DL</v>
          </cell>
          <cell r="T18" t="str">
            <v>DL</v>
          </cell>
          <cell r="U18" t="str">
            <v>DL</v>
          </cell>
          <cell r="V18" t="str">
            <v>DL</v>
          </cell>
          <cell r="W18" t="str">
            <v>T</v>
          </cell>
          <cell r="X18" t="str">
            <v>T</v>
          </cell>
          <cell r="Y18" t="str">
            <v>T</v>
          </cell>
          <cell r="Z18" t="str">
            <v>T</v>
          </cell>
          <cell r="AA18" t="str">
            <v>T</v>
          </cell>
          <cell r="AB18" t="str">
            <v>T</v>
          </cell>
          <cell r="AC18" t="str">
            <v>T</v>
          </cell>
          <cell r="AD18" t="str">
            <v>T</v>
          </cell>
          <cell r="AE18" t="str">
            <v>T</v>
          </cell>
          <cell r="AF18" t="str">
            <v>T</v>
          </cell>
          <cell r="AG18" t="str">
            <v>T</v>
          </cell>
          <cell r="AH18" t="str">
            <v>T</v>
          </cell>
          <cell r="AI18" t="str">
            <v>T</v>
          </cell>
          <cell r="AJ18" t="str">
            <v>T</v>
          </cell>
          <cell r="AK18" t="str">
            <v>DL</v>
          </cell>
          <cell r="AL18">
            <v>6</v>
          </cell>
          <cell r="AO18">
            <v>18</v>
          </cell>
          <cell r="AP18">
            <v>8</v>
          </cell>
          <cell r="AQ18">
            <v>1</v>
          </cell>
          <cell r="AR18">
            <v>7.5</v>
          </cell>
          <cell r="AS18">
            <v>25.5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1</v>
          </cell>
          <cell r="AY18">
            <v>0</v>
          </cell>
          <cell r="AZ18">
            <v>1</v>
          </cell>
          <cell r="BA18">
            <v>25.5</v>
          </cell>
          <cell r="BB18">
            <v>0</v>
          </cell>
          <cell r="BC18">
            <v>90</v>
          </cell>
          <cell r="BD18">
            <v>60</v>
          </cell>
          <cell r="BE18">
            <v>45</v>
          </cell>
          <cell r="BF18">
            <v>1147.5</v>
          </cell>
          <cell r="BI18">
            <v>0</v>
          </cell>
          <cell r="BJ18">
            <v>1147.5</v>
          </cell>
        </row>
        <row r="19">
          <cell r="B19">
            <v>9</v>
          </cell>
          <cell r="C19" t="str">
            <v>ARIAS VERTIZ EDWIN LUÍS</v>
          </cell>
          <cell r="D19">
            <v>39330</v>
          </cell>
          <cell r="E19">
            <v>39897</v>
          </cell>
          <cell r="F19" t="str">
            <v>TERMINO DE OBRA</v>
          </cell>
          <cell r="G19" t="str">
            <v>Operador de Scoop B</v>
          </cell>
          <cell r="H19" t="str">
            <v>ING. ACERO</v>
          </cell>
          <cell r="I19" t="str">
            <v>ACTIVO</v>
          </cell>
          <cell r="J19" t="str">
            <v>DL</v>
          </cell>
          <cell r="K19" t="str">
            <v>DL</v>
          </cell>
          <cell r="L19" t="str">
            <v>DL</v>
          </cell>
          <cell r="M19" t="str">
            <v>DL</v>
          </cell>
          <cell r="N19" t="str">
            <v>DL</v>
          </cell>
          <cell r="O19" t="str">
            <v>DL</v>
          </cell>
          <cell r="P19" t="str">
            <v>BM</v>
          </cell>
          <cell r="Q19" t="str">
            <v>BM</v>
          </cell>
          <cell r="R19" t="str">
            <v>T</v>
          </cell>
          <cell r="S19" t="str">
            <v>T</v>
          </cell>
          <cell r="T19" t="str">
            <v>T</v>
          </cell>
          <cell r="U19" t="str">
            <v>T</v>
          </cell>
          <cell r="V19" t="str">
            <v>T</v>
          </cell>
          <cell r="W19" t="str">
            <v>T</v>
          </cell>
          <cell r="X19" t="str">
            <v>T</v>
          </cell>
          <cell r="Y19" t="str">
            <v>T</v>
          </cell>
          <cell r="Z19" t="str">
            <v>T</v>
          </cell>
          <cell r="AA19" t="str">
            <v>T</v>
          </cell>
          <cell r="AB19" t="str">
            <v>T</v>
          </cell>
          <cell r="AC19" t="str">
            <v>T</v>
          </cell>
          <cell r="AD19" t="str">
            <v>DL</v>
          </cell>
          <cell r="AE19" t="str">
            <v>DL</v>
          </cell>
          <cell r="AF19" t="str">
            <v>DL</v>
          </cell>
          <cell r="AG19" t="str">
            <v>DL</v>
          </cell>
          <cell r="AH19" t="str">
            <v>DL</v>
          </cell>
          <cell r="AI19" t="str">
            <v>DL</v>
          </cell>
          <cell r="AJ19" t="str">
            <v>DL</v>
          </cell>
          <cell r="AK19" t="str">
            <v>T</v>
          </cell>
          <cell r="AL19">
            <v>0.5</v>
          </cell>
          <cell r="AO19">
            <v>13</v>
          </cell>
          <cell r="AP19">
            <v>13</v>
          </cell>
          <cell r="AQ19">
            <v>0</v>
          </cell>
          <cell r="AR19">
            <v>13</v>
          </cell>
          <cell r="AS19">
            <v>26</v>
          </cell>
          <cell r="AT19">
            <v>0</v>
          </cell>
          <cell r="AU19">
            <v>0</v>
          </cell>
          <cell r="AV19">
            <v>2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28</v>
          </cell>
          <cell r="BB19">
            <v>0</v>
          </cell>
          <cell r="BC19">
            <v>65</v>
          </cell>
          <cell r="BD19">
            <v>60</v>
          </cell>
          <cell r="BE19">
            <v>50</v>
          </cell>
          <cell r="BF19">
            <v>1400</v>
          </cell>
          <cell r="BI19">
            <v>0</v>
          </cell>
          <cell r="BJ19">
            <v>1400</v>
          </cell>
        </row>
        <row r="20">
          <cell r="B20">
            <v>10</v>
          </cell>
          <cell r="C20" t="str">
            <v>ARZAPALO VILLAR CARLOS ERNESTO</v>
          </cell>
          <cell r="D20">
            <v>39320</v>
          </cell>
          <cell r="E20">
            <v>39897</v>
          </cell>
          <cell r="F20" t="str">
            <v>TERMINO DE OBRA</v>
          </cell>
          <cell r="G20" t="str">
            <v>Bodeguero</v>
          </cell>
          <cell r="H20" t="str">
            <v>ING. ORIUNDO</v>
          </cell>
          <cell r="I20" t="str">
            <v>ACTIVO</v>
          </cell>
          <cell r="J20" t="str">
            <v>T</v>
          </cell>
          <cell r="K20" t="str">
            <v>T</v>
          </cell>
          <cell r="L20" t="str">
            <v>T</v>
          </cell>
          <cell r="M20" t="str">
            <v>T</v>
          </cell>
          <cell r="N20" t="str">
            <v>T</v>
          </cell>
          <cell r="O20" t="str">
            <v>T</v>
          </cell>
          <cell r="P20" t="str">
            <v>DL</v>
          </cell>
          <cell r="Q20" t="str">
            <v>DL</v>
          </cell>
          <cell r="R20" t="str">
            <v>DL</v>
          </cell>
          <cell r="S20" t="str">
            <v>DL</v>
          </cell>
          <cell r="T20" t="str">
            <v>DL</v>
          </cell>
          <cell r="U20" t="str">
            <v>DL</v>
          </cell>
          <cell r="V20" t="str">
            <v>DL</v>
          </cell>
          <cell r="W20" t="str">
            <v>T</v>
          </cell>
          <cell r="X20" t="str">
            <v>T</v>
          </cell>
          <cell r="Y20" t="str">
            <v>T</v>
          </cell>
          <cell r="Z20" t="str">
            <v>T</v>
          </cell>
          <cell r="AA20" t="str">
            <v>T</v>
          </cell>
          <cell r="AB20" t="str">
            <v>T</v>
          </cell>
          <cell r="AC20" t="str">
            <v>T</v>
          </cell>
          <cell r="AD20" t="str">
            <v>T</v>
          </cell>
          <cell r="AE20" t="str">
            <v>T</v>
          </cell>
          <cell r="AF20" t="str">
            <v>T</v>
          </cell>
          <cell r="AG20" t="str">
            <v>T</v>
          </cell>
          <cell r="AH20" t="str">
            <v>T</v>
          </cell>
          <cell r="AI20" t="str">
            <v>T</v>
          </cell>
          <cell r="AJ20" t="str">
            <v>T</v>
          </cell>
          <cell r="AK20" t="str">
            <v>DL</v>
          </cell>
          <cell r="AL20">
            <v>6</v>
          </cell>
          <cell r="AO20">
            <v>20</v>
          </cell>
          <cell r="AP20">
            <v>8</v>
          </cell>
          <cell r="AQ20">
            <v>0</v>
          </cell>
          <cell r="AR20">
            <v>8</v>
          </cell>
          <cell r="AS20">
            <v>28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28</v>
          </cell>
          <cell r="BB20">
            <v>0</v>
          </cell>
          <cell r="BC20">
            <v>100</v>
          </cell>
          <cell r="BD20">
            <v>60</v>
          </cell>
          <cell r="BE20">
            <v>45</v>
          </cell>
          <cell r="BF20">
            <v>1260</v>
          </cell>
          <cell r="BI20">
            <v>0</v>
          </cell>
          <cell r="BJ20">
            <v>1260</v>
          </cell>
        </row>
        <row r="21">
          <cell r="B21">
            <v>11</v>
          </cell>
          <cell r="C21" t="str">
            <v>ASENCIO GONZALES ENDERZON ELVIS</v>
          </cell>
          <cell r="D21">
            <v>39344</v>
          </cell>
          <cell r="E21">
            <v>39897</v>
          </cell>
          <cell r="F21" t="str">
            <v>TERMINO DE OBRA</v>
          </cell>
          <cell r="G21" t="str">
            <v>Ayudante Enmaderador</v>
          </cell>
          <cell r="H21" t="str">
            <v>ING. ORIUNDO</v>
          </cell>
          <cell r="I21" t="str">
            <v>ACTIVO</v>
          </cell>
          <cell r="J21" t="str">
            <v>T</v>
          </cell>
          <cell r="K21" t="str">
            <v>T</v>
          </cell>
          <cell r="L21" t="str">
            <v>T</v>
          </cell>
          <cell r="M21" t="str">
            <v>T</v>
          </cell>
          <cell r="N21" t="str">
            <v>T</v>
          </cell>
          <cell r="O21" t="str">
            <v>T</v>
          </cell>
          <cell r="P21" t="str">
            <v>DL</v>
          </cell>
          <cell r="Q21" t="str">
            <v>DL</v>
          </cell>
          <cell r="R21" t="str">
            <v>DL</v>
          </cell>
          <cell r="S21" t="str">
            <v>DL</v>
          </cell>
          <cell r="T21" t="str">
            <v>DL</v>
          </cell>
          <cell r="U21" t="str">
            <v>DL</v>
          </cell>
          <cell r="V21" t="str">
            <v>DL</v>
          </cell>
          <cell r="W21" t="str">
            <v>T</v>
          </cell>
          <cell r="X21" t="str">
            <v>T</v>
          </cell>
          <cell r="Y21" t="str">
            <v>T</v>
          </cell>
          <cell r="Z21" t="str">
            <v>T</v>
          </cell>
          <cell r="AA21" t="str">
            <v>T</v>
          </cell>
          <cell r="AB21" t="str">
            <v>T</v>
          </cell>
          <cell r="AC21" t="str">
            <v>T</v>
          </cell>
          <cell r="AD21" t="str">
            <v>T</v>
          </cell>
          <cell r="AE21" t="str">
            <v>T</v>
          </cell>
          <cell r="AF21" t="str">
            <v>T</v>
          </cell>
          <cell r="AG21" t="str">
            <v>T</v>
          </cell>
          <cell r="AH21" t="str">
            <v>T</v>
          </cell>
          <cell r="AI21" t="str">
            <v>T</v>
          </cell>
          <cell r="AJ21" t="str">
            <v>T</v>
          </cell>
          <cell r="AK21" t="str">
            <v>DL</v>
          </cell>
          <cell r="AL21">
            <v>6</v>
          </cell>
          <cell r="AO21">
            <v>20</v>
          </cell>
          <cell r="AP21">
            <v>8</v>
          </cell>
          <cell r="AQ21">
            <v>0</v>
          </cell>
          <cell r="AR21">
            <v>8</v>
          </cell>
          <cell r="AS21">
            <v>28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28</v>
          </cell>
          <cell r="BB21">
            <v>0</v>
          </cell>
          <cell r="BC21">
            <v>100</v>
          </cell>
          <cell r="BD21">
            <v>60</v>
          </cell>
          <cell r="BE21">
            <v>35</v>
          </cell>
          <cell r="BF21">
            <v>980</v>
          </cell>
          <cell r="BI21">
            <v>0</v>
          </cell>
          <cell r="BJ21">
            <v>980</v>
          </cell>
        </row>
        <row r="22">
          <cell r="B22">
            <v>12</v>
          </cell>
          <cell r="C22" t="str">
            <v>ATACHAGUA QUISPE ESTEBAN</v>
          </cell>
          <cell r="D22">
            <v>39667</v>
          </cell>
          <cell r="E22">
            <v>39897</v>
          </cell>
          <cell r="F22" t="str">
            <v>TERMINO DE OBRA</v>
          </cell>
          <cell r="G22" t="str">
            <v>Perforista B</v>
          </cell>
          <cell r="H22" t="str">
            <v>ING. ACERO</v>
          </cell>
          <cell r="I22" t="str">
            <v>ACTIVO</v>
          </cell>
          <cell r="J22" t="str">
            <v>DL</v>
          </cell>
          <cell r="K22" t="str">
            <v>DL</v>
          </cell>
          <cell r="L22" t="str">
            <v>DL</v>
          </cell>
          <cell r="M22" t="str">
            <v>DL</v>
          </cell>
          <cell r="N22" t="str">
            <v>DL</v>
          </cell>
          <cell r="O22" t="str">
            <v>BM</v>
          </cell>
          <cell r="P22" t="str">
            <v>BM</v>
          </cell>
          <cell r="Q22" t="str">
            <v>T</v>
          </cell>
          <cell r="R22" t="str">
            <v>T</v>
          </cell>
          <cell r="S22" t="str">
            <v>T</v>
          </cell>
          <cell r="T22" t="str">
            <v>T</v>
          </cell>
          <cell r="U22" t="str">
            <v>T</v>
          </cell>
          <cell r="V22" t="str">
            <v>T</v>
          </cell>
          <cell r="W22" t="str">
            <v>T</v>
          </cell>
          <cell r="X22" t="str">
            <v>T</v>
          </cell>
          <cell r="Y22" t="str">
            <v>T</v>
          </cell>
          <cell r="Z22" t="str">
            <v>T</v>
          </cell>
          <cell r="AA22" t="str">
            <v>T</v>
          </cell>
          <cell r="AB22" t="str">
            <v>T</v>
          </cell>
          <cell r="AC22" t="str">
            <v>T</v>
          </cell>
          <cell r="AD22" t="str">
            <v>DL</v>
          </cell>
          <cell r="AE22" t="str">
            <v>DL</v>
          </cell>
          <cell r="AF22" t="str">
            <v>DL</v>
          </cell>
          <cell r="AG22" t="str">
            <v>DL</v>
          </cell>
          <cell r="AH22" t="str">
            <v>DL</v>
          </cell>
          <cell r="AI22" t="str">
            <v>DL</v>
          </cell>
          <cell r="AJ22" t="str">
            <v>DL</v>
          </cell>
          <cell r="AK22" t="str">
            <v>T</v>
          </cell>
          <cell r="AL22">
            <v>0.5</v>
          </cell>
          <cell r="AO22">
            <v>14</v>
          </cell>
          <cell r="AP22">
            <v>12</v>
          </cell>
          <cell r="AQ22">
            <v>0</v>
          </cell>
          <cell r="AR22">
            <v>12</v>
          </cell>
          <cell r="AS22">
            <v>26</v>
          </cell>
          <cell r="AT22">
            <v>0</v>
          </cell>
          <cell r="AU22">
            <v>0</v>
          </cell>
          <cell r="AV22">
            <v>2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28</v>
          </cell>
          <cell r="BB22">
            <v>0</v>
          </cell>
          <cell r="BC22">
            <v>70</v>
          </cell>
          <cell r="BD22">
            <v>60</v>
          </cell>
          <cell r="BE22">
            <v>45</v>
          </cell>
          <cell r="BF22">
            <v>1260</v>
          </cell>
          <cell r="BI22">
            <v>0</v>
          </cell>
          <cell r="BJ22">
            <v>1260</v>
          </cell>
        </row>
        <row r="23">
          <cell r="B23">
            <v>13</v>
          </cell>
          <cell r="C23" t="str">
            <v>BARRIGA YANAYACO GILMAR RAUL</v>
          </cell>
          <cell r="D23">
            <v>39625</v>
          </cell>
          <cell r="E23">
            <v>39897</v>
          </cell>
          <cell r="F23" t="str">
            <v>TERMINO DE OBRA</v>
          </cell>
          <cell r="G23" t="str">
            <v>Ayudante Perforista</v>
          </cell>
          <cell r="H23" t="str">
            <v>ING. ACERO</v>
          </cell>
          <cell r="I23" t="str">
            <v>ACTIVO</v>
          </cell>
          <cell r="J23" t="str">
            <v>DL</v>
          </cell>
          <cell r="K23" t="str">
            <v>DL</v>
          </cell>
          <cell r="L23" t="str">
            <v>DL</v>
          </cell>
          <cell r="M23" t="str">
            <v>DL</v>
          </cell>
          <cell r="N23" t="str">
            <v>DL</v>
          </cell>
          <cell r="O23" t="str">
            <v>DL</v>
          </cell>
          <cell r="P23" t="str">
            <v>T</v>
          </cell>
          <cell r="Q23" t="str">
            <v>T</v>
          </cell>
          <cell r="R23" t="str">
            <v>T</v>
          </cell>
          <cell r="S23" t="str">
            <v>T</v>
          </cell>
          <cell r="T23" t="str">
            <v>T</v>
          </cell>
          <cell r="U23" t="str">
            <v>T</v>
          </cell>
          <cell r="V23" t="str">
            <v>T</v>
          </cell>
          <cell r="W23" t="str">
            <v>T</v>
          </cell>
          <cell r="X23" t="str">
            <v>T</v>
          </cell>
          <cell r="Y23" t="str">
            <v>T</v>
          </cell>
          <cell r="Z23" t="str">
            <v>T</v>
          </cell>
          <cell r="AA23" t="str">
            <v>T</v>
          </cell>
          <cell r="AB23" t="str">
            <v>T</v>
          </cell>
          <cell r="AC23" t="str">
            <v>T</v>
          </cell>
          <cell r="AD23" t="str">
            <v>DL</v>
          </cell>
          <cell r="AE23" t="str">
            <v>DL</v>
          </cell>
          <cell r="AF23" t="str">
            <v>DL</v>
          </cell>
          <cell r="AG23" t="str">
            <v>DL</v>
          </cell>
          <cell r="AH23" t="str">
            <v>DL</v>
          </cell>
          <cell r="AI23" t="str">
            <v>DL</v>
          </cell>
          <cell r="AJ23" t="str">
            <v>DL</v>
          </cell>
          <cell r="AK23" t="str">
            <v>T</v>
          </cell>
          <cell r="AL23">
            <v>0.5</v>
          </cell>
          <cell r="AO23">
            <v>15</v>
          </cell>
          <cell r="AP23">
            <v>13</v>
          </cell>
          <cell r="AQ23">
            <v>0</v>
          </cell>
          <cell r="AR23">
            <v>13</v>
          </cell>
          <cell r="AS23">
            <v>28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28</v>
          </cell>
          <cell r="BB23">
            <v>0</v>
          </cell>
          <cell r="BC23">
            <v>75</v>
          </cell>
          <cell r="BD23">
            <v>60</v>
          </cell>
          <cell r="BE23">
            <v>40</v>
          </cell>
          <cell r="BF23">
            <v>1120</v>
          </cell>
          <cell r="BI23">
            <v>0</v>
          </cell>
          <cell r="BJ23">
            <v>1120</v>
          </cell>
        </row>
        <row r="24">
          <cell r="B24">
            <v>14</v>
          </cell>
          <cell r="C24" t="str">
            <v>BASILIO ROQUE JHONY WALTER</v>
          </cell>
          <cell r="D24">
            <v>39320</v>
          </cell>
          <cell r="E24">
            <v>39897</v>
          </cell>
          <cell r="F24" t="str">
            <v>TERMINO DE OBRA</v>
          </cell>
          <cell r="G24" t="str">
            <v>Operador de Scoop B</v>
          </cell>
          <cell r="H24" t="str">
            <v>ING. ACERO</v>
          </cell>
          <cell r="I24" t="str">
            <v>ACTIVO</v>
          </cell>
          <cell r="J24" t="str">
            <v>DL</v>
          </cell>
          <cell r="K24" t="str">
            <v>DL</v>
          </cell>
          <cell r="L24" t="str">
            <v>DL</v>
          </cell>
          <cell r="M24" t="str">
            <v>DL</v>
          </cell>
          <cell r="N24" t="str">
            <v>DL</v>
          </cell>
          <cell r="O24" t="str">
            <v>DL</v>
          </cell>
          <cell r="P24" t="str">
            <v>T</v>
          </cell>
          <cell r="Q24" t="str">
            <v>T</v>
          </cell>
          <cell r="R24" t="str">
            <v>T</v>
          </cell>
          <cell r="S24" t="str">
            <v>T</v>
          </cell>
          <cell r="T24" t="str">
            <v>T</v>
          </cell>
          <cell r="U24" t="str">
            <v>T</v>
          </cell>
          <cell r="V24" t="str">
            <v>T</v>
          </cell>
          <cell r="W24" t="str">
            <v>T</v>
          </cell>
          <cell r="X24" t="str">
            <v>T</v>
          </cell>
          <cell r="Y24" t="str">
            <v>T</v>
          </cell>
          <cell r="Z24" t="str">
            <v>T</v>
          </cell>
          <cell r="AA24" t="str">
            <v>T</v>
          </cell>
          <cell r="AB24" t="str">
            <v>T</v>
          </cell>
          <cell r="AC24" t="str">
            <v>T</v>
          </cell>
          <cell r="AD24" t="str">
            <v>DL</v>
          </cell>
          <cell r="AE24" t="str">
            <v>DL</v>
          </cell>
          <cell r="AF24" t="str">
            <v>DL</v>
          </cell>
          <cell r="AG24" t="str">
            <v>DL</v>
          </cell>
          <cell r="AH24" t="str">
            <v>DL</v>
          </cell>
          <cell r="AI24" t="str">
            <v>DL</v>
          </cell>
          <cell r="AJ24" t="str">
            <v>DL</v>
          </cell>
          <cell r="AK24" t="str">
            <v>T</v>
          </cell>
          <cell r="AL24">
            <v>0.5</v>
          </cell>
          <cell r="AO24">
            <v>15</v>
          </cell>
          <cell r="AP24">
            <v>13</v>
          </cell>
          <cell r="AQ24">
            <v>0</v>
          </cell>
          <cell r="AR24">
            <v>13</v>
          </cell>
          <cell r="AS24">
            <v>28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28</v>
          </cell>
          <cell r="BB24">
            <v>0</v>
          </cell>
          <cell r="BC24">
            <v>75</v>
          </cell>
          <cell r="BD24">
            <v>60</v>
          </cell>
          <cell r="BE24">
            <v>50</v>
          </cell>
          <cell r="BF24">
            <v>1400</v>
          </cell>
          <cell r="BI24">
            <v>0</v>
          </cell>
          <cell r="BJ24">
            <v>1400</v>
          </cell>
        </row>
        <row r="25">
          <cell r="B25">
            <v>15</v>
          </cell>
          <cell r="C25" t="str">
            <v>BELTRAN CASTRO RENE WILY</v>
          </cell>
          <cell r="D25">
            <v>39596</v>
          </cell>
          <cell r="E25">
            <v>39897</v>
          </cell>
          <cell r="F25" t="str">
            <v>TERMINO DE OBRA</v>
          </cell>
          <cell r="G25" t="str">
            <v>Ayudante Perforista</v>
          </cell>
          <cell r="H25" t="str">
            <v>ING. CASTILLON</v>
          </cell>
          <cell r="I25" t="str">
            <v>ACTIVO</v>
          </cell>
          <cell r="J25" t="str">
            <v>T</v>
          </cell>
          <cell r="K25" t="str">
            <v>T</v>
          </cell>
          <cell r="L25" t="str">
            <v>T</v>
          </cell>
          <cell r="M25" t="str">
            <v>T</v>
          </cell>
          <cell r="N25" t="str">
            <v>T</v>
          </cell>
          <cell r="O25" t="str">
            <v>T</v>
          </cell>
          <cell r="P25" t="str">
            <v>T</v>
          </cell>
          <cell r="Q25" t="str">
            <v>T</v>
          </cell>
          <cell r="R25" t="str">
            <v>T</v>
          </cell>
          <cell r="S25" t="str">
            <v>T</v>
          </cell>
          <cell r="T25" t="str">
            <v>T</v>
          </cell>
          <cell r="U25" t="str">
            <v>T</v>
          </cell>
          <cell r="V25" t="str">
            <v>T</v>
          </cell>
          <cell r="W25" t="str">
            <v>DL</v>
          </cell>
          <cell r="X25" t="str">
            <v>DL</v>
          </cell>
          <cell r="Y25" t="str">
            <v>DL</v>
          </cell>
          <cell r="Z25" t="str">
            <v>DL</v>
          </cell>
          <cell r="AA25" t="str">
            <v>DL</v>
          </cell>
          <cell r="AB25" t="str">
            <v>DL</v>
          </cell>
          <cell r="AC25" t="str">
            <v>DL</v>
          </cell>
          <cell r="AD25" t="str">
            <v>T</v>
          </cell>
          <cell r="AE25" t="str">
            <v>T</v>
          </cell>
          <cell r="AF25" t="str">
            <v>T</v>
          </cell>
          <cell r="AG25" t="str">
            <v>T</v>
          </cell>
          <cell r="AH25" t="str">
            <v>T</v>
          </cell>
          <cell r="AI25" t="str">
            <v>T</v>
          </cell>
          <cell r="AJ25" t="str">
            <v>T</v>
          </cell>
          <cell r="AK25" t="str">
            <v>T</v>
          </cell>
          <cell r="AL25">
            <v>4</v>
          </cell>
          <cell r="AO25">
            <v>21</v>
          </cell>
          <cell r="AP25">
            <v>7</v>
          </cell>
          <cell r="AQ25">
            <v>0</v>
          </cell>
          <cell r="AR25">
            <v>7</v>
          </cell>
          <cell r="AS25">
            <v>28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28</v>
          </cell>
          <cell r="BB25">
            <v>0</v>
          </cell>
          <cell r="BC25">
            <v>105</v>
          </cell>
          <cell r="BD25">
            <v>60</v>
          </cell>
          <cell r="BE25">
            <v>40</v>
          </cell>
          <cell r="BF25">
            <v>1120</v>
          </cell>
          <cell r="BI25">
            <v>0</v>
          </cell>
          <cell r="BJ25">
            <v>1120</v>
          </cell>
        </row>
        <row r="26">
          <cell r="B26">
            <v>16</v>
          </cell>
          <cell r="C26" t="str">
            <v>BENDEZU REZA SAUL JUAN</v>
          </cell>
          <cell r="D26">
            <v>39575</v>
          </cell>
          <cell r="E26">
            <v>39897</v>
          </cell>
          <cell r="F26" t="str">
            <v>TERMINO DE OBRA</v>
          </cell>
          <cell r="G26" t="str">
            <v>Perforista A</v>
          </cell>
          <cell r="H26" t="str">
            <v>ING. CASTILLON</v>
          </cell>
          <cell r="I26" t="str">
            <v>ACTIVO</v>
          </cell>
          <cell r="J26" t="str">
            <v>T</v>
          </cell>
          <cell r="K26" t="str">
            <v>T</v>
          </cell>
          <cell r="L26" t="str">
            <v>T</v>
          </cell>
          <cell r="M26" t="str">
            <v>T</v>
          </cell>
          <cell r="N26" t="str">
            <v>T</v>
          </cell>
          <cell r="O26" t="str">
            <v>T</v>
          </cell>
          <cell r="P26" t="str">
            <v>T</v>
          </cell>
          <cell r="Q26" t="str">
            <v>T</v>
          </cell>
          <cell r="R26" t="str">
            <v>T</v>
          </cell>
          <cell r="S26" t="str">
            <v>T</v>
          </cell>
          <cell r="T26" t="str">
            <v>T</v>
          </cell>
          <cell r="U26" t="str">
            <v>T</v>
          </cell>
          <cell r="V26" t="str">
            <v>T</v>
          </cell>
          <cell r="W26" t="str">
            <v>DL</v>
          </cell>
          <cell r="X26" t="str">
            <v>DL</v>
          </cell>
          <cell r="Y26" t="str">
            <v>DL</v>
          </cell>
          <cell r="Z26" t="str">
            <v>DL</v>
          </cell>
          <cell r="AA26" t="str">
            <v>DL</v>
          </cell>
          <cell r="AB26" t="str">
            <v>DL</v>
          </cell>
          <cell r="AC26" t="str">
            <v>DL</v>
          </cell>
          <cell r="AD26" t="str">
            <v>T</v>
          </cell>
          <cell r="AE26" t="str">
            <v>T</v>
          </cell>
          <cell r="AF26" t="str">
            <v>T</v>
          </cell>
          <cell r="AG26" t="str">
            <v>T</v>
          </cell>
          <cell r="AH26" t="str">
            <v>T</v>
          </cell>
          <cell r="AI26" t="str">
            <v>T</v>
          </cell>
          <cell r="AJ26" t="str">
            <v>T</v>
          </cell>
          <cell r="AK26" t="str">
            <v>T</v>
          </cell>
          <cell r="AL26">
            <v>4</v>
          </cell>
          <cell r="AO26">
            <v>21</v>
          </cell>
          <cell r="AP26">
            <v>7</v>
          </cell>
          <cell r="AQ26">
            <v>0</v>
          </cell>
          <cell r="AR26">
            <v>7</v>
          </cell>
          <cell r="AS26">
            <v>28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28</v>
          </cell>
          <cell r="BB26">
            <v>0</v>
          </cell>
          <cell r="BC26">
            <v>105</v>
          </cell>
          <cell r="BD26">
            <v>60</v>
          </cell>
          <cell r="BE26">
            <v>50</v>
          </cell>
          <cell r="BF26">
            <v>1400</v>
          </cell>
          <cell r="BI26">
            <v>0</v>
          </cell>
          <cell r="BJ26">
            <v>1400</v>
          </cell>
        </row>
        <row r="27">
          <cell r="B27">
            <v>17</v>
          </cell>
          <cell r="C27" t="str">
            <v>BERNACHEA VENTOSILLA PABLO JUVENAL</v>
          </cell>
          <cell r="D27">
            <v>39343</v>
          </cell>
          <cell r="E27">
            <v>39897</v>
          </cell>
          <cell r="F27" t="str">
            <v>TERMINO DE OBRA</v>
          </cell>
          <cell r="G27" t="str">
            <v xml:space="preserve"> Enmaderador</v>
          </cell>
          <cell r="H27" t="str">
            <v>ING. ACERO</v>
          </cell>
          <cell r="I27" t="str">
            <v>ACTIVO</v>
          </cell>
          <cell r="J27" t="str">
            <v>DL</v>
          </cell>
          <cell r="K27" t="str">
            <v>DL</v>
          </cell>
          <cell r="L27" t="str">
            <v>DL</v>
          </cell>
          <cell r="M27" t="str">
            <v>DL</v>
          </cell>
          <cell r="N27" t="str">
            <v>DL</v>
          </cell>
          <cell r="O27" t="str">
            <v>DL</v>
          </cell>
          <cell r="P27" t="str">
            <v>T</v>
          </cell>
          <cell r="Q27" t="str">
            <v>T</v>
          </cell>
          <cell r="R27" t="str">
            <v>PER</v>
          </cell>
          <cell r="S27" t="str">
            <v>T</v>
          </cell>
          <cell r="T27" t="str">
            <v>T</v>
          </cell>
          <cell r="U27" t="str">
            <v>T</v>
          </cell>
          <cell r="V27" t="str">
            <v>T</v>
          </cell>
          <cell r="W27" t="str">
            <v>T</v>
          </cell>
          <cell r="X27" t="str">
            <v>T</v>
          </cell>
          <cell r="Y27" t="str">
            <v>T</v>
          </cell>
          <cell r="Z27" t="str">
            <v>T</v>
          </cell>
          <cell r="AA27" t="str">
            <v>T</v>
          </cell>
          <cell r="AB27" t="str">
            <v>T</v>
          </cell>
          <cell r="AC27" t="str">
            <v>T</v>
          </cell>
          <cell r="AD27" t="str">
            <v>DL</v>
          </cell>
          <cell r="AE27" t="str">
            <v>DL</v>
          </cell>
          <cell r="AF27" t="str">
            <v>DL</v>
          </cell>
          <cell r="AG27" t="str">
            <v>DL</v>
          </cell>
          <cell r="AH27" t="str">
            <v>DL</v>
          </cell>
          <cell r="AI27" t="str">
            <v>DL</v>
          </cell>
          <cell r="AJ27" t="str">
            <v>DL</v>
          </cell>
          <cell r="AK27" t="str">
            <v>T</v>
          </cell>
          <cell r="AL27">
            <v>0.5</v>
          </cell>
          <cell r="AO27">
            <v>14</v>
          </cell>
          <cell r="AP27">
            <v>13</v>
          </cell>
          <cell r="AQ27">
            <v>0</v>
          </cell>
          <cell r="AR27">
            <v>13</v>
          </cell>
          <cell r="AS27">
            <v>27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1</v>
          </cell>
          <cell r="AZ27">
            <v>1</v>
          </cell>
          <cell r="BA27">
            <v>27</v>
          </cell>
          <cell r="BB27">
            <v>0</v>
          </cell>
          <cell r="BC27">
            <v>70</v>
          </cell>
          <cell r="BD27">
            <v>60</v>
          </cell>
          <cell r="BE27">
            <v>45</v>
          </cell>
          <cell r="BF27">
            <v>1215</v>
          </cell>
          <cell r="BI27">
            <v>0</v>
          </cell>
          <cell r="BJ27">
            <v>1215</v>
          </cell>
        </row>
        <row r="28">
          <cell r="B28">
            <v>18</v>
          </cell>
          <cell r="C28" t="str">
            <v>BERROSPI MONTALVO ULISES</v>
          </cell>
          <cell r="D28">
            <v>39520</v>
          </cell>
          <cell r="E28">
            <v>39897</v>
          </cell>
          <cell r="F28" t="str">
            <v>TERMINO DE OBRA</v>
          </cell>
          <cell r="G28" t="str">
            <v>Ayudante Perforista</v>
          </cell>
          <cell r="H28" t="str">
            <v>ING. ACERO</v>
          </cell>
          <cell r="I28" t="str">
            <v>ACTIVO</v>
          </cell>
          <cell r="J28" t="str">
            <v>DL</v>
          </cell>
          <cell r="K28" t="str">
            <v>DL</v>
          </cell>
          <cell r="L28" t="str">
            <v>DL</v>
          </cell>
          <cell r="M28" t="str">
            <v>DL</v>
          </cell>
          <cell r="N28" t="str">
            <v>DL</v>
          </cell>
          <cell r="O28" t="str">
            <v>DL</v>
          </cell>
          <cell r="P28" t="str">
            <v>T</v>
          </cell>
          <cell r="Q28" t="str">
            <v>T</v>
          </cell>
          <cell r="R28" t="str">
            <v>T</v>
          </cell>
          <cell r="S28" t="str">
            <v>T</v>
          </cell>
          <cell r="T28" t="str">
            <v>T</v>
          </cell>
          <cell r="U28" t="str">
            <v>T</v>
          </cell>
          <cell r="V28" t="str">
            <v>T</v>
          </cell>
          <cell r="W28" t="str">
            <v>T</v>
          </cell>
          <cell r="X28" t="str">
            <v>T</v>
          </cell>
          <cell r="Y28" t="str">
            <v>T</v>
          </cell>
          <cell r="Z28" t="str">
            <v>T</v>
          </cell>
          <cell r="AA28" t="str">
            <v>T</v>
          </cell>
          <cell r="AB28" t="str">
            <v>T</v>
          </cell>
          <cell r="AC28" t="str">
            <v>T</v>
          </cell>
          <cell r="AD28" t="str">
            <v>DL</v>
          </cell>
          <cell r="AE28" t="str">
            <v>DL</v>
          </cell>
          <cell r="AF28" t="str">
            <v>DL</v>
          </cell>
          <cell r="AG28" t="str">
            <v>DL</v>
          </cell>
          <cell r="AH28" t="str">
            <v>DL</v>
          </cell>
          <cell r="AI28" t="str">
            <v>DL</v>
          </cell>
          <cell r="AJ28" t="str">
            <v>DL</v>
          </cell>
          <cell r="AK28" t="str">
            <v>T</v>
          </cell>
          <cell r="AL28">
            <v>0.5</v>
          </cell>
          <cell r="AO28">
            <v>15</v>
          </cell>
          <cell r="AP28">
            <v>13</v>
          </cell>
          <cell r="AQ28">
            <v>0</v>
          </cell>
          <cell r="AR28">
            <v>13</v>
          </cell>
          <cell r="AS28">
            <v>28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28</v>
          </cell>
          <cell r="BB28">
            <v>0</v>
          </cell>
          <cell r="BC28">
            <v>75</v>
          </cell>
          <cell r="BD28">
            <v>60</v>
          </cell>
          <cell r="BE28">
            <v>40</v>
          </cell>
          <cell r="BF28">
            <v>1120</v>
          </cell>
          <cell r="BI28">
            <v>0</v>
          </cell>
          <cell r="BJ28">
            <v>1120</v>
          </cell>
        </row>
        <row r="29">
          <cell r="B29">
            <v>19</v>
          </cell>
          <cell r="C29" t="str">
            <v>BLANCO VALERIO ELIO CESAR</v>
          </cell>
          <cell r="D29">
            <v>39413</v>
          </cell>
          <cell r="E29">
            <v>39897</v>
          </cell>
          <cell r="F29" t="str">
            <v>TERMINO DE OBRA</v>
          </cell>
          <cell r="G29" t="str">
            <v>Ayudante Perforista</v>
          </cell>
          <cell r="H29" t="str">
            <v>ING. CASTILLON</v>
          </cell>
          <cell r="I29" t="str">
            <v>ACTIVO</v>
          </cell>
          <cell r="J29" t="str">
            <v>DL</v>
          </cell>
          <cell r="K29" t="str">
            <v>DL</v>
          </cell>
          <cell r="L29" t="str">
            <v>T</v>
          </cell>
          <cell r="M29" t="str">
            <v>DL</v>
          </cell>
          <cell r="N29" t="str">
            <v>DL</v>
          </cell>
          <cell r="O29" t="str">
            <v>DL</v>
          </cell>
          <cell r="P29" t="str">
            <v>T</v>
          </cell>
          <cell r="Q29" t="str">
            <v>T</v>
          </cell>
          <cell r="R29" t="str">
            <v>T</v>
          </cell>
          <cell r="S29" t="str">
            <v>T</v>
          </cell>
          <cell r="T29" t="str">
            <v>T</v>
          </cell>
          <cell r="U29" t="str">
            <v>T</v>
          </cell>
          <cell r="V29" t="str">
            <v>T</v>
          </cell>
          <cell r="W29" t="str">
            <v>DL</v>
          </cell>
          <cell r="X29" t="str">
            <v>DL</v>
          </cell>
          <cell r="Y29" t="str">
            <v>DL</v>
          </cell>
          <cell r="Z29" t="str">
            <v>DL</v>
          </cell>
          <cell r="AA29" t="str">
            <v>DL</v>
          </cell>
          <cell r="AB29" t="str">
            <v>DL</v>
          </cell>
          <cell r="AC29" t="str">
            <v>DL</v>
          </cell>
          <cell r="AD29" t="str">
            <v>T</v>
          </cell>
          <cell r="AE29" t="str">
            <v>T</v>
          </cell>
          <cell r="AF29" t="str">
            <v>T</v>
          </cell>
          <cell r="AG29" t="str">
            <v>T</v>
          </cell>
          <cell r="AH29" t="str">
            <v>T</v>
          </cell>
          <cell r="AI29" t="str">
            <v>T</v>
          </cell>
          <cell r="AJ29" t="str">
            <v>T</v>
          </cell>
          <cell r="AK29" t="str">
            <v>T</v>
          </cell>
          <cell r="AL29">
            <v>4</v>
          </cell>
          <cell r="AO29">
            <v>16</v>
          </cell>
          <cell r="AP29">
            <v>12</v>
          </cell>
          <cell r="AQ29">
            <v>0</v>
          </cell>
          <cell r="AR29">
            <v>12</v>
          </cell>
          <cell r="AS29">
            <v>28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28</v>
          </cell>
          <cell r="BB29">
            <v>0</v>
          </cell>
          <cell r="BC29">
            <v>80</v>
          </cell>
          <cell r="BD29">
            <v>60</v>
          </cell>
          <cell r="BE29">
            <v>40</v>
          </cell>
          <cell r="BF29">
            <v>1120</v>
          </cell>
          <cell r="BI29">
            <v>0</v>
          </cell>
          <cell r="BJ29">
            <v>1120</v>
          </cell>
        </row>
        <row r="30">
          <cell r="B30">
            <v>20</v>
          </cell>
          <cell r="C30" t="str">
            <v>BORJA VALLE HENRRY SEGUNDINO</v>
          </cell>
          <cell r="D30">
            <v>39320</v>
          </cell>
          <cell r="E30">
            <v>39897</v>
          </cell>
          <cell r="F30" t="str">
            <v>TERMINO DE OBRA</v>
          </cell>
          <cell r="G30" t="str">
            <v>Perforista B</v>
          </cell>
          <cell r="H30" t="str">
            <v>ING. CASTILLON</v>
          </cell>
          <cell r="I30" t="str">
            <v>ACTIVO</v>
          </cell>
          <cell r="J30" t="str">
            <v>T</v>
          </cell>
          <cell r="K30" t="str">
            <v>T</v>
          </cell>
          <cell r="L30" t="str">
            <v>T</v>
          </cell>
          <cell r="M30" t="str">
            <v>T</v>
          </cell>
          <cell r="N30" t="str">
            <v>T</v>
          </cell>
          <cell r="O30" t="str">
            <v>T</v>
          </cell>
          <cell r="P30" t="str">
            <v>F</v>
          </cell>
          <cell r="Q30" t="str">
            <v>S</v>
          </cell>
          <cell r="R30" t="str">
            <v>T</v>
          </cell>
          <cell r="S30" t="str">
            <v>T</v>
          </cell>
          <cell r="T30" t="str">
            <v>T</v>
          </cell>
          <cell r="U30" t="str">
            <v>T</v>
          </cell>
          <cell r="V30" t="str">
            <v>T</v>
          </cell>
          <cell r="W30" t="str">
            <v>DL</v>
          </cell>
          <cell r="X30" t="str">
            <v>DL</v>
          </cell>
          <cell r="Y30" t="str">
            <v>DL</v>
          </cell>
          <cell r="Z30" t="str">
            <v>DL</v>
          </cell>
          <cell r="AA30" t="str">
            <v>DL</v>
          </cell>
          <cell r="AB30" t="str">
            <v>DL</v>
          </cell>
          <cell r="AC30" t="str">
            <v>DL</v>
          </cell>
          <cell r="AD30" t="str">
            <v>T</v>
          </cell>
          <cell r="AE30" t="str">
            <v>T</v>
          </cell>
          <cell r="AF30" t="str">
            <v>T</v>
          </cell>
          <cell r="AG30" t="str">
            <v>T</v>
          </cell>
          <cell r="AH30" t="str">
            <v>T</v>
          </cell>
          <cell r="AI30" t="str">
            <v>T</v>
          </cell>
          <cell r="AJ30" t="str">
            <v>T</v>
          </cell>
          <cell r="AK30" t="str">
            <v>T</v>
          </cell>
          <cell r="AL30">
            <v>4</v>
          </cell>
          <cell r="AO30">
            <v>19</v>
          </cell>
          <cell r="AP30">
            <v>7</v>
          </cell>
          <cell r="AQ30">
            <v>2</v>
          </cell>
          <cell r="AR30">
            <v>6</v>
          </cell>
          <cell r="AS30">
            <v>25</v>
          </cell>
          <cell r="AT30">
            <v>0</v>
          </cell>
          <cell r="AU30">
            <v>0</v>
          </cell>
          <cell r="AV30">
            <v>0</v>
          </cell>
          <cell r="AW30">
            <v>1</v>
          </cell>
          <cell r="AX30">
            <v>1</v>
          </cell>
          <cell r="AY30">
            <v>0</v>
          </cell>
          <cell r="AZ30">
            <v>2</v>
          </cell>
          <cell r="BA30">
            <v>25</v>
          </cell>
          <cell r="BB30">
            <v>0</v>
          </cell>
          <cell r="BC30">
            <v>95</v>
          </cell>
          <cell r="BD30">
            <v>60</v>
          </cell>
          <cell r="BE30">
            <v>45</v>
          </cell>
          <cell r="BF30">
            <v>1125</v>
          </cell>
          <cell r="BI30">
            <v>0</v>
          </cell>
          <cell r="BJ30">
            <v>1125</v>
          </cell>
        </row>
        <row r="31">
          <cell r="B31">
            <v>21</v>
          </cell>
          <cell r="C31" t="str">
            <v>BRUNO ROJAS ELMER RAUL</v>
          </cell>
          <cell r="D31">
            <v>39320</v>
          </cell>
          <cell r="E31">
            <v>39897</v>
          </cell>
          <cell r="F31" t="str">
            <v>TERMINO DE OBRA</v>
          </cell>
          <cell r="G31" t="str">
            <v>Chofer</v>
          </cell>
          <cell r="H31" t="str">
            <v>ING. ORIUNDO</v>
          </cell>
          <cell r="I31" t="str">
            <v>ACTIVO</v>
          </cell>
          <cell r="J31" t="str">
            <v>T</v>
          </cell>
          <cell r="K31" t="str">
            <v>T</v>
          </cell>
          <cell r="L31" t="str">
            <v>T</v>
          </cell>
          <cell r="M31" t="str">
            <v>T</v>
          </cell>
          <cell r="N31" t="str">
            <v>T</v>
          </cell>
          <cell r="O31" t="str">
            <v>T</v>
          </cell>
          <cell r="P31" t="str">
            <v>DL</v>
          </cell>
          <cell r="Q31" t="str">
            <v>DL</v>
          </cell>
          <cell r="R31" t="str">
            <v>DL</v>
          </cell>
          <cell r="S31" t="str">
            <v>DL</v>
          </cell>
          <cell r="T31" t="str">
            <v>DL</v>
          </cell>
          <cell r="U31" t="str">
            <v>DL</v>
          </cell>
          <cell r="V31" t="str">
            <v>DL</v>
          </cell>
          <cell r="W31" t="str">
            <v>T</v>
          </cell>
          <cell r="X31" t="str">
            <v>T</v>
          </cell>
          <cell r="Y31" t="str">
            <v>T</v>
          </cell>
          <cell r="Z31" t="str">
            <v>T</v>
          </cell>
          <cell r="AA31" t="str">
            <v>T</v>
          </cell>
          <cell r="AB31" t="str">
            <v>T</v>
          </cell>
          <cell r="AC31" t="str">
            <v>T</v>
          </cell>
          <cell r="AD31" t="str">
            <v>T</v>
          </cell>
          <cell r="AE31" t="str">
            <v>T</v>
          </cell>
          <cell r="AF31" t="str">
            <v>T</v>
          </cell>
          <cell r="AG31" t="str">
            <v>T</v>
          </cell>
          <cell r="AH31" t="str">
            <v>T</v>
          </cell>
          <cell r="AI31" t="str">
            <v>T</v>
          </cell>
          <cell r="AJ31" t="str">
            <v>T</v>
          </cell>
          <cell r="AK31" t="str">
            <v>DL</v>
          </cell>
          <cell r="AL31">
            <v>6</v>
          </cell>
          <cell r="AO31">
            <v>20</v>
          </cell>
          <cell r="AP31">
            <v>8</v>
          </cell>
          <cell r="AQ31">
            <v>0</v>
          </cell>
          <cell r="AR31">
            <v>8</v>
          </cell>
          <cell r="AS31">
            <v>28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28</v>
          </cell>
          <cell r="BB31">
            <v>0</v>
          </cell>
          <cell r="BC31">
            <v>100</v>
          </cell>
          <cell r="BD31">
            <v>60</v>
          </cell>
          <cell r="BE31">
            <v>40</v>
          </cell>
          <cell r="BF31">
            <v>1120</v>
          </cell>
          <cell r="BI31">
            <v>0</v>
          </cell>
          <cell r="BJ31">
            <v>1120</v>
          </cell>
        </row>
        <row r="32">
          <cell r="B32">
            <v>22</v>
          </cell>
          <cell r="C32" t="str">
            <v>CABELLO FERNANDEZ JAIME MAYER</v>
          </cell>
          <cell r="D32">
            <v>39418</v>
          </cell>
          <cell r="E32">
            <v>39897</v>
          </cell>
          <cell r="F32" t="str">
            <v>TERMINO DE OBRA</v>
          </cell>
          <cell r="G32" t="str">
            <v>Ayudante Perforista</v>
          </cell>
          <cell r="H32" t="str">
            <v>ING. ACERO</v>
          </cell>
          <cell r="I32" t="str">
            <v>ACTIVO</v>
          </cell>
          <cell r="J32" t="str">
            <v>V</v>
          </cell>
          <cell r="K32" t="str">
            <v>V</v>
          </cell>
          <cell r="L32" t="str">
            <v>V</v>
          </cell>
          <cell r="M32" t="str">
            <v>V</v>
          </cell>
          <cell r="N32" t="str">
            <v>V</v>
          </cell>
          <cell r="O32" t="str">
            <v>V</v>
          </cell>
          <cell r="P32" t="str">
            <v>V</v>
          </cell>
          <cell r="Q32" t="str">
            <v>V</v>
          </cell>
          <cell r="R32" t="str">
            <v>V</v>
          </cell>
          <cell r="S32" t="str">
            <v>V</v>
          </cell>
          <cell r="T32" t="str">
            <v>V</v>
          </cell>
          <cell r="U32" t="str">
            <v>V</v>
          </cell>
          <cell r="V32" t="str">
            <v>V</v>
          </cell>
          <cell r="W32" t="str">
            <v>V</v>
          </cell>
          <cell r="X32" t="str">
            <v>V</v>
          </cell>
          <cell r="Y32" t="str">
            <v>V</v>
          </cell>
          <cell r="Z32" t="str">
            <v>V</v>
          </cell>
          <cell r="AA32" t="str">
            <v>V</v>
          </cell>
          <cell r="AB32" t="str">
            <v>V</v>
          </cell>
          <cell r="AC32" t="str">
            <v>V</v>
          </cell>
          <cell r="AD32" t="str">
            <v>V</v>
          </cell>
          <cell r="AE32" t="str">
            <v>V</v>
          </cell>
          <cell r="AF32" t="str">
            <v>V</v>
          </cell>
          <cell r="AG32" t="str">
            <v>V</v>
          </cell>
          <cell r="AH32" t="str">
            <v>V</v>
          </cell>
          <cell r="AI32" t="str">
            <v>V</v>
          </cell>
          <cell r="AJ32" t="str">
            <v>V</v>
          </cell>
          <cell r="AK32" t="str">
            <v>V</v>
          </cell>
          <cell r="AL32">
            <v>5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28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60</v>
          </cell>
          <cell r="BE32">
            <v>40</v>
          </cell>
          <cell r="BF32">
            <v>0</v>
          </cell>
          <cell r="BI32">
            <v>0</v>
          </cell>
          <cell r="BJ32">
            <v>0</v>
          </cell>
        </row>
        <row r="33">
          <cell r="B33">
            <v>23</v>
          </cell>
          <cell r="C33" t="str">
            <v>CABELLO PALPA,JOSE LUIS</v>
          </cell>
          <cell r="D33">
            <v>39480</v>
          </cell>
          <cell r="E33">
            <v>39897</v>
          </cell>
          <cell r="F33" t="str">
            <v>TERMINO DE OBRA</v>
          </cell>
          <cell r="G33" t="str">
            <v>Ayudante Perforista</v>
          </cell>
          <cell r="H33" t="str">
            <v>ING. ACERO</v>
          </cell>
          <cell r="I33" t="str">
            <v>ACTIVO</v>
          </cell>
          <cell r="J33" t="str">
            <v>DL</v>
          </cell>
          <cell r="K33" t="str">
            <v>DL</v>
          </cell>
          <cell r="L33" t="str">
            <v>DL</v>
          </cell>
          <cell r="M33" t="str">
            <v>DL</v>
          </cell>
          <cell r="N33" t="str">
            <v>DL</v>
          </cell>
          <cell r="O33" t="str">
            <v>DL</v>
          </cell>
          <cell r="P33" t="str">
            <v>T</v>
          </cell>
          <cell r="Q33" t="str">
            <v>T</v>
          </cell>
          <cell r="R33" t="str">
            <v>T</v>
          </cell>
          <cell r="S33" t="str">
            <v>T</v>
          </cell>
          <cell r="T33" t="str">
            <v>T</v>
          </cell>
          <cell r="U33" t="str">
            <v>T</v>
          </cell>
          <cell r="V33" t="str">
            <v>T</v>
          </cell>
          <cell r="W33" t="str">
            <v>T</v>
          </cell>
          <cell r="X33" t="str">
            <v>T</v>
          </cell>
          <cell r="Y33" t="str">
            <v>T</v>
          </cell>
          <cell r="Z33" t="str">
            <v>T</v>
          </cell>
          <cell r="AA33" t="str">
            <v>T</v>
          </cell>
          <cell r="AB33" t="str">
            <v>T</v>
          </cell>
          <cell r="AC33" t="str">
            <v>T</v>
          </cell>
          <cell r="AD33" t="str">
            <v>DL</v>
          </cell>
          <cell r="AE33" t="str">
            <v>DL</v>
          </cell>
          <cell r="AF33" t="str">
            <v>DL</v>
          </cell>
          <cell r="AG33" t="str">
            <v>DL</v>
          </cell>
          <cell r="AH33" t="str">
            <v>DL</v>
          </cell>
          <cell r="AI33" t="str">
            <v>DL</v>
          </cell>
          <cell r="AJ33" t="str">
            <v>DL</v>
          </cell>
          <cell r="AK33" t="str">
            <v>T</v>
          </cell>
          <cell r="AL33">
            <v>0.5</v>
          </cell>
          <cell r="AO33">
            <v>15</v>
          </cell>
          <cell r="AP33">
            <v>13</v>
          </cell>
          <cell r="AQ33">
            <v>0</v>
          </cell>
          <cell r="AR33">
            <v>13</v>
          </cell>
          <cell r="AS33">
            <v>28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28</v>
          </cell>
          <cell r="BB33">
            <v>0</v>
          </cell>
          <cell r="BC33">
            <v>75</v>
          </cell>
          <cell r="BD33">
            <v>60</v>
          </cell>
          <cell r="BE33">
            <v>40</v>
          </cell>
          <cell r="BF33">
            <v>1120</v>
          </cell>
          <cell r="BI33">
            <v>0</v>
          </cell>
          <cell r="BJ33">
            <v>1120</v>
          </cell>
        </row>
        <row r="34">
          <cell r="B34">
            <v>24</v>
          </cell>
          <cell r="C34" t="str">
            <v>CALDERON MINA ROGER</v>
          </cell>
          <cell r="D34">
            <v>39392</v>
          </cell>
          <cell r="E34">
            <v>39897</v>
          </cell>
          <cell r="F34" t="str">
            <v>TERMINO DE OBRA</v>
          </cell>
          <cell r="G34" t="str">
            <v>Perforista A</v>
          </cell>
          <cell r="H34" t="str">
            <v>ING. CASTILLON</v>
          </cell>
          <cell r="I34" t="str">
            <v>ACTIVO</v>
          </cell>
          <cell r="J34" t="str">
            <v>DL</v>
          </cell>
          <cell r="K34" t="str">
            <v>DL</v>
          </cell>
          <cell r="L34" t="str">
            <v>DL</v>
          </cell>
          <cell r="M34" t="str">
            <v>DL</v>
          </cell>
          <cell r="N34" t="str">
            <v>DL</v>
          </cell>
          <cell r="O34" t="str">
            <v>T</v>
          </cell>
          <cell r="P34" t="str">
            <v>T</v>
          </cell>
          <cell r="Q34" t="str">
            <v>T</v>
          </cell>
          <cell r="R34" t="str">
            <v>T</v>
          </cell>
          <cell r="S34" t="str">
            <v>T</v>
          </cell>
          <cell r="T34" t="str">
            <v>T</v>
          </cell>
          <cell r="U34" t="str">
            <v>T</v>
          </cell>
          <cell r="V34" t="str">
            <v>T</v>
          </cell>
          <cell r="W34" t="str">
            <v>DL</v>
          </cell>
          <cell r="X34" t="str">
            <v>DL</v>
          </cell>
          <cell r="Y34" t="str">
            <v>DL</v>
          </cell>
          <cell r="Z34" t="str">
            <v>DL</v>
          </cell>
          <cell r="AA34" t="str">
            <v>DL</v>
          </cell>
          <cell r="AB34" t="str">
            <v>DL</v>
          </cell>
          <cell r="AC34" t="str">
            <v>DL</v>
          </cell>
          <cell r="AD34" t="str">
            <v>T</v>
          </cell>
          <cell r="AE34" t="str">
            <v>T</v>
          </cell>
          <cell r="AF34" t="str">
            <v>T</v>
          </cell>
          <cell r="AG34" t="str">
            <v>T</v>
          </cell>
          <cell r="AH34" t="str">
            <v>T</v>
          </cell>
          <cell r="AI34" t="str">
            <v>T</v>
          </cell>
          <cell r="AJ34" t="str">
            <v>T</v>
          </cell>
          <cell r="AK34" t="str">
            <v>T</v>
          </cell>
          <cell r="AL34">
            <v>4</v>
          </cell>
          <cell r="AO34">
            <v>16</v>
          </cell>
          <cell r="AP34">
            <v>12</v>
          </cell>
          <cell r="AQ34">
            <v>0</v>
          </cell>
          <cell r="AR34">
            <v>12</v>
          </cell>
          <cell r="AS34">
            <v>28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28</v>
          </cell>
          <cell r="BB34">
            <v>0</v>
          </cell>
          <cell r="BC34">
            <v>80</v>
          </cell>
          <cell r="BD34">
            <v>60</v>
          </cell>
          <cell r="BE34">
            <v>50</v>
          </cell>
          <cell r="BF34">
            <v>1400</v>
          </cell>
          <cell r="BI34">
            <v>0</v>
          </cell>
          <cell r="BJ34">
            <v>1400</v>
          </cell>
        </row>
        <row r="35">
          <cell r="B35">
            <v>25</v>
          </cell>
          <cell r="C35" t="str">
            <v>CALZADA REYNOSO HUGO WILMER</v>
          </cell>
          <cell r="D35">
            <v>39324</v>
          </cell>
          <cell r="E35">
            <v>39897</v>
          </cell>
          <cell r="F35" t="str">
            <v>TERMINO DE OBRA</v>
          </cell>
          <cell r="G35" t="str">
            <v>Perforista A</v>
          </cell>
          <cell r="H35" t="str">
            <v>ING. ORIUNDO</v>
          </cell>
          <cell r="I35" t="str">
            <v>ACTIVO</v>
          </cell>
          <cell r="J35" t="str">
            <v>T</v>
          </cell>
          <cell r="K35" t="str">
            <v>T</v>
          </cell>
          <cell r="L35" t="str">
            <v>T</v>
          </cell>
          <cell r="M35" t="str">
            <v>S</v>
          </cell>
          <cell r="N35" t="str">
            <v>T</v>
          </cell>
          <cell r="O35" t="str">
            <v>T</v>
          </cell>
          <cell r="P35" t="str">
            <v>DL</v>
          </cell>
          <cell r="Q35" t="str">
            <v>DL</v>
          </cell>
          <cell r="R35" t="str">
            <v>DL</v>
          </cell>
          <cell r="S35" t="str">
            <v>DL</v>
          </cell>
          <cell r="T35" t="str">
            <v>DL</v>
          </cell>
          <cell r="U35" t="str">
            <v>DL</v>
          </cell>
          <cell r="V35" t="str">
            <v>DL</v>
          </cell>
          <cell r="W35" t="str">
            <v>T</v>
          </cell>
          <cell r="X35" t="str">
            <v>T</v>
          </cell>
          <cell r="Y35" t="str">
            <v>T</v>
          </cell>
          <cell r="Z35" t="str">
            <v>T</v>
          </cell>
          <cell r="AA35" t="str">
            <v>T</v>
          </cell>
          <cell r="AB35" t="str">
            <v>T</v>
          </cell>
          <cell r="AC35" t="str">
            <v>T</v>
          </cell>
          <cell r="AD35" t="str">
            <v>T</v>
          </cell>
          <cell r="AE35" t="str">
            <v>T</v>
          </cell>
          <cell r="AF35" t="str">
            <v>T</v>
          </cell>
          <cell r="AG35" t="str">
            <v>T</v>
          </cell>
          <cell r="AH35" t="str">
            <v>T</v>
          </cell>
          <cell r="AI35" t="str">
            <v>T</v>
          </cell>
          <cell r="AJ35" t="str">
            <v>T</v>
          </cell>
          <cell r="AK35" t="str">
            <v>DL</v>
          </cell>
          <cell r="AL35">
            <v>6</v>
          </cell>
          <cell r="AO35">
            <v>19</v>
          </cell>
          <cell r="AP35">
            <v>8</v>
          </cell>
          <cell r="AQ35">
            <v>1</v>
          </cell>
          <cell r="AR35">
            <v>7.5</v>
          </cell>
          <cell r="AS35">
            <v>26.5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1</v>
          </cell>
          <cell r="AY35">
            <v>0</v>
          </cell>
          <cell r="AZ35">
            <v>1</v>
          </cell>
          <cell r="BA35">
            <v>26.5</v>
          </cell>
          <cell r="BB35">
            <v>0</v>
          </cell>
          <cell r="BC35">
            <v>95</v>
          </cell>
          <cell r="BD35">
            <v>60</v>
          </cell>
          <cell r="BE35">
            <v>50</v>
          </cell>
          <cell r="BF35">
            <v>1325</v>
          </cell>
          <cell r="BI35">
            <v>0</v>
          </cell>
          <cell r="BJ35">
            <v>1325</v>
          </cell>
        </row>
        <row r="36">
          <cell r="B36">
            <v>26</v>
          </cell>
          <cell r="C36" t="str">
            <v>CAMPOS ILDELFONSO CLEVER EDGAR</v>
          </cell>
          <cell r="D36">
            <v>39418</v>
          </cell>
          <cell r="E36">
            <v>39897</v>
          </cell>
          <cell r="F36" t="str">
            <v>TERMINO DE OBRA</v>
          </cell>
          <cell r="G36" t="str">
            <v>Perforista B</v>
          </cell>
          <cell r="H36" t="str">
            <v>ING. ACERO</v>
          </cell>
          <cell r="I36" t="str">
            <v>ACTIVO</v>
          </cell>
          <cell r="J36" t="str">
            <v>V</v>
          </cell>
          <cell r="K36" t="str">
            <v>V</v>
          </cell>
          <cell r="L36" t="str">
            <v>V</v>
          </cell>
          <cell r="M36" t="str">
            <v>V</v>
          </cell>
          <cell r="N36" t="str">
            <v>V</v>
          </cell>
          <cell r="O36" t="str">
            <v>V</v>
          </cell>
          <cell r="P36" t="str">
            <v>V</v>
          </cell>
          <cell r="Q36" t="str">
            <v>V</v>
          </cell>
          <cell r="R36" t="str">
            <v>V</v>
          </cell>
          <cell r="S36" t="str">
            <v>V</v>
          </cell>
          <cell r="T36" t="str">
            <v>V</v>
          </cell>
          <cell r="U36" t="str">
            <v>V</v>
          </cell>
          <cell r="V36" t="str">
            <v>V</v>
          </cell>
          <cell r="W36" t="str">
            <v>V</v>
          </cell>
          <cell r="X36" t="str">
            <v>V</v>
          </cell>
          <cell r="Y36" t="str">
            <v>V</v>
          </cell>
          <cell r="Z36" t="str">
            <v>V</v>
          </cell>
          <cell r="AA36" t="str">
            <v>V</v>
          </cell>
          <cell r="AB36" t="str">
            <v>V</v>
          </cell>
          <cell r="AC36" t="str">
            <v>V</v>
          </cell>
          <cell r="AD36" t="str">
            <v>V</v>
          </cell>
          <cell r="AE36" t="str">
            <v>V</v>
          </cell>
          <cell r="AF36" t="str">
            <v>V</v>
          </cell>
          <cell r="AG36" t="str">
            <v>V</v>
          </cell>
          <cell r="AH36" t="str">
            <v>V</v>
          </cell>
          <cell r="AI36" t="str">
            <v>V</v>
          </cell>
          <cell r="AJ36" t="str">
            <v>V</v>
          </cell>
          <cell r="AK36" t="str">
            <v>V</v>
          </cell>
          <cell r="AL36">
            <v>5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28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60</v>
          </cell>
          <cell r="BE36">
            <v>45</v>
          </cell>
          <cell r="BF36">
            <v>0</v>
          </cell>
          <cell r="BI36">
            <v>0</v>
          </cell>
          <cell r="BJ36">
            <v>0</v>
          </cell>
        </row>
        <row r="37">
          <cell r="B37">
            <v>27</v>
          </cell>
          <cell r="C37" t="str">
            <v>CAPCHA MALPARTIDA ROBERT JHONY</v>
          </cell>
          <cell r="D37">
            <v>39480</v>
          </cell>
          <cell r="E37">
            <v>39897</v>
          </cell>
          <cell r="F37" t="str">
            <v>TERMINO DE OBRA</v>
          </cell>
          <cell r="G37" t="str">
            <v>Enmaderador</v>
          </cell>
          <cell r="H37" t="str">
            <v>ING. CASTILLON</v>
          </cell>
          <cell r="I37" t="str">
            <v>ACTIVO</v>
          </cell>
          <cell r="J37" t="str">
            <v>T</v>
          </cell>
          <cell r="K37" t="str">
            <v>T</v>
          </cell>
          <cell r="L37" t="str">
            <v>T</v>
          </cell>
          <cell r="M37" t="str">
            <v>T</v>
          </cell>
          <cell r="N37" t="str">
            <v>T</v>
          </cell>
          <cell r="O37" t="str">
            <v>T</v>
          </cell>
          <cell r="P37" t="str">
            <v>T</v>
          </cell>
          <cell r="Q37" t="str">
            <v>T</v>
          </cell>
          <cell r="R37" t="str">
            <v>T</v>
          </cell>
          <cell r="S37" t="str">
            <v>T</v>
          </cell>
          <cell r="T37" t="str">
            <v>T</v>
          </cell>
          <cell r="U37" t="str">
            <v>T</v>
          </cell>
          <cell r="V37" t="str">
            <v>T</v>
          </cell>
          <cell r="W37" t="str">
            <v>DL</v>
          </cell>
          <cell r="X37" t="str">
            <v>DL</v>
          </cell>
          <cell r="Y37" t="str">
            <v>DL</v>
          </cell>
          <cell r="Z37" t="str">
            <v>DL</v>
          </cell>
          <cell r="AA37" t="str">
            <v>DL</v>
          </cell>
          <cell r="AB37" t="str">
            <v>DL</v>
          </cell>
          <cell r="AC37" t="str">
            <v>DL</v>
          </cell>
          <cell r="AD37" t="str">
            <v>T</v>
          </cell>
          <cell r="AE37" t="str">
            <v>T</v>
          </cell>
          <cell r="AF37" t="str">
            <v>T</v>
          </cell>
          <cell r="AG37" t="str">
            <v>T</v>
          </cell>
          <cell r="AH37" t="str">
            <v>T</v>
          </cell>
          <cell r="AI37" t="str">
            <v>T</v>
          </cell>
          <cell r="AJ37" t="str">
            <v>T</v>
          </cell>
          <cell r="AK37" t="str">
            <v>T</v>
          </cell>
          <cell r="AL37">
            <v>4</v>
          </cell>
          <cell r="AO37">
            <v>21</v>
          </cell>
          <cell r="AP37">
            <v>7</v>
          </cell>
          <cell r="AQ37">
            <v>0</v>
          </cell>
          <cell r="AR37">
            <v>7</v>
          </cell>
          <cell r="AS37">
            <v>28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28</v>
          </cell>
          <cell r="BB37">
            <v>0</v>
          </cell>
          <cell r="BC37">
            <v>105</v>
          </cell>
          <cell r="BD37">
            <v>60</v>
          </cell>
          <cell r="BE37">
            <v>45</v>
          </cell>
          <cell r="BF37">
            <v>1260</v>
          </cell>
          <cell r="BI37">
            <v>0</v>
          </cell>
          <cell r="BJ37">
            <v>1260</v>
          </cell>
        </row>
        <row r="38">
          <cell r="B38">
            <v>28</v>
          </cell>
          <cell r="C38" t="str">
            <v>CASIMIRO JULCA  RUBEN MILLER</v>
          </cell>
          <cell r="D38">
            <v>39666</v>
          </cell>
          <cell r="E38">
            <v>39897</v>
          </cell>
          <cell r="F38" t="str">
            <v>TERMINO DE OBRA</v>
          </cell>
          <cell r="G38" t="str">
            <v>Ayudante Perforista</v>
          </cell>
          <cell r="H38" t="str">
            <v>ING. ACERO</v>
          </cell>
          <cell r="I38" t="str">
            <v>ACTIVO</v>
          </cell>
          <cell r="J38" t="str">
            <v>DL</v>
          </cell>
          <cell r="K38" t="str">
            <v>DL</v>
          </cell>
          <cell r="L38" t="str">
            <v>DL</v>
          </cell>
          <cell r="M38" t="str">
            <v>DL</v>
          </cell>
          <cell r="N38" t="str">
            <v>DL</v>
          </cell>
          <cell r="O38" t="str">
            <v>DL</v>
          </cell>
          <cell r="P38" t="str">
            <v>T</v>
          </cell>
          <cell r="Q38" t="str">
            <v>T</v>
          </cell>
          <cell r="R38" t="str">
            <v>T</v>
          </cell>
          <cell r="S38" t="str">
            <v>T</v>
          </cell>
          <cell r="T38" t="str">
            <v>T</v>
          </cell>
          <cell r="U38" t="str">
            <v>T</v>
          </cell>
          <cell r="V38" t="str">
            <v>T</v>
          </cell>
          <cell r="W38" t="str">
            <v>PER</v>
          </cell>
          <cell r="X38" t="str">
            <v>PER</v>
          </cell>
          <cell r="Y38" t="str">
            <v>T</v>
          </cell>
          <cell r="Z38" t="str">
            <v>T</v>
          </cell>
          <cell r="AA38" t="str">
            <v>T</v>
          </cell>
          <cell r="AB38" t="str">
            <v>T</v>
          </cell>
          <cell r="AC38" t="str">
            <v>T</v>
          </cell>
          <cell r="AD38" t="str">
            <v>DL</v>
          </cell>
          <cell r="AE38" t="str">
            <v>DL</v>
          </cell>
          <cell r="AF38" t="str">
            <v>DL</v>
          </cell>
          <cell r="AG38" t="str">
            <v>DL</v>
          </cell>
          <cell r="AH38" t="str">
            <v>DL</v>
          </cell>
          <cell r="AI38" t="str">
            <v>DL</v>
          </cell>
          <cell r="AJ38" t="str">
            <v>DL</v>
          </cell>
          <cell r="AK38" t="str">
            <v>T</v>
          </cell>
          <cell r="AL38">
            <v>0.5</v>
          </cell>
          <cell r="AO38">
            <v>13</v>
          </cell>
          <cell r="AP38">
            <v>13</v>
          </cell>
          <cell r="AQ38">
            <v>0</v>
          </cell>
          <cell r="AR38">
            <v>13</v>
          </cell>
          <cell r="AS38">
            <v>26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2</v>
          </cell>
          <cell r="AZ38">
            <v>2</v>
          </cell>
          <cell r="BA38">
            <v>26</v>
          </cell>
          <cell r="BB38">
            <v>0</v>
          </cell>
          <cell r="BC38">
            <v>65</v>
          </cell>
          <cell r="BD38">
            <v>60</v>
          </cell>
          <cell r="BE38">
            <v>40</v>
          </cell>
          <cell r="BF38">
            <v>1040</v>
          </cell>
          <cell r="BI38">
            <v>0</v>
          </cell>
          <cell r="BJ38">
            <v>1040</v>
          </cell>
        </row>
        <row r="39">
          <cell r="B39">
            <v>29</v>
          </cell>
          <cell r="C39" t="str">
            <v>CCANA  ROJO  PAUL</v>
          </cell>
          <cell r="D39">
            <v>39326</v>
          </cell>
          <cell r="E39">
            <v>39897</v>
          </cell>
          <cell r="F39" t="str">
            <v>TERMINO DE OBRA</v>
          </cell>
          <cell r="G39" t="str">
            <v>Operador de scoop A</v>
          </cell>
          <cell r="H39" t="str">
            <v>ING. ORIUNDO</v>
          </cell>
          <cell r="I39" t="str">
            <v>ACTIVO</v>
          </cell>
          <cell r="J39" t="str">
            <v>T</v>
          </cell>
          <cell r="K39" t="str">
            <v>T</v>
          </cell>
          <cell r="L39" t="str">
            <v>T</v>
          </cell>
          <cell r="M39" t="str">
            <v>T</v>
          </cell>
          <cell r="N39" t="str">
            <v>T</v>
          </cell>
          <cell r="O39" t="str">
            <v>T</v>
          </cell>
          <cell r="P39" t="str">
            <v>DL</v>
          </cell>
          <cell r="Q39" t="str">
            <v>DL</v>
          </cell>
          <cell r="R39" t="str">
            <v>DL</v>
          </cell>
          <cell r="S39" t="str">
            <v>DL</v>
          </cell>
          <cell r="T39" t="str">
            <v>DL</v>
          </cell>
          <cell r="U39" t="str">
            <v>DL</v>
          </cell>
          <cell r="V39" t="str">
            <v>DL</v>
          </cell>
          <cell r="W39" t="str">
            <v>T</v>
          </cell>
          <cell r="X39" t="str">
            <v>T</v>
          </cell>
          <cell r="Y39" t="str">
            <v>T</v>
          </cell>
          <cell r="Z39" t="str">
            <v>T</v>
          </cell>
          <cell r="AA39" t="str">
            <v>T</v>
          </cell>
          <cell r="AB39" t="str">
            <v>T</v>
          </cell>
          <cell r="AC39" t="str">
            <v>T</v>
          </cell>
          <cell r="AD39" t="str">
            <v>T</v>
          </cell>
          <cell r="AE39" t="str">
            <v>T</v>
          </cell>
          <cell r="AF39" t="str">
            <v>T</v>
          </cell>
          <cell r="AG39" t="str">
            <v>T</v>
          </cell>
          <cell r="AH39" t="str">
            <v>T</v>
          </cell>
          <cell r="AI39" t="str">
            <v>T</v>
          </cell>
          <cell r="AJ39" t="str">
            <v>T</v>
          </cell>
          <cell r="AK39" t="str">
            <v>DL</v>
          </cell>
          <cell r="AL39">
            <v>6</v>
          </cell>
          <cell r="AO39">
            <v>20</v>
          </cell>
          <cell r="AP39">
            <v>8</v>
          </cell>
          <cell r="AQ39">
            <v>0</v>
          </cell>
          <cell r="AR39">
            <v>8</v>
          </cell>
          <cell r="AS39">
            <v>28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28</v>
          </cell>
          <cell r="BB39">
            <v>0</v>
          </cell>
          <cell r="BC39">
            <v>100</v>
          </cell>
          <cell r="BD39">
            <v>60</v>
          </cell>
          <cell r="BE39">
            <v>55</v>
          </cell>
          <cell r="BF39">
            <v>1540</v>
          </cell>
          <cell r="BI39">
            <v>0</v>
          </cell>
          <cell r="BJ39">
            <v>1540</v>
          </cell>
        </row>
        <row r="40">
          <cell r="B40">
            <v>30</v>
          </cell>
          <cell r="C40" t="str">
            <v>CHAUPIN CALLUPE DANIEL FRANCISCO</v>
          </cell>
          <cell r="D40">
            <v>39367</v>
          </cell>
          <cell r="E40">
            <v>39897</v>
          </cell>
          <cell r="F40" t="str">
            <v>TERMINO DE OBRA</v>
          </cell>
          <cell r="G40" t="str">
            <v>Enmaderador</v>
          </cell>
          <cell r="H40" t="str">
            <v>ING. CASTILLON</v>
          </cell>
          <cell r="I40" t="str">
            <v>ACTIVO</v>
          </cell>
          <cell r="J40" t="str">
            <v>T</v>
          </cell>
          <cell r="K40" t="str">
            <v>T</v>
          </cell>
          <cell r="L40" t="str">
            <v>T</v>
          </cell>
          <cell r="M40" t="str">
            <v>T</v>
          </cell>
          <cell r="N40" t="str">
            <v>T</v>
          </cell>
          <cell r="O40" t="str">
            <v>T</v>
          </cell>
          <cell r="P40" t="str">
            <v>T</v>
          </cell>
          <cell r="Q40" t="str">
            <v>T</v>
          </cell>
          <cell r="R40" t="str">
            <v>T</v>
          </cell>
          <cell r="S40" t="str">
            <v>T</v>
          </cell>
          <cell r="T40" t="str">
            <v>T</v>
          </cell>
          <cell r="U40" t="str">
            <v>T</v>
          </cell>
          <cell r="V40" t="str">
            <v>T</v>
          </cell>
          <cell r="W40" t="str">
            <v>DL</v>
          </cell>
          <cell r="X40" t="str">
            <v>DL</v>
          </cell>
          <cell r="Y40" t="str">
            <v>DL</v>
          </cell>
          <cell r="Z40" t="str">
            <v>DL</v>
          </cell>
          <cell r="AA40" t="str">
            <v>DL</v>
          </cell>
          <cell r="AB40" t="str">
            <v>DL</v>
          </cell>
          <cell r="AC40" t="str">
            <v>DL</v>
          </cell>
          <cell r="AD40" t="str">
            <v>T</v>
          </cell>
          <cell r="AE40" t="str">
            <v>T</v>
          </cell>
          <cell r="AF40" t="str">
            <v>T</v>
          </cell>
          <cell r="AG40" t="str">
            <v>T</v>
          </cell>
          <cell r="AH40" t="str">
            <v>T</v>
          </cell>
          <cell r="AI40" t="str">
            <v>T</v>
          </cell>
          <cell r="AJ40" t="str">
            <v>T</v>
          </cell>
          <cell r="AK40" t="str">
            <v>T</v>
          </cell>
          <cell r="AL40">
            <v>4</v>
          </cell>
          <cell r="AO40">
            <v>21</v>
          </cell>
          <cell r="AP40">
            <v>7</v>
          </cell>
          <cell r="AQ40">
            <v>0</v>
          </cell>
          <cell r="AR40">
            <v>7</v>
          </cell>
          <cell r="AS40">
            <v>28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28</v>
          </cell>
          <cell r="BB40">
            <v>0</v>
          </cell>
          <cell r="BC40">
            <v>105</v>
          </cell>
          <cell r="BD40">
            <v>60</v>
          </cell>
          <cell r="BE40">
            <v>45</v>
          </cell>
          <cell r="BF40">
            <v>1260</v>
          </cell>
          <cell r="BI40">
            <v>0</v>
          </cell>
          <cell r="BJ40">
            <v>1260</v>
          </cell>
        </row>
        <row r="41">
          <cell r="B41">
            <v>31</v>
          </cell>
          <cell r="C41" t="str">
            <v>CHAVEZ PORRAS ALVINO</v>
          </cell>
          <cell r="D41">
            <v>39344</v>
          </cell>
          <cell r="E41">
            <v>39897</v>
          </cell>
          <cell r="F41" t="str">
            <v>TERMINO DE OBRA</v>
          </cell>
          <cell r="G41" t="str">
            <v>Perforista B</v>
          </cell>
          <cell r="H41" t="str">
            <v>ING. CASTILLON</v>
          </cell>
          <cell r="I41" t="str">
            <v>ACTIVO</v>
          </cell>
          <cell r="J41" t="str">
            <v>T</v>
          </cell>
          <cell r="K41" t="str">
            <v>T</v>
          </cell>
          <cell r="L41" t="str">
            <v>T</v>
          </cell>
          <cell r="M41" t="str">
            <v>T</v>
          </cell>
          <cell r="N41" t="str">
            <v>T</v>
          </cell>
          <cell r="O41" t="str">
            <v>T</v>
          </cell>
          <cell r="P41" t="str">
            <v>T</v>
          </cell>
          <cell r="Q41" t="str">
            <v>T</v>
          </cell>
          <cell r="R41" t="str">
            <v>T</v>
          </cell>
          <cell r="S41" t="str">
            <v>T</v>
          </cell>
          <cell r="T41" t="str">
            <v>T</v>
          </cell>
          <cell r="U41" t="str">
            <v>T</v>
          </cell>
          <cell r="V41" t="str">
            <v>T</v>
          </cell>
          <cell r="W41" t="str">
            <v>DL</v>
          </cell>
          <cell r="X41" t="str">
            <v>DL</v>
          </cell>
          <cell r="Y41" t="str">
            <v>DL</v>
          </cell>
          <cell r="Z41" t="str">
            <v>DL</v>
          </cell>
          <cell r="AA41" t="str">
            <v>DL</v>
          </cell>
          <cell r="AB41" t="str">
            <v>DL</v>
          </cell>
          <cell r="AC41" t="str">
            <v>DL</v>
          </cell>
          <cell r="AD41" t="str">
            <v>T</v>
          </cell>
          <cell r="AE41" t="str">
            <v>T</v>
          </cell>
          <cell r="AF41" t="str">
            <v>T</v>
          </cell>
          <cell r="AG41" t="str">
            <v>T</v>
          </cell>
          <cell r="AH41" t="str">
            <v>T</v>
          </cell>
          <cell r="AI41" t="str">
            <v>T</v>
          </cell>
          <cell r="AJ41" t="str">
            <v>T</v>
          </cell>
          <cell r="AK41" t="str">
            <v>T</v>
          </cell>
          <cell r="AL41">
            <v>4</v>
          </cell>
          <cell r="AO41">
            <v>21</v>
          </cell>
          <cell r="AP41">
            <v>7</v>
          </cell>
          <cell r="AQ41">
            <v>0</v>
          </cell>
          <cell r="AR41">
            <v>7</v>
          </cell>
          <cell r="AS41">
            <v>28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28</v>
          </cell>
          <cell r="BB41">
            <v>0</v>
          </cell>
          <cell r="BC41">
            <v>105</v>
          </cell>
          <cell r="BD41">
            <v>60</v>
          </cell>
          <cell r="BE41">
            <v>45</v>
          </cell>
          <cell r="BF41">
            <v>1260</v>
          </cell>
          <cell r="BI41">
            <v>0</v>
          </cell>
          <cell r="BJ41">
            <v>1260</v>
          </cell>
        </row>
        <row r="42">
          <cell r="B42">
            <v>32</v>
          </cell>
          <cell r="C42" t="str">
            <v>CHUPOS TINOCO JOSE ANTONIO</v>
          </cell>
          <cell r="D42">
            <v>39392</v>
          </cell>
          <cell r="E42">
            <v>39897</v>
          </cell>
          <cell r="F42" t="str">
            <v>TERMINO DE OBRA</v>
          </cell>
          <cell r="G42" t="str">
            <v>Ayudante Perforista</v>
          </cell>
          <cell r="H42" t="str">
            <v>ING. CASTILLON</v>
          </cell>
          <cell r="I42" t="str">
            <v>ACTIVO</v>
          </cell>
          <cell r="J42" t="str">
            <v>T</v>
          </cell>
          <cell r="K42" t="str">
            <v>T</v>
          </cell>
          <cell r="L42" t="str">
            <v>T</v>
          </cell>
          <cell r="M42" t="str">
            <v>T</v>
          </cell>
          <cell r="N42" t="str">
            <v>T</v>
          </cell>
          <cell r="O42" t="str">
            <v>T</v>
          </cell>
          <cell r="P42" t="str">
            <v>T</v>
          </cell>
          <cell r="Q42" t="str">
            <v>T</v>
          </cell>
          <cell r="R42" t="str">
            <v>T</v>
          </cell>
          <cell r="S42" t="str">
            <v>T</v>
          </cell>
          <cell r="T42" t="str">
            <v>T</v>
          </cell>
          <cell r="U42" t="str">
            <v>T</v>
          </cell>
          <cell r="V42" t="str">
            <v>T</v>
          </cell>
          <cell r="W42" t="str">
            <v>DL</v>
          </cell>
          <cell r="X42" t="str">
            <v>DL</v>
          </cell>
          <cell r="Y42" t="str">
            <v>DL</v>
          </cell>
          <cell r="Z42" t="str">
            <v>DL</v>
          </cell>
          <cell r="AA42" t="str">
            <v>DL</v>
          </cell>
          <cell r="AB42" t="str">
            <v>DL</v>
          </cell>
          <cell r="AC42" t="str">
            <v>DL</v>
          </cell>
          <cell r="AD42" t="str">
            <v>T</v>
          </cell>
          <cell r="AE42" t="str">
            <v>T</v>
          </cell>
          <cell r="AF42" t="str">
            <v>T</v>
          </cell>
          <cell r="AG42" t="str">
            <v>T</v>
          </cell>
          <cell r="AH42" t="str">
            <v>T</v>
          </cell>
          <cell r="AI42" t="str">
            <v>T</v>
          </cell>
          <cell r="AJ42" t="str">
            <v>T</v>
          </cell>
          <cell r="AK42" t="str">
            <v>T</v>
          </cell>
          <cell r="AL42">
            <v>4</v>
          </cell>
          <cell r="AO42">
            <v>21</v>
          </cell>
          <cell r="AP42">
            <v>7</v>
          </cell>
          <cell r="AQ42">
            <v>0</v>
          </cell>
          <cell r="AR42">
            <v>7</v>
          </cell>
          <cell r="AS42">
            <v>28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28</v>
          </cell>
          <cell r="BB42">
            <v>0</v>
          </cell>
          <cell r="BC42">
            <v>105</v>
          </cell>
          <cell r="BD42">
            <v>60</v>
          </cell>
          <cell r="BE42">
            <v>40</v>
          </cell>
          <cell r="BF42">
            <v>1120</v>
          </cell>
          <cell r="BI42">
            <v>0</v>
          </cell>
          <cell r="BJ42">
            <v>1120</v>
          </cell>
        </row>
        <row r="43">
          <cell r="B43">
            <v>33</v>
          </cell>
          <cell r="C43" t="str">
            <v>COLLACHAGUA UGARTE ,WILFREDO PERCY</v>
          </cell>
          <cell r="D43">
            <v>39323</v>
          </cell>
          <cell r="E43">
            <v>39897</v>
          </cell>
          <cell r="F43" t="str">
            <v>TERMINO DE OBRA</v>
          </cell>
          <cell r="G43" t="str">
            <v>Ayudante perforista</v>
          </cell>
          <cell r="H43" t="str">
            <v>ING. ORIUNDO</v>
          </cell>
          <cell r="I43" t="str">
            <v>ACTIVO</v>
          </cell>
          <cell r="J43" t="str">
            <v>T</v>
          </cell>
          <cell r="K43" t="str">
            <v>T</v>
          </cell>
          <cell r="L43" t="str">
            <v>T</v>
          </cell>
          <cell r="M43" t="str">
            <v>T</v>
          </cell>
          <cell r="N43" t="str">
            <v>T</v>
          </cell>
          <cell r="O43" t="str">
            <v>T</v>
          </cell>
          <cell r="P43" t="str">
            <v>DL</v>
          </cell>
          <cell r="Q43" t="str">
            <v>DL</v>
          </cell>
          <cell r="R43" t="str">
            <v>DL</v>
          </cell>
          <cell r="S43" t="str">
            <v>DL</v>
          </cell>
          <cell r="T43" t="str">
            <v>DL</v>
          </cell>
          <cell r="U43" t="str">
            <v>DL</v>
          </cell>
          <cell r="V43" t="str">
            <v>DL</v>
          </cell>
          <cell r="W43" t="str">
            <v>T</v>
          </cell>
          <cell r="X43" t="str">
            <v>T</v>
          </cell>
          <cell r="Y43" t="str">
            <v>T</v>
          </cell>
          <cell r="Z43" t="str">
            <v>T</v>
          </cell>
          <cell r="AA43" t="str">
            <v>T</v>
          </cell>
          <cell r="AB43" t="str">
            <v>T</v>
          </cell>
          <cell r="AC43" t="str">
            <v>T</v>
          </cell>
          <cell r="AD43" t="str">
            <v>T</v>
          </cell>
          <cell r="AE43" t="str">
            <v>T</v>
          </cell>
          <cell r="AF43" t="str">
            <v>T</v>
          </cell>
          <cell r="AG43" t="str">
            <v>T</v>
          </cell>
          <cell r="AH43" t="str">
            <v>T</v>
          </cell>
          <cell r="AI43" t="str">
            <v>T</v>
          </cell>
          <cell r="AJ43" t="str">
            <v>T</v>
          </cell>
          <cell r="AK43" t="str">
            <v>DL</v>
          </cell>
          <cell r="AL43">
            <v>6</v>
          </cell>
          <cell r="AO43">
            <v>20</v>
          </cell>
          <cell r="AP43">
            <v>8</v>
          </cell>
          <cell r="AQ43">
            <v>0</v>
          </cell>
          <cell r="AR43">
            <v>8</v>
          </cell>
          <cell r="AS43">
            <v>28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28</v>
          </cell>
          <cell r="BB43">
            <v>0</v>
          </cell>
          <cell r="BC43">
            <v>100</v>
          </cell>
          <cell r="BD43">
            <v>60</v>
          </cell>
          <cell r="BE43">
            <v>40</v>
          </cell>
          <cell r="BF43">
            <v>1120</v>
          </cell>
          <cell r="BI43">
            <v>0</v>
          </cell>
          <cell r="BJ43">
            <v>1120</v>
          </cell>
        </row>
        <row r="44">
          <cell r="B44">
            <v>34</v>
          </cell>
          <cell r="C44" t="str">
            <v>CRISTOBAL MUCHA ABEL ABELARDO</v>
          </cell>
          <cell r="D44">
            <v>39504</v>
          </cell>
          <cell r="E44">
            <v>39897</v>
          </cell>
          <cell r="F44" t="str">
            <v>TERMINO DE OBRA</v>
          </cell>
          <cell r="G44" t="str">
            <v>Perforista B</v>
          </cell>
          <cell r="H44" t="str">
            <v>ING. ACERO</v>
          </cell>
          <cell r="I44" t="str">
            <v>ACTIVO</v>
          </cell>
          <cell r="J44" t="str">
            <v>DL</v>
          </cell>
          <cell r="K44" t="str">
            <v>DL</v>
          </cell>
          <cell r="L44" t="str">
            <v>DL</v>
          </cell>
          <cell r="M44" t="str">
            <v>DL</v>
          </cell>
          <cell r="N44" t="str">
            <v>DL</v>
          </cell>
          <cell r="O44" t="str">
            <v>DL</v>
          </cell>
          <cell r="P44" t="str">
            <v>T</v>
          </cell>
          <cell r="Q44" t="str">
            <v>T</v>
          </cell>
          <cell r="R44" t="str">
            <v>T</v>
          </cell>
          <cell r="S44" t="str">
            <v>T</v>
          </cell>
          <cell r="T44" t="str">
            <v>T</v>
          </cell>
          <cell r="U44" t="str">
            <v>T</v>
          </cell>
          <cell r="V44" t="str">
            <v>T</v>
          </cell>
          <cell r="W44" t="str">
            <v>T</v>
          </cell>
          <cell r="X44" t="str">
            <v>T</v>
          </cell>
          <cell r="Y44" t="str">
            <v>T</v>
          </cell>
          <cell r="Z44" t="str">
            <v>T</v>
          </cell>
          <cell r="AA44" t="str">
            <v>T</v>
          </cell>
          <cell r="AB44" t="str">
            <v>T</v>
          </cell>
          <cell r="AC44" t="str">
            <v>T</v>
          </cell>
          <cell r="AD44" t="str">
            <v>DL</v>
          </cell>
          <cell r="AE44" t="str">
            <v>DL</v>
          </cell>
          <cell r="AF44" t="str">
            <v>DL</v>
          </cell>
          <cell r="AG44" t="str">
            <v>DL</v>
          </cell>
          <cell r="AH44" t="str">
            <v>DL</v>
          </cell>
          <cell r="AI44" t="str">
            <v>DL</v>
          </cell>
          <cell r="AJ44" t="str">
            <v>DL</v>
          </cell>
          <cell r="AK44" t="str">
            <v>T</v>
          </cell>
          <cell r="AL44">
            <v>0.5</v>
          </cell>
          <cell r="AO44">
            <v>15</v>
          </cell>
          <cell r="AP44">
            <v>13</v>
          </cell>
          <cell r="AQ44">
            <v>0</v>
          </cell>
          <cell r="AR44">
            <v>13</v>
          </cell>
          <cell r="AS44">
            <v>28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28</v>
          </cell>
          <cell r="BB44">
            <v>0</v>
          </cell>
          <cell r="BC44">
            <v>75</v>
          </cell>
          <cell r="BD44">
            <v>60</v>
          </cell>
          <cell r="BE44">
            <v>45</v>
          </cell>
          <cell r="BF44">
            <v>1260</v>
          </cell>
          <cell r="BI44">
            <v>0</v>
          </cell>
          <cell r="BJ44">
            <v>1260</v>
          </cell>
        </row>
        <row r="45">
          <cell r="B45">
            <v>35</v>
          </cell>
          <cell r="C45" t="str">
            <v>CUBA ESTRELLA JUAN CARLOS</v>
          </cell>
          <cell r="D45">
            <v>39575</v>
          </cell>
          <cell r="E45">
            <v>39897</v>
          </cell>
          <cell r="F45" t="str">
            <v>TERMINO DE OBRA</v>
          </cell>
          <cell r="G45" t="str">
            <v>Ayudante perforista</v>
          </cell>
          <cell r="H45" t="str">
            <v>ING. CASTILLON</v>
          </cell>
          <cell r="I45" t="str">
            <v>ACTIVO</v>
          </cell>
          <cell r="J45" t="str">
            <v>T</v>
          </cell>
          <cell r="K45" t="str">
            <v>T</v>
          </cell>
          <cell r="L45" t="str">
            <v>T</v>
          </cell>
          <cell r="M45" t="str">
            <v>T</v>
          </cell>
          <cell r="N45" t="str">
            <v>T</v>
          </cell>
          <cell r="O45" t="str">
            <v>T</v>
          </cell>
          <cell r="P45" t="str">
            <v>T</v>
          </cell>
          <cell r="Q45" t="str">
            <v>T</v>
          </cell>
          <cell r="R45" t="str">
            <v>T</v>
          </cell>
          <cell r="S45" t="str">
            <v>T</v>
          </cell>
          <cell r="T45" t="str">
            <v>T</v>
          </cell>
          <cell r="U45" t="str">
            <v>T</v>
          </cell>
          <cell r="V45" t="str">
            <v>T</v>
          </cell>
          <cell r="W45" t="str">
            <v>DL</v>
          </cell>
          <cell r="X45" t="str">
            <v>DL</v>
          </cell>
          <cell r="Y45" t="str">
            <v>DL</v>
          </cell>
          <cell r="Z45" t="str">
            <v>DL</v>
          </cell>
          <cell r="AA45" t="str">
            <v>DL</v>
          </cell>
          <cell r="AB45" t="str">
            <v>DL</v>
          </cell>
          <cell r="AC45" t="str">
            <v>DL</v>
          </cell>
          <cell r="AD45" t="str">
            <v>T</v>
          </cell>
          <cell r="AE45" t="str">
            <v>T</v>
          </cell>
          <cell r="AF45" t="str">
            <v>T</v>
          </cell>
          <cell r="AG45" t="str">
            <v>T</v>
          </cell>
          <cell r="AH45" t="str">
            <v>T</v>
          </cell>
          <cell r="AI45" t="str">
            <v>T</v>
          </cell>
          <cell r="AJ45" t="str">
            <v>T</v>
          </cell>
          <cell r="AK45" t="str">
            <v>T</v>
          </cell>
          <cell r="AL45">
            <v>4</v>
          </cell>
          <cell r="AO45">
            <v>21</v>
          </cell>
          <cell r="AP45">
            <v>7</v>
          </cell>
          <cell r="AQ45">
            <v>0</v>
          </cell>
          <cell r="AR45">
            <v>7</v>
          </cell>
          <cell r="AS45">
            <v>28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28</v>
          </cell>
          <cell r="BB45">
            <v>0</v>
          </cell>
          <cell r="BC45">
            <v>105</v>
          </cell>
          <cell r="BD45">
            <v>60</v>
          </cell>
          <cell r="BE45">
            <v>40</v>
          </cell>
          <cell r="BF45">
            <v>1120</v>
          </cell>
          <cell r="BI45">
            <v>0</v>
          </cell>
          <cell r="BJ45">
            <v>1120</v>
          </cell>
        </row>
        <row r="46">
          <cell r="B46">
            <v>36</v>
          </cell>
          <cell r="C46" t="str">
            <v>CUEVA SALGADO WILLIAM JORGE</v>
          </cell>
          <cell r="D46">
            <v>39575</v>
          </cell>
          <cell r="E46">
            <v>39897</v>
          </cell>
          <cell r="F46" t="str">
            <v>TERMINO DE OBRA</v>
          </cell>
          <cell r="G46" t="str">
            <v>Ayudante Perforista</v>
          </cell>
          <cell r="H46" t="str">
            <v>ING. CASTILLON</v>
          </cell>
          <cell r="I46" t="str">
            <v>ACTIVO</v>
          </cell>
          <cell r="J46" t="str">
            <v>T</v>
          </cell>
          <cell r="K46" t="str">
            <v>T</v>
          </cell>
          <cell r="L46" t="str">
            <v>T</v>
          </cell>
          <cell r="M46" t="str">
            <v>T</v>
          </cell>
          <cell r="N46" t="str">
            <v>T</v>
          </cell>
          <cell r="O46" t="str">
            <v>T</v>
          </cell>
          <cell r="P46" t="str">
            <v>T</v>
          </cell>
          <cell r="Q46" t="str">
            <v>T</v>
          </cell>
          <cell r="R46" t="str">
            <v>T</v>
          </cell>
          <cell r="S46" t="str">
            <v>T</v>
          </cell>
          <cell r="T46" t="str">
            <v>T</v>
          </cell>
          <cell r="U46" t="str">
            <v>T</v>
          </cell>
          <cell r="V46" t="str">
            <v>T</v>
          </cell>
          <cell r="W46" t="str">
            <v>DL</v>
          </cell>
          <cell r="X46" t="str">
            <v>DL</v>
          </cell>
          <cell r="Y46" t="str">
            <v>DL</v>
          </cell>
          <cell r="Z46" t="str">
            <v>DL</v>
          </cell>
          <cell r="AA46" t="str">
            <v>DL</v>
          </cell>
          <cell r="AB46" t="str">
            <v>DL</v>
          </cell>
          <cell r="AC46" t="str">
            <v>DL</v>
          </cell>
          <cell r="AD46" t="str">
            <v>T</v>
          </cell>
          <cell r="AE46" t="str">
            <v>T</v>
          </cell>
          <cell r="AF46" t="str">
            <v>T</v>
          </cell>
          <cell r="AG46" t="str">
            <v>T</v>
          </cell>
          <cell r="AH46" t="str">
            <v>T</v>
          </cell>
          <cell r="AI46" t="str">
            <v>T</v>
          </cell>
          <cell r="AJ46" t="str">
            <v>T</v>
          </cell>
          <cell r="AK46" t="str">
            <v>T</v>
          </cell>
          <cell r="AL46">
            <v>4</v>
          </cell>
          <cell r="AO46">
            <v>21</v>
          </cell>
          <cell r="AP46">
            <v>7</v>
          </cell>
          <cell r="AQ46">
            <v>0</v>
          </cell>
          <cell r="AR46">
            <v>7</v>
          </cell>
          <cell r="AS46">
            <v>28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28</v>
          </cell>
          <cell r="BB46">
            <v>0</v>
          </cell>
          <cell r="BC46">
            <v>105</v>
          </cell>
          <cell r="BD46">
            <v>60</v>
          </cell>
          <cell r="BE46">
            <v>40</v>
          </cell>
          <cell r="BF46">
            <v>1120</v>
          </cell>
          <cell r="BI46">
            <v>0</v>
          </cell>
          <cell r="BJ46">
            <v>1120</v>
          </cell>
        </row>
        <row r="47">
          <cell r="B47">
            <v>37</v>
          </cell>
          <cell r="C47" t="str">
            <v>DAMIAN CARHUARICRA, OSCAR RAYNER</v>
          </cell>
          <cell r="D47">
            <v>39500</v>
          </cell>
          <cell r="E47">
            <v>39897</v>
          </cell>
          <cell r="F47" t="str">
            <v>TERMINO DE OBRA</v>
          </cell>
          <cell r="G47" t="str">
            <v>Ayudante Perforista</v>
          </cell>
          <cell r="H47" t="str">
            <v>ING. ACERO</v>
          </cell>
          <cell r="I47" t="str">
            <v>ACTIVO</v>
          </cell>
          <cell r="J47" t="str">
            <v>DL</v>
          </cell>
          <cell r="K47" t="str">
            <v>DL</v>
          </cell>
          <cell r="L47" t="str">
            <v>DL</v>
          </cell>
          <cell r="M47" t="str">
            <v>DL</v>
          </cell>
          <cell r="N47" t="str">
            <v>DL</v>
          </cell>
          <cell r="O47" t="str">
            <v>DL</v>
          </cell>
          <cell r="P47" t="str">
            <v>T</v>
          </cell>
          <cell r="Q47" t="str">
            <v>T</v>
          </cell>
          <cell r="R47" t="str">
            <v>T</v>
          </cell>
          <cell r="S47" t="str">
            <v>T</v>
          </cell>
          <cell r="T47" t="str">
            <v>T</v>
          </cell>
          <cell r="U47" t="str">
            <v>T</v>
          </cell>
          <cell r="V47" t="str">
            <v>T</v>
          </cell>
          <cell r="W47" t="str">
            <v>T</v>
          </cell>
          <cell r="X47" t="str">
            <v>T</v>
          </cell>
          <cell r="Y47" t="str">
            <v>T</v>
          </cell>
          <cell r="Z47" t="str">
            <v>T</v>
          </cell>
          <cell r="AA47" t="str">
            <v>T</v>
          </cell>
          <cell r="AB47" t="str">
            <v>T</v>
          </cell>
          <cell r="AC47" t="str">
            <v>T</v>
          </cell>
          <cell r="AD47" t="str">
            <v>DL</v>
          </cell>
          <cell r="AE47" t="str">
            <v>DL</v>
          </cell>
          <cell r="AF47" t="str">
            <v>DL</v>
          </cell>
          <cell r="AG47" t="str">
            <v>DL</v>
          </cell>
          <cell r="AH47" t="str">
            <v>DL</v>
          </cell>
          <cell r="AI47" t="str">
            <v>DL</v>
          </cell>
          <cell r="AJ47" t="str">
            <v>DL</v>
          </cell>
          <cell r="AK47" t="str">
            <v>T</v>
          </cell>
          <cell r="AL47">
            <v>0.5</v>
          </cell>
          <cell r="AO47">
            <v>15</v>
          </cell>
          <cell r="AP47">
            <v>13</v>
          </cell>
          <cell r="AQ47">
            <v>0</v>
          </cell>
          <cell r="AR47">
            <v>13</v>
          </cell>
          <cell r="AS47">
            <v>28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28</v>
          </cell>
          <cell r="BB47">
            <v>0</v>
          </cell>
          <cell r="BC47">
            <v>75</v>
          </cell>
          <cell r="BD47">
            <v>60</v>
          </cell>
          <cell r="BE47">
            <v>40</v>
          </cell>
          <cell r="BF47">
            <v>1120</v>
          </cell>
          <cell r="BI47">
            <v>0</v>
          </cell>
          <cell r="BJ47">
            <v>1120</v>
          </cell>
        </row>
        <row r="48">
          <cell r="B48">
            <v>38</v>
          </cell>
          <cell r="C48" t="str">
            <v>DIAS FELIX JUAN</v>
          </cell>
          <cell r="D48">
            <v>39708</v>
          </cell>
          <cell r="E48">
            <v>39897</v>
          </cell>
          <cell r="F48" t="str">
            <v>TERMINO DE OBRA</v>
          </cell>
          <cell r="G48" t="str">
            <v>Perforista B</v>
          </cell>
          <cell r="H48" t="str">
            <v>ING. CASTILLON</v>
          </cell>
          <cell r="I48" t="str">
            <v>ACTIVO</v>
          </cell>
          <cell r="J48" t="str">
            <v>T</v>
          </cell>
          <cell r="K48" t="str">
            <v>T</v>
          </cell>
          <cell r="L48" t="str">
            <v>T</v>
          </cell>
          <cell r="M48" t="str">
            <v>T</v>
          </cell>
          <cell r="N48" t="str">
            <v>T</v>
          </cell>
          <cell r="O48" t="str">
            <v>T</v>
          </cell>
          <cell r="P48" t="str">
            <v>T</v>
          </cell>
          <cell r="Q48" t="str">
            <v>T</v>
          </cell>
          <cell r="R48" t="str">
            <v>T</v>
          </cell>
          <cell r="S48" t="str">
            <v>T</v>
          </cell>
          <cell r="T48" t="str">
            <v>T</v>
          </cell>
          <cell r="U48" t="str">
            <v>T</v>
          </cell>
          <cell r="V48" t="str">
            <v>T</v>
          </cell>
          <cell r="W48" t="str">
            <v>DL</v>
          </cell>
          <cell r="X48" t="str">
            <v>DL</v>
          </cell>
          <cell r="Y48" t="str">
            <v>DL</v>
          </cell>
          <cell r="Z48" t="str">
            <v>DL</v>
          </cell>
          <cell r="AA48" t="str">
            <v>DL</v>
          </cell>
          <cell r="AB48" t="str">
            <v>DL</v>
          </cell>
          <cell r="AC48" t="str">
            <v>DL</v>
          </cell>
          <cell r="AD48" t="str">
            <v>T</v>
          </cell>
          <cell r="AE48" t="str">
            <v>T</v>
          </cell>
          <cell r="AF48" t="str">
            <v>T</v>
          </cell>
          <cell r="AG48" t="str">
            <v>T</v>
          </cell>
          <cell r="AH48" t="str">
            <v>T</v>
          </cell>
          <cell r="AI48" t="str">
            <v>T</v>
          </cell>
          <cell r="AJ48" t="str">
            <v>T</v>
          </cell>
          <cell r="AK48" t="str">
            <v>T</v>
          </cell>
          <cell r="AL48">
            <v>4</v>
          </cell>
          <cell r="AO48">
            <v>21</v>
          </cell>
          <cell r="AP48">
            <v>7</v>
          </cell>
          <cell r="AQ48">
            <v>0</v>
          </cell>
          <cell r="AR48">
            <v>7</v>
          </cell>
          <cell r="AS48">
            <v>28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28</v>
          </cell>
          <cell r="BB48">
            <v>0</v>
          </cell>
          <cell r="BC48">
            <v>105</v>
          </cell>
          <cell r="BD48">
            <v>60</v>
          </cell>
          <cell r="BE48">
            <v>45</v>
          </cell>
          <cell r="BF48">
            <v>1260</v>
          </cell>
          <cell r="BI48">
            <v>0</v>
          </cell>
          <cell r="BJ48">
            <v>1260</v>
          </cell>
        </row>
        <row r="49">
          <cell r="B49">
            <v>39</v>
          </cell>
          <cell r="C49" t="str">
            <v>DOROTEO GASPAR EDWIN</v>
          </cell>
          <cell r="D49">
            <v>39375</v>
          </cell>
          <cell r="E49">
            <v>39897</v>
          </cell>
          <cell r="F49" t="str">
            <v>TERMINO DE OBRA</v>
          </cell>
          <cell r="G49" t="str">
            <v>Operador de Scoop A</v>
          </cell>
          <cell r="H49" t="str">
            <v>ING. CASTILLON</v>
          </cell>
          <cell r="I49" t="str">
            <v>ACTIVO</v>
          </cell>
          <cell r="J49" t="str">
            <v>DL</v>
          </cell>
          <cell r="K49" t="str">
            <v>T</v>
          </cell>
          <cell r="L49" t="str">
            <v>T</v>
          </cell>
          <cell r="M49" t="str">
            <v>T</v>
          </cell>
          <cell r="N49" t="str">
            <v>T</v>
          </cell>
          <cell r="O49" t="str">
            <v>T</v>
          </cell>
          <cell r="P49" t="str">
            <v>T</v>
          </cell>
          <cell r="Q49" t="str">
            <v>T</v>
          </cell>
          <cell r="R49" t="str">
            <v>T</v>
          </cell>
          <cell r="S49" t="str">
            <v>T</v>
          </cell>
          <cell r="T49" t="str">
            <v>DL</v>
          </cell>
          <cell r="U49" t="str">
            <v>DL</v>
          </cell>
          <cell r="V49" t="str">
            <v>DL</v>
          </cell>
          <cell r="W49" t="str">
            <v>DL</v>
          </cell>
          <cell r="X49" t="str">
            <v>DL</v>
          </cell>
          <cell r="Y49" t="str">
            <v>DL</v>
          </cell>
          <cell r="Z49" t="str">
            <v>DL</v>
          </cell>
          <cell r="AA49" t="str">
            <v>DL</v>
          </cell>
          <cell r="AB49" t="str">
            <v>DL</v>
          </cell>
          <cell r="AC49" t="str">
            <v>DL</v>
          </cell>
          <cell r="AD49" t="str">
            <v>T</v>
          </cell>
          <cell r="AE49" t="str">
            <v>T</v>
          </cell>
          <cell r="AF49" t="str">
            <v>T</v>
          </cell>
          <cell r="AG49" t="str">
            <v>T</v>
          </cell>
          <cell r="AH49" t="str">
            <v>T</v>
          </cell>
          <cell r="AI49" t="str">
            <v>T</v>
          </cell>
          <cell r="AJ49" t="str">
            <v>T</v>
          </cell>
          <cell r="AK49" t="str">
            <v>T</v>
          </cell>
          <cell r="AL49">
            <v>4</v>
          </cell>
          <cell r="AO49">
            <v>17</v>
          </cell>
          <cell r="AP49">
            <v>11</v>
          </cell>
          <cell r="AQ49">
            <v>0</v>
          </cell>
          <cell r="AR49">
            <v>11</v>
          </cell>
          <cell r="AS49">
            <v>28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28</v>
          </cell>
          <cell r="BB49">
            <v>0</v>
          </cell>
          <cell r="BC49">
            <v>85</v>
          </cell>
          <cell r="BD49">
            <v>60</v>
          </cell>
          <cell r="BE49">
            <v>55</v>
          </cell>
          <cell r="BF49">
            <v>1540</v>
          </cell>
          <cell r="BI49">
            <v>0</v>
          </cell>
          <cell r="BJ49">
            <v>1540</v>
          </cell>
        </row>
        <row r="50">
          <cell r="B50">
            <v>40</v>
          </cell>
          <cell r="C50" t="str">
            <v>DUEÑAS CUELLAR ANGEL</v>
          </cell>
          <cell r="D50">
            <v>39379</v>
          </cell>
          <cell r="E50">
            <v>39897</v>
          </cell>
          <cell r="F50" t="str">
            <v>TERMINO DE OBRA</v>
          </cell>
          <cell r="G50" t="str">
            <v>Capataz</v>
          </cell>
          <cell r="H50" t="str">
            <v>ING. ACERO</v>
          </cell>
          <cell r="I50" t="str">
            <v>ACTIVO</v>
          </cell>
          <cell r="J50" t="str">
            <v>DL</v>
          </cell>
          <cell r="K50" t="str">
            <v>DL</v>
          </cell>
          <cell r="L50" t="str">
            <v>DL</v>
          </cell>
          <cell r="M50" t="str">
            <v>DL</v>
          </cell>
          <cell r="N50" t="str">
            <v>DL</v>
          </cell>
          <cell r="O50" t="str">
            <v>DL</v>
          </cell>
          <cell r="P50" t="str">
            <v>T</v>
          </cell>
          <cell r="Q50" t="str">
            <v>T</v>
          </cell>
          <cell r="R50" t="str">
            <v>T</v>
          </cell>
          <cell r="S50" t="str">
            <v>T</v>
          </cell>
          <cell r="T50" t="str">
            <v>T</v>
          </cell>
          <cell r="U50" t="str">
            <v>T</v>
          </cell>
          <cell r="V50" t="str">
            <v>T</v>
          </cell>
          <cell r="W50" t="str">
            <v>T</v>
          </cell>
          <cell r="X50" t="str">
            <v>T</v>
          </cell>
          <cell r="Y50" t="str">
            <v>T</v>
          </cell>
          <cell r="Z50" t="str">
            <v>T</v>
          </cell>
          <cell r="AA50" t="str">
            <v>T</v>
          </cell>
          <cell r="AB50" t="str">
            <v>T</v>
          </cell>
          <cell r="AC50" t="str">
            <v>T</v>
          </cell>
          <cell r="AD50" t="str">
            <v>DL</v>
          </cell>
          <cell r="AE50" t="str">
            <v>DL</v>
          </cell>
          <cell r="AF50" t="str">
            <v>DL</v>
          </cell>
          <cell r="AG50" t="str">
            <v>DL</v>
          </cell>
          <cell r="AH50" t="str">
            <v>DL</v>
          </cell>
          <cell r="AI50" t="str">
            <v>DL</v>
          </cell>
          <cell r="AJ50" t="str">
            <v>DL</v>
          </cell>
          <cell r="AK50" t="str">
            <v>T</v>
          </cell>
          <cell r="AL50">
            <v>0.5</v>
          </cell>
          <cell r="AO50">
            <v>15</v>
          </cell>
          <cell r="AP50">
            <v>13</v>
          </cell>
          <cell r="AQ50">
            <v>0</v>
          </cell>
          <cell r="AR50">
            <v>13</v>
          </cell>
          <cell r="AS50">
            <v>28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28</v>
          </cell>
          <cell r="BB50">
            <v>0</v>
          </cell>
          <cell r="BC50">
            <v>75</v>
          </cell>
          <cell r="BD50">
            <v>60</v>
          </cell>
          <cell r="BE50">
            <v>83</v>
          </cell>
          <cell r="BF50">
            <v>2324</v>
          </cell>
          <cell r="BI50">
            <v>0</v>
          </cell>
          <cell r="BJ50">
            <v>2324</v>
          </cell>
        </row>
        <row r="51">
          <cell r="B51">
            <v>41</v>
          </cell>
          <cell r="C51" t="str">
            <v>FLORES HUAMAN, JUAN PROCOPIO</v>
          </cell>
          <cell r="D51">
            <v>39466</v>
          </cell>
          <cell r="E51">
            <v>39897</v>
          </cell>
          <cell r="F51" t="str">
            <v>TERMINO DE OBRA</v>
          </cell>
          <cell r="G51" t="str">
            <v>Perforista B</v>
          </cell>
          <cell r="H51" t="str">
            <v>ING. ACERO</v>
          </cell>
          <cell r="I51" t="str">
            <v>ACTIVO</v>
          </cell>
          <cell r="J51" t="str">
            <v>DL</v>
          </cell>
          <cell r="K51" t="str">
            <v>DL</v>
          </cell>
          <cell r="L51" t="str">
            <v>DL</v>
          </cell>
          <cell r="M51" t="str">
            <v>DL</v>
          </cell>
          <cell r="N51" t="str">
            <v>DL</v>
          </cell>
          <cell r="O51" t="str">
            <v>DL</v>
          </cell>
          <cell r="P51" t="str">
            <v>T</v>
          </cell>
          <cell r="Q51" t="str">
            <v>T</v>
          </cell>
          <cell r="R51" t="str">
            <v>T</v>
          </cell>
          <cell r="S51" t="str">
            <v>T</v>
          </cell>
          <cell r="T51" t="str">
            <v>T</v>
          </cell>
          <cell r="U51" t="str">
            <v>T</v>
          </cell>
          <cell r="V51" t="str">
            <v>T</v>
          </cell>
          <cell r="W51" t="str">
            <v>T</v>
          </cell>
          <cell r="X51" t="str">
            <v>T</v>
          </cell>
          <cell r="Y51" t="str">
            <v>T</v>
          </cell>
          <cell r="Z51" t="str">
            <v>T</v>
          </cell>
          <cell r="AA51" t="str">
            <v>T</v>
          </cell>
          <cell r="AB51" t="str">
            <v>T</v>
          </cell>
          <cell r="AC51" t="str">
            <v>T</v>
          </cell>
          <cell r="AD51" t="str">
            <v>DL</v>
          </cell>
          <cell r="AE51" t="str">
            <v>DL</v>
          </cell>
          <cell r="AF51" t="str">
            <v>DL</v>
          </cell>
          <cell r="AG51" t="str">
            <v>DL</v>
          </cell>
          <cell r="AH51" t="str">
            <v>DL</v>
          </cell>
          <cell r="AI51" t="str">
            <v>DL</v>
          </cell>
          <cell r="AJ51" t="str">
            <v>DL</v>
          </cell>
          <cell r="AK51" t="str">
            <v>T</v>
          </cell>
          <cell r="AL51">
            <v>0.5</v>
          </cell>
          <cell r="AO51">
            <v>15</v>
          </cell>
          <cell r="AP51">
            <v>13</v>
          </cell>
          <cell r="AQ51">
            <v>0</v>
          </cell>
          <cell r="AR51">
            <v>13</v>
          </cell>
          <cell r="AS51">
            <v>28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28</v>
          </cell>
          <cell r="BB51">
            <v>0</v>
          </cell>
          <cell r="BC51">
            <v>75</v>
          </cell>
          <cell r="BD51">
            <v>60</v>
          </cell>
          <cell r="BE51">
            <v>45</v>
          </cell>
          <cell r="BF51">
            <v>1260</v>
          </cell>
          <cell r="BI51">
            <v>0</v>
          </cell>
          <cell r="BJ51">
            <v>1260</v>
          </cell>
        </row>
        <row r="52">
          <cell r="B52">
            <v>42</v>
          </cell>
          <cell r="C52" t="str">
            <v>FRETEL JAIMES WALTER</v>
          </cell>
          <cell r="D52">
            <v>39697</v>
          </cell>
          <cell r="E52">
            <v>39897</v>
          </cell>
          <cell r="F52" t="str">
            <v>TERMINO DE OBRA</v>
          </cell>
          <cell r="G52" t="str">
            <v>Ayudante Perforista</v>
          </cell>
          <cell r="H52" t="str">
            <v>ING. ORIUNDO</v>
          </cell>
          <cell r="I52" t="str">
            <v>ACTIVO</v>
          </cell>
          <cell r="J52" t="str">
            <v>T</v>
          </cell>
          <cell r="K52" t="str">
            <v>T</v>
          </cell>
          <cell r="L52" t="str">
            <v>T</v>
          </cell>
          <cell r="M52" t="str">
            <v>T</v>
          </cell>
          <cell r="N52" t="str">
            <v>T</v>
          </cell>
          <cell r="O52" t="str">
            <v>T</v>
          </cell>
          <cell r="P52" t="str">
            <v>DL</v>
          </cell>
          <cell r="Q52" t="str">
            <v>DL</v>
          </cell>
          <cell r="R52" t="str">
            <v>DL</v>
          </cell>
          <cell r="S52" t="str">
            <v>DL</v>
          </cell>
          <cell r="T52" t="str">
            <v>DL</v>
          </cell>
          <cell r="U52" t="str">
            <v>DL</v>
          </cell>
          <cell r="V52" t="str">
            <v>DL</v>
          </cell>
          <cell r="W52" t="str">
            <v>T</v>
          </cell>
          <cell r="X52" t="str">
            <v>T</v>
          </cell>
          <cell r="Y52" t="str">
            <v>T</v>
          </cell>
          <cell r="Z52" t="str">
            <v>T</v>
          </cell>
          <cell r="AA52" t="str">
            <v>T</v>
          </cell>
          <cell r="AB52" t="str">
            <v>T</v>
          </cell>
          <cell r="AC52" t="str">
            <v>T</v>
          </cell>
          <cell r="AD52" t="str">
            <v>T</v>
          </cell>
          <cell r="AE52" t="str">
            <v>T</v>
          </cell>
          <cell r="AF52" t="str">
            <v>T</v>
          </cell>
          <cell r="AG52" t="str">
            <v>T</v>
          </cell>
          <cell r="AH52" t="str">
            <v>T</v>
          </cell>
          <cell r="AI52" t="str">
            <v>T</v>
          </cell>
          <cell r="AJ52" t="str">
            <v>T</v>
          </cell>
          <cell r="AK52" t="str">
            <v>DL</v>
          </cell>
          <cell r="AL52">
            <v>6</v>
          </cell>
          <cell r="AO52">
            <v>20</v>
          </cell>
          <cell r="AP52">
            <v>8</v>
          </cell>
          <cell r="AQ52">
            <v>0</v>
          </cell>
          <cell r="AR52">
            <v>8</v>
          </cell>
          <cell r="AS52">
            <v>28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28</v>
          </cell>
          <cell r="BB52">
            <v>0</v>
          </cell>
          <cell r="BC52">
            <v>100</v>
          </cell>
          <cell r="BD52">
            <v>60</v>
          </cell>
          <cell r="BE52">
            <v>40</v>
          </cell>
          <cell r="BF52">
            <v>1120</v>
          </cell>
          <cell r="BI52">
            <v>0</v>
          </cell>
          <cell r="BJ52">
            <v>1120</v>
          </cell>
        </row>
        <row r="53">
          <cell r="B53">
            <v>43</v>
          </cell>
          <cell r="C53" t="str">
            <v>GARCIA VICENTE CELESTINO</v>
          </cell>
          <cell r="D53">
            <v>39320</v>
          </cell>
          <cell r="E53">
            <v>39897</v>
          </cell>
          <cell r="F53" t="str">
            <v>TERMINO DE OBRA</v>
          </cell>
          <cell r="G53" t="str">
            <v>Ayudante Perforista</v>
          </cell>
          <cell r="H53" t="str">
            <v>ING. ORIUNDO</v>
          </cell>
          <cell r="I53" t="str">
            <v>ACTIVO</v>
          </cell>
          <cell r="J53" t="str">
            <v>S</v>
          </cell>
          <cell r="K53" t="str">
            <v>T</v>
          </cell>
          <cell r="L53" t="str">
            <v>T</v>
          </cell>
          <cell r="M53" t="str">
            <v>T</v>
          </cell>
          <cell r="N53" t="str">
            <v>T</v>
          </cell>
          <cell r="O53" t="str">
            <v>T</v>
          </cell>
          <cell r="P53" t="str">
            <v>DL</v>
          </cell>
          <cell r="Q53" t="str">
            <v>DL</v>
          </cell>
          <cell r="R53" t="str">
            <v>DL</v>
          </cell>
          <cell r="S53" t="str">
            <v>DL</v>
          </cell>
          <cell r="T53" t="str">
            <v>DL</v>
          </cell>
          <cell r="U53" t="str">
            <v>DL</v>
          </cell>
          <cell r="V53" t="str">
            <v>DL</v>
          </cell>
          <cell r="W53" t="str">
            <v>T</v>
          </cell>
          <cell r="X53" t="str">
            <v>T</v>
          </cell>
          <cell r="Y53" t="str">
            <v>T</v>
          </cell>
          <cell r="Z53" t="str">
            <v>T</v>
          </cell>
          <cell r="AA53" t="str">
            <v>T</v>
          </cell>
          <cell r="AB53" t="str">
            <v>T</v>
          </cell>
          <cell r="AC53" t="str">
            <v>T</v>
          </cell>
          <cell r="AD53" t="str">
            <v>T</v>
          </cell>
          <cell r="AE53" t="str">
            <v>T</v>
          </cell>
          <cell r="AF53" t="str">
            <v>T</v>
          </cell>
          <cell r="AG53" t="str">
            <v>T</v>
          </cell>
          <cell r="AH53" t="str">
            <v>T</v>
          </cell>
          <cell r="AI53" t="str">
            <v>T</v>
          </cell>
          <cell r="AJ53" t="str">
            <v>T</v>
          </cell>
          <cell r="AK53" t="str">
            <v>DL</v>
          </cell>
          <cell r="AL53">
            <v>6</v>
          </cell>
          <cell r="AO53">
            <v>19</v>
          </cell>
          <cell r="AP53">
            <v>8</v>
          </cell>
          <cell r="AQ53">
            <v>1</v>
          </cell>
          <cell r="AR53">
            <v>7.5</v>
          </cell>
          <cell r="AS53">
            <v>26.5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1</v>
          </cell>
          <cell r="AY53">
            <v>0</v>
          </cell>
          <cell r="AZ53">
            <v>1</v>
          </cell>
          <cell r="BA53">
            <v>26.5</v>
          </cell>
          <cell r="BB53">
            <v>0</v>
          </cell>
          <cell r="BC53">
            <v>95</v>
          </cell>
          <cell r="BD53">
            <v>60</v>
          </cell>
          <cell r="BE53">
            <v>40</v>
          </cell>
          <cell r="BF53">
            <v>1060</v>
          </cell>
          <cell r="BI53">
            <v>0</v>
          </cell>
          <cell r="BJ53">
            <v>1060</v>
          </cell>
        </row>
        <row r="54">
          <cell r="B54">
            <v>44</v>
          </cell>
          <cell r="C54" t="str">
            <v>GOMEZ JANAMPA FERNANDO RAFAEL</v>
          </cell>
          <cell r="D54">
            <v>39492</v>
          </cell>
          <cell r="E54">
            <v>39897</v>
          </cell>
          <cell r="F54" t="str">
            <v>TERMINO DE OBRA</v>
          </cell>
          <cell r="G54" t="str">
            <v>Ayudante Perforista</v>
          </cell>
          <cell r="H54" t="str">
            <v>ING. CASTILLON</v>
          </cell>
          <cell r="I54" t="str">
            <v>ACTIVO</v>
          </cell>
          <cell r="J54" t="str">
            <v>T</v>
          </cell>
          <cell r="K54" t="str">
            <v>T</v>
          </cell>
          <cell r="L54" t="str">
            <v>T</v>
          </cell>
          <cell r="M54" t="str">
            <v>T</v>
          </cell>
          <cell r="N54" t="str">
            <v>T</v>
          </cell>
          <cell r="O54" t="str">
            <v>T</v>
          </cell>
          <cell r="P54" t="str">
            <v>T</v>
          </cell>
          <cell r="Q54" t="str">
            <v>T</v>
          </cell>
          <cell r="R54" t="str">
            <v>T</v>
          </cell>
          <cell r="S54" t="str">
            <v>T</v>
          </cell>
          <cell r="T54" t="str">
            <v>T</v>
          </cell>
          <cell r="U54" t="str">
            <v>T</v>
          </cell>
          <cell r="V54" t="str">
            <v>T</v>
          </cell>
          <cell r="W54" t="str">
            <v>DL</v>
          </cell>
          <cell r="X54" t="str">
            <v>DL</v>
          </cell>
          <cell r="Y54" t="str">
            <v>DL</v>
          </cell>
          <cell r="Z54" t="str">
            <v>DL</v>
          </cell>
          <cell r="AA54" t="str">
            <v>DL</v>
          </cell>
          <cell r="AB54" t="str">
            <v>DL</v>
          </cell>
          <cell r="AC54" t="str">
            <v>DL</v>
          </cell>
          <cell r="AD54" t="str">
            <v>T</v>
          </cell>
          <cell r="AE54" t="str">
            <v>T</v>
          </cell>
          <cell r="AF54" t="str">
            <v>T</v>
          </cell>
          <cell r="AG54" t="str">
            <v>T</v>
          </cell>
          <cell r="AH54" t="str">
            <v>T</v>
          </cell>
          <cell r="AI54" t="str">
            <v>T</v>
          </cell>
          <cell r="AJ54" t="str">
            <v>T</v>
          </cell>
          <cell r="AK54" t="str">
            <v>T</v>
          </cell>
          <cell r="AL54">
            <v>4</v>
          </cell>
          <cell r="AO54">
            <v>21</v>
          </cell>
          <cell r="AP54">
            <v>7</v>
          </cell>
          <cell r="AQ54">
            <v>0</v>
          </cell>
          <cell r="AR54">
            <v>7</v>
          </cell>
          <cell r="AS54">
            <v>28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28</v>
          </cell>
          <cell r="BB54">
            <v>0</v>
          </cell>
          <cell r="BC54">
            <v>105</v>
          </cell>
          <cell r="BD54">
            <v>60</v>
          </cell>
          <cell r="BE54">
            <v>40</v>
          </cell>
          <cell r="BF54">
            <v>1120</v>
          </cell>
          <cell r="BI54">
            <v>0</v>
          </cell>
          <cell r="BJ54">
            <v>1120</v>
          </cell>
        </row>
        <row r="55">
          <cell r="B55">
            <v>45</v>
          </cell>
          <cell r="C55" t="str">
            <v>GONZALES GALLARDO, PEDRO SACARIAS</v>
          </cell>
          <cell r="D55">
            <v>39414</v>
          </cell>
          <cell r="E55">
            <v>39897</v>
          </cell>
          <cell r="F55" t="str">
            <v>TERMINO DE OBRA</v>
          </cell>
          <cell r="G55" t="str">
            <v>Ayudante Perforista</v>
          </cell>
          <cell r="H55" t="str">
            <v>ING. ORIUNDO</v>
          </cell>
          <cell r="I55" t="str">
            <v>ACTIVO</v>
          </cell>
          <cell r="J55" t="str">
            <v>T</v>
          </cell>
          <cell r="K55" t="str">
            <v>T</v>
          </cell>
          <cell r="L55" t="str">
            <v>T</v>
          </cell>
          <cell r="M55" t="str">
            <v>T</v>
          </cell>
          <cell r="N55" t="str">
            <v>T</v>
          </cell>
          <cell r="O55" t="str">
            <v>T</v>
          </cell>
          <cell r="P55" t="str">
            <v>DL</v>
          </cell>
          <cell r="Q55" t="str">
            <v>DL</v>
          </cell>
          <cell r="R55" t="str">
            <v>DL</v>
          </cell>
          <cell r="S55" t="str">
            <v>DL</v>
          </cell>
          <cell r="T55" t="str">
            <v>DL</v>
          </cell>
          <cell r="U55" t="str">
            <v>DL</v>
          </cell>
          <cell r="V55" t="str">
            <v>DL</v>
          </cell>
          <cell r="W55" t="str">
            <v>PER</v>
          </cell>
          <cell r="X55" t="str">
            <v>T</v>
          </cell>
          <cell r="Y55" t="str">
            <v>T</v>
          </cell>
          <cell r="Z55" t="str">
            <v>T</v>
          </cell>
          <cell r="AA55" t="str">
            <v>T</v>
          </cell>
          <cell r="AB55" t="str">
            <v>T</v>
          </cell>
          <cell r="AC55" t="str">
            <v>T</v>
          </cell>
          <cell r="AD55" t="str">
            <v>T</v>
          </cell>
          <cell r="AE55" t="str">
            <v>T</v>
          </cell>
          <cell r="AF55" t="str">
            <v>T</v>
          </cell>
          <cell r="AG55" t="str">
            <v>T</v>
          </cell>
          <cell r="AH55" t="str">
            <v>T</v>
          </cell>
          <cell r="AI55" t="str">
            <v>T</v>
          </cell>
          <cell r="AJ55" t="str">
            <v>T</v>
          </cell>
          <cell r="AK55" t="str">
            <v>DL</v>
          </cell>
          <cell r="AL55">
            <v>6</v>
          </cell>
          <cell r="AO55">
            <v>19</v>
          </cell>
          <cell r="AP55">
            <v>8</v>
          </cell>
          <cell r="AQ55">
            <v>0</v>
          </cell>
          <cell r="AR55">
            <v>8</v>
          </cell>
          <cell r="AS55">
            <v>27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1</v>
          </cell>
          <cell r="AZ55">
            <v>1</v>
          </cell>
          <cell r="BA55">
            <v>27</v>
          </cell>
          <cell r="BB55">
            <v>0</v>
          </cell>
          <cell r="BC55">
            <v>95</v>
          </cell>
          <cell r="BD55">
            <v>60</v>
          </cell>
          <cell r="BE55">
            <v>40</v>
          </cell>
          <cell r="BF55">
            <v>1080</v>
          </cell>
          <cell r="BI55">
            <v>0</v>
          </cell>
          <cell r="BJ55">
            <v>1080</v>
          </cell>
        </row>
        <row r="56">
          <cell r="B56">
            <v>46</v>
          </cell>
          <cell r="C56" t="str">
            <v>HINOSTROZA VALLADARES JUAN MANUEL</v>
          </cell>
          <cell r="D56">
            <v>39596</v>
          </cell>
          <cell r="E56">
            <v>39897</v>
          </cell>
          <cell r="F56" t="str">
            <v>TERMINO DE OBRA</v>
          </cell>
          <cell r="G56" t="str">
            <v>Operador de Scoop B</v>
          </cell>
          <cell r="H56" t="str">
            <v>ING. CASTILLON</v>
          </cell>
          <cell r="I56" t="str">
            <v>ACTIVO</v>
          </cell>
          <cell r="J56" t="str">
            <v>T</v>
          </cell>
          <cell r="K56" t="str">
            <v>T</v>
          </cell>
          <cell r="L56" t="str">
            <v>T</v>
          </cell>
          <cell r="M56" t="str">
            <v>T</v>
          </cell>
          <cell r="N56" t="str">
            <v>T</v>
          </cell>
          <cell r="O56" t="str">
            <v>T</v>
          </cell>
          <cell r="P56" t="str">
            <v>F</v>
          </cell>
          <cell r="Q56" t="str">
            <v>S</v>
          </cell>
          <cell r="R56" t="str">
            <v>T</v>
          </cell>
          <cell r="S56" t="str">
            <v>T</v>
          </cell>
          <cell r="T56" t="str">
            <v>T</v>
          </cell>
          <cell r="U56" t="str">
            <v>T</v>
          </cell>
          <cell r="V56" t="str">
            <v>T</v>
          </cell>
          <cell r="W56" t="str">
            <v>DL</v>
          </cell>
          <cell r="X56" t="str">
            <v>DL</v>
          </cell>
          <cell r="Y56" t="str">
            <v>DL</v>
          </cell>
          <cell r="Z56" t="str">
            <v>DL</v>
          </cell>
          <cell r="AA56" t="str">
            <v>DL</v>
          </cell>
          <cell r="AB56" t="str">
            <v>DL</v>
          </cell>
          <cell r="AC56" t="str">
            <v>DL</v>
          </cell>
          <cell r="AD56" t="str">
            <v>T</v>
          </cell>
          <cell r="AE56" t="str">
            <v>T</v>
          </cell>
          <cell r="AF56" t="str">
            <v>T</v>
          </cell>
          <cell r="AG56" t="str">
            <v>T</v>
          </cell>
          <cell r="AH56" t="str">
            <v>T</v>
          </cell>
          <cell r="AI56" t="str">
            <v>T</v>
          </cell>
          <cell r="AJ56" t="str">
            <v>T</v>
          </cell>
          <cell r="AK56" t="str">
            <v>T</v>
          </cell>
          <cell r="AL56">
            <v>4</v>
          </cell>
          <cell r="AO56">
            <v>19</v>
          </cell>
          <cell r="AP56">
            <v>7</v>
          </cell>
          <cell r="AQ56">
            <v>2</v>
          </cell>
          <cell r="AR56">
            <v>6</v>
          </cell>
          <cell r="AS56">
            <v>25</v>
          </cell>
          <cell r="AT56">
            <v>0</v>
          </cell>
          <cell r="AU56">
            <v>0</v>
          </cell>
          <cell r="AV56">
            <v>0</v>
          </cell>
          <cell r="AW56">
            <v>1</v>
          </cell>
          <cell r="AX56">
            <v>1</v>
          </cell>
          <cell r="AY56">
            <v>0</v>
          </cell>
          <cell r="AZ56">
            <v>2</v>
          </cell>
          <cell r="BA56">
            <v>25</v>
          </cell>
          <cell r="BB56">
            <v>0</v>
          </cell>
          <cell r="BC56">
            <v>95</v>
          </cell>
          <cell r="BD56">
            <v>60</v>
          </cell>
          <cell r="BE56">
            <v>50</v>
          </cell>
          <cell r="BF56">
            <v>1250</v>
          </cell>
          <cell r="BI56">
            <v>0</v>
          </cell>
          <cell r="BJ56">
            <v>1250</v>
          </cell>
        </row>
        <row r="57">
          <cell r="B57">
            <v>47</v>
          </cell>
          <cell r="C57" t="str">
            <v>HUAMAN CHAVEZ WILMER</v>
          </cell>
          <cell r="D57">
            <v>39694</v>
          </cell>
          <cell r="E57">
            <v>39897</v>
          </cell>
          <cell r="F57" t="str">
            <v>TERMINO DE OBRA</v>
          </cell>
          <cell r="G57" t="str">
            <v>Ayudante Perforista</v>
          </cell>
          <cell r="H57" t="str">
            <v>ING. ORIUNDO</v>
          </cell>
          <cell r="I57" t="str">
            <v>ACTIVO</v>
          </cell>
          <cell r="J57" t="str">
            <v>T</v>
          </cell>
          <cell r="K57" t="str">
            <v>T</v>
          </cell>
          <cell r="L57" t="str">
            <v>T</v>
          </cell>
          <cell r="M57" t="str">
            <v>T</v>
          </cell>
          <cell r="N57" t="str">
            <v>T</v>
          </cell>
          <cell r="O57" t="str">
            <v>S</v>
          </cell>
          <cell r="P57" t="str">
            <v>DL</v>
          </cell>
          <cell r="Q57" t="str">
            <v>DL</v>
          </cell>
          <cell r="R57" t="str">
            <v>DL</v>
          </cell>
          <cell r="S57" t="str">
            <v>DL</v>
          </cell>
          <cell r="T57" t="str">
            <v>DL</v>
          </cell>
          <cell r="U57" t="str">
            <v>DL</v>
          </cell>
          <cell r="V57" t="str">
            <v>DL</v>
          </cell>
          <cell r="W57" t="str">
            <v>T</v>
          </cell>
          <cell r="X57" t="str">
            <v>T</v>
          </cell>
          <cell r="Y57" t="str">
            <v>T</v>
          </cell>
          <cell r="Z57" t="str">
            <v>T</v>
          </cell>
          <cell r="AA57" t="str">
            <v>T</v>
          </cell>
          <cell r="AB57" t="str">
            <v>T</v>
          </cell>
          <cell r="AC57" t="str">
            <v>T</v>
          </cell>
          <cell r="AD57" t="str">
            <v>T</v>
          </cell>
          <cell r="AE57" t="str">
            <v>T</v>
          </cell>
          <cell r="AF57" t="str">
            <v>T</v>
          </cell>
          <cell r="AG57" t="str">
            <v>T</v>
          </cell>
          <cell r="AH57" t="str">
            <v>T</v>
          </cell>
          <cell r="AI57" t="str">
            <v>T</v>
          </cell>
          <cell r="AJ57" t="str">
            <v>T</v>
          </cell>
          <cell r="AK57" t="str">
            <v>DL</v>
          </cell>
          <cell r="AL57">
            <v>6</v>
          </cell>
          <cell r="AO57">
            <v>19</v>
          </cell>
          <cell r="AP57">
            <v>8</v>
          </cell>
          <cell r="AQ57">
            <v>1</v>
          </cell>
          <cell r="AR57">
            <v>7.5</v>
          </cell>
          <cell r="AS57">
            <v>26.5</v>
          </cell>
          <cell r="AT57">
            <v>0</v>
          </cell>
          <cell r="AU57">
            <v>0</v>
          </cell>
          <cell r="AV57">
            <v>0</v>
          </cell>
          <cell r="AW57">
            <v>0</v>
          </cell>
          <cell r="AX57">
            <v>1</v>
          </cell>
          <cell r="AY57">
            <v>0</v>
          </cell>
          <cell r="AZ57">
            <v>1</v>
          </cell>
          <cell r="BA57">
            <v>26.5</v>
          </cell>
          <cell r="BB57">
            <v>0</v>
          </cell>
          <cell r="BC57">
            <v>95</v>
          </cell>
          <cell r="BD57">
            <v>60</v>
          </cell>
          <cell r="BE57">
            <v>40</v>
          </cell>
          <cell r="BF57">
            <v>1060</v>
          </cell>
          <cell r="BI57">
            <v>0</v>
          </cell>
          <cell r="BJ57">
            <v>1060</v>
          </cell>
        </row>
        <row r="58">
          <cell r="B58">
            <v>48</v>
          </cell>
          <cell r="C58" t="str">
            <v>HUAMAN HURTADO PEDRO</v>
          </cell>
          <cell r="D58">
            <v>39342</v>
          </cell>
          <cell r="E58">
            <v>39897</v>
          </cell>
          <cell r="F58" t="str">
            <v>TERMINO DE OBRA</v>
          </cell>
          <cell r="G58" t="str">
            <v>Ayudante Perforista</v>
          </cell>
          <cell r="H58" t="str">
            <v>ING. ORIUNDO</v>
          </cell>
          <cell r="I58" t="str">
            <v>ACTIVO</v>
          </cell>
          <cell r="J58" t="str">
            <v>T</v>
          </cell>
          <cell r="K58" t="str">
            <v>T</v>
          </cell>
          <cell r="L58" t="str">
            <v>T</v>
          </cell>
          <cell r="M58" t="str">
            <v>T</v>
          </cell>
          <cell r="N58" t="str">
            <v>T</v>
          </cell>
          <cell r="O58" t="str">
            <v>T</v>
          </cell>
          <cell r="P58" t="str">
            <v>DL</v>
          </cell>
          <cell r="Q58" t="str">
            <v>DL</v>
          </cell>
          <cell r="R58" t="str">
            <v>DL</v>
          </cell>
          <cell r="S58" t="str">
            <v>DL</v>
          </cell>
          <cell r="T58" t="str">
            <v>DL</v>
          </cell>
          <cell r="U58" t="str">
            <v>DL</v>
          </cell>
          <cell r="V58" t="str">
            <v>DL</v>
          </cell>
          <cell r="W58" t="str">
            <v>T</v>
          </cell>
          <cell r="X58" t="str">
            <v>T</v>
          </cell>
          <cell r="Y58" t="str">
            <v>T</v>
          </cell>
          <cell r="Z58" t="str">
            <v>T</v>
          </cell>
          <cell r="AA58" t="str">
            <v>T</v>
          </cell>
          <cell r="AB58" t="str">
            <v>T</v>
          </cell>
          <cell r="AC58" t="str">
            <v>T</v>
          </cell>
          <cell r="AD58" t="str">
            <v>T</v>
          </cell>
          <cell r="AE58" t="str">
            <v>T</v>
          </cell>
          <cell r="AF58" t="str">
            <v>T</v>
          </cell>
          <cell r="AG58" t="str">
            <v>T</v>
          </cell>
          <cell r="AH58" t="str">
            <v>T</v>
          </cell>
          <cell r="AI58" t="str">
            <v>T</v>
          </cell>
          <cell r="AJ58" t="str">
            <v>T</v>
          </cell>
          <cell r="AK58" t="str">
            <v>DL</v>
          </cell>
          <cell r="AL58">
            <v>6</v>
          </cell>
          <cell r="AO58">
            <v>20</v>
          </cell>
          <cell r="AP58">
            <v>8</v>
          </cell>
          <cell r="AQ58">
            <v>0</v>
          </cell>
          <cell r="AR58">
            <v>8</v>
          </cell>
          <cell r="AS58">
            <v>28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28</v>
          </cell>
          <cell r="BB58">
            <v>0</v>
          </cell>
          <cell r="BC58">
            <v>100</v>
          </cell>
          <cell r="BD58">
            <v>60</v>
          </cell>
          <cell r="BE58">
            <v>40</v>
          </cell>
          <cell r="BF58">
            <v>1120</v>
          </cell>
          <cell r="BI58">
            <v>0</v>
          </cell>
          <cell r="BJ58">
            <v>1120</v>
          </cell>
        </row>
        <row r="59">
          <cell r="B59">
            <v>49</v>
          </cell>
          <cell r="C59" t="str">
            <v>HUAYTA ALARCON DAVID FRANCISCO</v>
          </cell>
          <cell r="D59">
            <v>39500</v>
          </cell>
          <cell r="E59">
            <v>39897</v>
          </cell>
          <cell r="F59" t="str">
            <v>TERMINO DE OBRA</v>
          </cell>
          <cell r="G59" t="str">
            <v>Capataz</v>
          </cell>
          <cell r="H59" t="str">
            <v>ING. ORIUNDO</v>
          </cell>
          <cell r="I59" t="str">
            <v>ACTIVO</v>
          </cell>
          <cell r="J59" t="str">
            <v>T</v>
          </cell>
          <cell r="K59" t="str">
            <v>T</v>
          </cell>
          <cell r="L59" t="str">
            <v>T</v>
          </cell>
          <cell r="M59" t="str">
            <v>T</v>
          </cell>
          <cell r="N59" t="str">
            <v>T</v>
          </cell>
          <cell r="O59" t="str">
            <v>T</v>
          </cell>
          <cell r="P59" t="str">
            <v>DL</v>
          </cell>
          <cell r="Q59" t="str">
            <v>DL</v>
          </cell>
          <cell r="R59" t="str">
            <v>DL</v>
          </cell>
          <cell r="S59" t="str">
            <v>DL</v>
          </cell>
          <cell r="T59" t="str">
            <v>DL</v>
          </cell>
          <cell r="U59" t="str">
            <v>DL</v>
          </cell>
          <cell r="V59" t="str">
            <v>DL</v>
          </cell>
          <cell r="W59" t="str">
            <v>PER</v>
          </cell>
          <cell r="X59" t="str">
            <v>S</v>
          </cell>
          <cell r="Y59" t="str">
            <v>T</v>
          </cell>
          <cell r="Z59" t="str">
            <v>T</v>
          </cell>
          <cell r="AA59" t="str">
            <v>T</v>
          </cell>
          <cell r="AB59" t="str">
            <v>T</v>
          </cell>
          <cell r="AC59" t="str">
            <v>T</v>
          </cell>
          <cell r="AD59" t="str">
            <v>T</v>
          </cell>
          <cell r="AE59" t="str">
            <v>T</v>
          </cell>
          <cell r="AF59" t="str">
            <v>T</v>
          </cell>
          <cell r="AG59" t="str">
            <v>T</v>
          </cell>
          <cell r="AH59" t="str">
            <v>T</v>
          </cell>
          <cell r="AI59" t="str">
            <v>T</v>
          </cell>
          <cell r="AJ59" t="str">
            <v>T</v>
          </cell>
          <cell r="AK59" t="str">
            <v>DL</v>
          </cell>
          <cell r="AL59">
            <v>6</v>
          </cell>
          <cell r="AO59">
            <v>18</v>
          </cell>
          <cell r="AP59">
            <v>8</v>
          </cell>
          <cell r="AQ59">
            <v>1</v>
          </cell>
          <cell r="AR59">
            <v>7.5</v>
          </cell>
          <cell r="AS59">
            <v>25.5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1</v>
          </cell>
          <cell r="AY59">
            <v>1</v>
          </cell>
          <cell r="AZ59">
            <v>2</v>
          </cell>
          <cell r="BA59">
            <v>25.5</v>
          </cell>
          <cell r="BB59">
            <v>0</v>
          </cell>
          <cell r="BC59">
            <v>90</v>
          </cell>
          <cell r="BD59">
            <v>60</v>
          </cell>
          <cell r="BE59">
            <v>70</v>
          </cell>
          <cell r="BF59">
            <v>1785</v>
          </cell>
          <cell r="BI59">
            <v>0</v>
          </cell>
          <cell r="BJ59">
            <v>1785</v>
          </cell>
        </row>
        <row r="60">
          <cell r="B60">
            <v>50</v>
          </cell>
          <cell r="C60" t="str">
            <v>HUAYTA QUIZA FILOMENO RUFINO</v>
          </cell>
          <cell r="D60">
            <v>39505</v>
          </cell>
          <cell r="E60">
            <v>39897</v>
          </cell>
          <cell r="F60" t="str">
            <v>TERMINO DE OBRA</v>
          </cell>
          <cell r="G60" t="str">
            <v>Operador de Scoop A</v>
          </cell>
          <cell r="H60" t="str">
            <v>ING. ORIUNDO</v>
          </cell>
          <cell r="I60" t="str">
            <v>ACTIVO</v>
          </cell>
          <cell r="J60" t="str">
            <v>T</v>
          </cell>
          <cell r="K60" t="str">
            <v>T</v>
          </cell>
          <cell r="L60" t="str">
            <v>T</v>
          </cell>
          <cell r="M60" t="str">
            <v>T</v>
          </cell>
          <cell r="N60" t="str">
            <v>T</v>
          </cell>
          <cell r="O60" t="str">
            <v>T</v>
          </cell>
          <cell r="P60" t="str">
            <v>DL</v>
          </cell>
          <cell r="Q60" t="str">
            <v>DL</v>
          </cell>
          <cell r="R60" t="str">
            <v>DL</v>
          </cell>
          <cell r="S60" t="str">
            <v>DL</v>
          </cell>
          <cell r="T60" t="str">
            <v>DL</v>
          </cell>
          <cell r="U60" t="str">
            <v>DL</v>
          </cell>
          <cell r="V60" t="str">
            <v>DL</v>
          </cell>
          <cell r="W60" t="str">
            <v>T</v>
          </cell>
          <cell r="X60" t="str">
            <v>T</v>
          </cell>
          <cell r="Y60" t="str">
            <v>T</v>
          </cell>
          <cell r="Z60" t="str">
            <v>T</v>
          </cell>
          <cell r="AA60" t="str">
            <v>T</v>
          </cell>
          <cell r="AB60" t="str">
            <v>T</v>
          </cell>
          <cell r="AC60" t="str">
            <v>T</v>
          </cell>
          <cell r="AD60" t="str">
            <v>T</v>
          </cell>
          <cell r="AE60" t="str">
            <v>T</v>
          </cell>
          <cell r="AF60" t="str">
            <v>T</v>
          </cell>
          <cell r="AG60" t="str">
            <v>T</v>
          </cell>
          <cell r="AH60" t="str">
            <v>T</v>
          </cell>
          <cell r="AI60" t="str">
            <v>T</v>
          </cell>
          <cell r="AJ60" t="str">
            <v>T</v>
          </cell>
          <cell r="AK60" t="str">
            <v>DL</v>
          </cell>
          <cell r="AL60">
            <v>6</v>
          </cell>
          <cell r="AO60">
            <v>20</v>
          </cell>
          <cell r="AP60">
            <v>8</v>
          </cell>
          <cell r="AQ60">
            <v>0</v>
          </cell>
          <cell r="AR60">
            <v>8</v>
          </cell>
          <cell r="AS60">
            <v>28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28</v>
          </cell>
          <cell r="BB60">
            <v>0</v>
          </cell>
          <cell r="BC60">
            <v>100</v>
          </cell>
          <cell r="BD60">
            <v>60</v>
          </cell>
          <cell r="BE60">
            <v>55</v>
          </cell>
          <cell r="BF60">
            <v>1540</v>
          </cell>
          <cell r="BI60">
            <v>0</v>
          </cell>
          <cell r="BJ60">
            <v>1540</v>
          </cell>
        </row>
        <row r="61">
          <cell r="B61">
            <v>51</v>
          </cell>
          <cell r="C61" t="str">
            <v>LEIVA GOMEZ RAUL</v>
          </cell>
          <cell r="D61">
            <v>39375</v>
          </cell>
          <cell r="E61">
            <v>39897</v>
          </cell>
          <cell r="F61" t="str">
            <v>TERMINO DE OBRA</v>
          </cell>
          <cell r="G61" t="str">
            <v>Perforista A</v>
          </cell>
          <cell r="H61" t="str">
            <v>ING. ACERO</v>
          </cell>
          <cell r="I61" t="str">
            <v>ACTIVO</v>
          </cell>
          <cell r="J61" t="str">
            <v>V</v>
          </cell>
          <cell r="K61" t="str">
            <v>V</v>
          </cell>
          <cell r="L61" t="str">
            <v>V</v>
          </cell>
          <cell r="M61" t="str">
            <v>V</v>
          </cell>
          <cell r="N61" t="str">
            <v>V</v>
          </cell>
          <cell r="O61" t="str">
            <v>V</v>
          </cell>
          <cell r="P61" t="str">
            <v>V</v>
          </cell>
          <cell r="Q61" t="str">
            <v>V</v>
          </cell>
          <cell r="R61" t="str">
            <v>V</v>
          </cell>
          <cell r="S61" t="str">
            <v>V</v>
          </cell>
          <cell r="T61" t="str">
            <v>V</v>
          </cell>
          <cell r="U61" t="str">
            <v>V</v>
          </cell>
          <cell r="V61" t="str">
            <v>V</v>
          </cell>
          <cell r="W61" t="str">
            <v>V</v>
          </cell>
          <cell r="X61" t="str">
            <v>V</v>
          </cell>
          <cell r="Y61" t="str">
            <v>V</v>
          </cell>
          <cell r="Z61" t="str">
            <v>V</v>
          </cell>
          <cell r="AA61" t="str">
            <v>V</v>
          </cell>
          <cell r="AB61" t="str">
            <v>V</v>
          </cell>
          <cell r="AC61" t="str">
            <v>V</v>
          </cell>
          <cell r="AD61" t="str">
            <v>V</v>
          </cell>
          <cell r="AE61" t="str">
            <v>V</v>
          </cell>
          <cell r="AF61" t="str">
            <v>V</v>
          </cell>
          <cell r="AG61" t="str">
            <v>V</v>
          </cell>
          <cell r="AH61" t="str">
            <v>V</v>
          </cell>
          <cell r="AI61" t="str">
            <v>V</v>
          </cell>
          <cell r="AJ61" t="str">
            <v>V</v>
          </cell>
          <cell r="AK61" t="str">
            <v>V</v>
          </cell>
          <cell r="AL61">
            <v>6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28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60</v>
          </cell>
          <cell r="BE61">
            <v>50</v>
          </cell>
          <cell r="BF61">
            <v>0</v>
          </cell>
          <cell r="BI61">
            <v>0</v>
          </cell>
          <cell r="BJ61">
            <v>0</v>
          </cell>
        </row>
        <row r="62">
          <cell r="B62">
            <v>52</v>
          </cell>
          <cell r="C62" t="str">
            <v>LEON ARIAS, EDWIN BRUCE</v>
          </cell>
          <cell r="D62">
            <v>39320</v>
          </cell>
          <cell r="E62">
            <v>39897</v>
          </cell>
          <cell r="F62" t="str">
            <v>TERMINO DE OBRA</v>
          </cell>
          <cell r="G62" t="str">
            <v>Operador de Scoop B</v>
          </cell>
          <cell r="H62" t="str">
            <v>ING. ACERO</v>
          </cell>
          <cell r="I62" t="str">
            <v>ACTIVO</v>
          </cell>
          <cell r="J62" t="str">
            <v>DL</v>
          </cell>
          <cell r="K62" t="str">
            <v>DL</v>
          </cell>
          <cell r="L62" t="str">
            <v>DL</v>
          </cell>
          <cell r="M62" t="str">
            <v>DL</v>
          </cell>
          <cell r="N62" t="str">
            <v>DL</v>
          </cell>
          <cell r="O62" t="str">
            <v>DL</v>
          </cell>
          <cell r="P62" t="str">
            <v>T</v>
          </cell>
          <cell r="Q62" t="str">
            <v>T</v>
          </cell>
          <cell r="R62" t="str">
            <v>T</v>
          </cell>
          <cell r="S62" t="str">
            <v>T</v>
          </cell>
          <cell r="T62" t="str">
            <v>T</v>
          </cell>
          <cell r="U62" t="str">
            <v>T</v>
          </cell>
          <cell r="V62" t="str">
            <v>T</v>
          </cell>
          <cell r="W62" t="str">
            <v>T</v>
          </cell>
          <cell r="X62" t="str">
            <v>T</v>
          </cell>
          <cell r="Y62" t="str">
            <v>T</v>
          </cell>
          <cell r="Z62" t="str">
            <v>T</v>
          </cell>
          <cell r="AA62" t="str">
            <v>T</v>
          </cell>
          <cell r="AB62" t="str">
            <v>T</v>
          </cell>
          <cell r="AC62" t="str">
            <v>T</v>
          </cell>
          <cell r="AD62" t="str">
            <v>DL</v>
          </cell>
          <cell r="AE62" t="str">
            <v>DL</v>
          </cell>
          <cell r="AF62" t="str">
            <v>DL</v>
          </cell>
          <cell r="AG62" t="str">
            <v>DL</v>
          </cell>
          <cell r="AH62" t="str">
            <v>DL</v>
          </cell>
          <cell r="AI62" t="str">
            <v>DL</v>
          </cell>
          <cell r="AJ62" t="str">
            <v>DL</v>
          </cell>
          <cell r="AK62" t="str">
            <v>T</v>
          </cell>
          <cell r="AL62">
            <v>0.5</v>
          </cell>
          <cell r="AO62">
            <v>15</v>
          </cell>
          <cell r="AP62">
            <v>13</v>
          </cell>
          <cell r="AQ62">
            <v>0</v>
          </cell>
          <cell r="AR62">
            <v>13</v>
          </cell>
          <cell r="AS62">
            <v>28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28</v>
          </cell>
          <cell r="BB62">
            <v>0</v>
          </cell>
          <cell r="BC62">
            <v>75</v>
          </cell>
          <cell r="BD62">
            <v>60</v>
          </cell>
          <cell r="BE62">
            <v>50</v>
          </cell>
          <cell r="BF62">
            <v>1400</v>
          </cell>
          <cell r="BI62">
            <v>0</v>
          </cell>
          <cell r="BJ62">
            <v>1400</v>
          </cell>
        </row>
        <row r="63">
          <cell r="B63">
            <v>53</v>
          </cell>
          <cell r="C63" t="str">
            <v>LLAMOCA CJURO, FELIPE</v>
          </cell>
          <cell r="D63">
            <v>39322</v>
          </cell>
          <cell r="E63">
            <v>39897</v>
          </cell>
          <cell r="F63" t="str">
            <v>TERMINO DE OBRA</v>
          </cell>
          <cell r="G63" t="str">
            <v>Operador de Scoop A</v>
          </cell>
          <cell r="H63" t="str">
            <v>ING. CASTILLON</v>
          </cell>
          <cell r="I63" t="str">
            <v>ACTIVO</v>
          </cell>
          <cell r="J63" t="str">
            <v>T</v>
          </cell>
          <cell r="K63" t="str">
            <v>T</v>
          </cell>
          <cell r="L63" t="str">
            <v>T</v>
          </cell>
          <cell r="M63" t="str">
            <v>T</v>
          </cell>
          <cell r="N63" t="str">
            <v>T</v>
          </cell>
          <cell r="O63" t="str">
            <v>T</v>
          </cell>
          <cell r="P63" t="str">
            <v>T</v>
          </cell>
          <cell r="Q63" t="str">
            <v>T</v>
          </cell>
          <cell r="R63" t="str">
            <v>T</v>
          </cell>
          <cell r="S63" t="str">
            <v>T</v>
          </cell>
          <cell r="T63" t="str">
            <v>T</v>
          </cell>
          <cell r="U63" t="str">
            <v>T</v>
          </cell>
          <cell r="V63" t="str">
            <v>T</v>
          </cell>
          <cell r="W63" t="str">
            <v>DL</v>
          </cell>
          <cell r="X63" t="str">
            <v>DL</v>
          </cell>
          <cell r="Y63" t="str">
            <v>DL</v>
          </cell>
          <cell r="Z63" t="str">
            <v>DL</v>
          </cell>
          <cell r="AA63" t="str">
            <v>DL</v>
          </cell>
          <cell r="AB63" t="str">
            <v>DL</v>
          </cell>
          <cell r="AC63" t="str">
            <v>DL</v>
          </cell>
          <cell r="AD63" t="str">
            <v>T</v>
          </cell>
          <cell r="AE63" t="str">
            <v>T</v>
          </cell>
          <cell r="AF63" t="str">
            <v>T</v>
          </cell>
          <cell r="AG63" t="str">
            <v>T</v>
          </cell>
          <cell r="AH63" t="str">
            <v>T</v>
          </cell>
          <cell r="AI63" t="str">
            <v>T</v>
          </cell>
          <cell r="AJ63" t="str">
            <v>T</v>
          </cell>
          <cell r="AK63" t="str">
            <v>T</v>
          </cell>
          <cell r="AL63">
            <v>4</v>
          </cell>
          <cell r="AO63">
            <v>21</v>
          </cell>
          <cell r="AP63">
            <v>7</v>
          </cell>
          <cell r="AQ63">
            <v>0</v>
          </cell>
          <cell r="AR63">
            <v>7</v>
          </cell>
          <cell r="AS63">
            <v>28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28</v>
          </cell>
          <cell r="BB63">
            <v>0</v>
          </cell>
          <cell r="BC63">
            <v>105</v>
          </cell>
          <cell r="BD63">
            <v>60</v>
          </cell>
          <cell r="BE63">
            <v>55</v>
          </cell>
          <cell r="BF63">
            <v>1540</v>
          </cell>
          <cell r="BI63">
            <v>0</v>
          </cell>
          <cell r="BJ63">
            <v>1540</v>
          </cell>
        </row>
        <row r="64">
          <cell r="B64">
            <v>54</v>
          </cell>
          <cell r="C64" t="str">
            <v>LOPEZ JARA, JULIO JULIAN</v>
          </cell>
          <cell r="D64">
            <v>39323</v>
          </cell>
          <cell r="E64">
            <v>39897</v>
          </cell>
          <cell r="F64" t="str">
            <v>TERMINO DE OBRA</v>
          </cell>
          <cell r="G64" t="str">
            <v>Bodeguero</v>
          </cell>
          <cell r="H64" t="str">
            <v xml:space="preserve">ING. CASTILLON </v>
          </cell>
          <cell r="I64" t="str">
            <v>ACTIVO</v>
          </cell>
          <cell r="J64" t="str">
            <v>T</v>
          </cell>
          <cell r="K64" t="str">
            <v>T</v>
          </cell>
          <cell r="L64" t="str">
            <v>T</v>
          </cell>
          <cell r="M64" t="str">
            <v>T</v>
          </cell>
          <cell r="N64" t="str">
            <v>T</v>
          </cell>
          <cell r="O64" t="str">
            <v>T</v>
          </cell>
          <cell r="P64" t="str">
            <v>T</v>
          </cell>
          <cell r="Q64" t="str">
            <v>T</v>
          </cell>
          <cell r="R64" t="str">
            <v>T</v>
          </cell>
          <cell r="S64" t="str">
            <v>T</v>
          </cell>
          <cell r="T64" t="str">
            <v>T</v>
          </cell>
          <cell r="U64" t="str">
            <v>T</v>
          </cell>
          <cell r="V64" t="str">
            <v>T</v>
          </cell>
          <cell r="W64" t="str">
            <v>DL</v>
          </cell>
          <cell r="X64" t="str">
            <v>DL</v>
          </cell>
          <cell r="Y64" t="str">
            <v>DL</v>
          </cell>
          <cell r="Z64" t="str">
            <v>DL</v>
          </cell>
          <cell r="AA64" t="str">
            <v>DL</v>
          </cell>
          <cell r="AB64" t="str">
            <v>DL</v>
          </cell>
          <cell r="AC64" t="str">
            <v>DL</v>
          </cell>
          <cell r="AD64" t="str">
            <v>T</v>
          </cell>
          <cell r="AE64" t="str">
            <v>T</v>
          </cell>
          <cell r="AF64" t="str">
            <v>T</v>
          </cell>
          <cell r="AG64" t="str">
            <v>T</v>
          </cell>
          <cell r="AH64" t="str">
            <v>T</v>
          </cell>
          <cell r="AI64" t="str">
            <v>T</v>
          </cell>
          <cell r="AJ64" t="str">
            <v>T</v>
          </cell>
          <cell r="AK64" t="str">
            <v>T</v>
          </cell>
          <cell r="AL64">
            <v>4</v>
          </cell>
          <cell r="AO64">
            <v>21</v>
          </cell>
          <cell r="AP64">
            <v>7</v>
          </cell>
          <cell r="AQ64">
            <v>0</v>
          </cell>
          <cell r="AR64">
            <v>7</v>
          </cell>
          <cell r="AS64">
            <v>28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28</v>
          </cell>
          <cell r="BB64">
            <v>0</v>
          </cell>
          <cell r="BC64">
            <v>105</v>
          </cell>
          <cell r="BD64">
            <v>60</v>
          </cell>
          <cell r="BE64">
            <v>45</v>
          </cell>
          <cell r="BF64">
            <v>1260</v>
          </cell>
          <cell r="BI64">
            <v>0</v>
          </cell>
          <cell r="BJ64">
            <v>1260</v>
          </cell>
        </row>
        <row r="65">
          <cell r="B65">
            <v>55</v>
          </cell>
          <cell r="C65" t="str">
            <v>LOPEZ SHICSHE BISCOP ABEL</v>
          </cell>
          <cell r="D65">
            <v>39392</v>
          </cell>
          <cell r="E65">
            <v>39897</v>
          </cell>
          <cell r="F65" t="str">
            <v>TERMINO DE OBRA</v>
          </cell>
          <cell r="G65" t="str">
            <v>Operador de Scoop A</v>
          </cell>
          <cell r="H65" t="str">
            <v xml:space="preserve">ING. CASTILLON </v>
          </cell>
          <cell r="I65" t="str">
            <v>ACTIVO</v>
          </cell>
          <cell r="J65" t="str">
            <v>V</v>
          </cell>
          <cell r="K65" t="str">
            <v>V</v>
          </cell>
          <cell r="L65" t="str">
            <v>V</v>
          </cell>
          <cell r="M65" t="str">
            <v>V</v>
          </cell>
          <cell r="N65" t="str">
            <v>V</v>
          </cell>
          <cell r="O65" t="str">
            <v>V</v>
          </cell>
          <cell r="P65" t="str">
            <v>V</v>
          </cell>
          <cell r="Q65" t="str">
            <v>V</v>
          </cell>
          <cell r="R65" t="str">
            <v>V</v>
          </cell>
          <cell r="S65" t="str">
            <v>V</v>
          </cell>
          <cell r="T65" t="str">
            <v>V</v>
          </cell>
          <cell r="U65" t="str">
            <v>V</v>
          </cell>
          <cell r="V65" t="str">
            <v>V</v>
          </cell>
          <cell r="W65" t="str">
            <v>V</v>
          </cell>
          <cell r="X65" t="str">
            <v>V</v>
          </cell>
          <cell r="Y65" t="str">
            <v>V</v>
          </cell>
          <cell r="Z65" t="str">
            <v>V</v>
          </cell>
          <cell r="AA65" t="str">
            <v>V</v>
          </cell>
          <cell r="AB65" t="str">
            <v>V</v>
          </cell>
          <cell r="AC65" t="str">
            <v>V</v>
          </cell>
          <cell r="AD65" t="str">
            <v>V</v>
          </cell>
          <cell r="AE65" t="str">
            <v>V</v>
          </cell>
          <cell r="AF65" t="str">
            <v>V</v>
          </cell>
          <cell r="AG65" t="str">
            <v>V</v>
          </cell>
          <cell r="AH65" t="str">
            <v>V</v>
          </cell>
          <cell r="AI65" t="str">
            <v>V</v>
          </cell>
          <cell r="AJ65" t="str">
            <v>V</v>
          </cell>
          <cell r="AK65" t="str">
            <v>V</v>
          </cell>
          <cell r="AL65">
            <v>0.5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28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60</v>
          </cell>
          <cell r="BE65">
            <v>55</v>
          </cell>
          <cell r="BF65">
            <v>0</v>
          </cell>
          <cell r="BI65">
            <v>0</v>
          </cell>
          <cell r="BJ65">
            <v>0</v>
          </cell>
        </row>
        <row r="66">
          <cell r="B66">
            <v>56</v>
          </cell>
          <cell r="C66" t="str">
            <v>LUIS RAPRI KLIVER HIPOLITO</v>
          </cell>
          <cell r="D66">
            <v>39320</v>
          </cell>
          <cell r="E66">
            <v>39897</v>
          </cell>
          <cell r="F66" t="str">
            <v>TERMINO DE OBRA</v>
          </cell>
          <cell r="G66" t="str">
            <v>Chofer</v>
          </cell>
          <cell r="H66" t="str">
            <v>ING. ACERO</v>
          </cell>
          <cell r="I66" t="str">
            <v>ACTIVO</v>
          </cell>
          <cell r="J66" t="str">
            <v>DL</v>
          </cell>
          <cell r="K66" t="str">
            <v>DL</v>
          </cell>
          <cell r="L66" t="str">
            <v>DL</v>
          </cell>
          <cell r="M66" t="str">
            <v>DL</v>
          </cell>
          <cell r="N66" t="str">
            <v>DL</v>
          </cell>
          <cell r="O66" t="str">
            <v>DL</v>
          </cell>
          <cell r="P66" t="str">
            <v>T</v>
          </cell>
          <cell r="Q66" t="str">
            <v>T</v>
          </cell>
          <cell r="R66" t="str">
            <v>T</v>
          </cell>
          <cell r="S66" t="str">
            <v>T</v>
          </cell>
          <cell r="T66" t="str">
            <v>T</v>
          </cell>
          <cell r="U66" t="str">
            <v>T</v>
          </cell>
          <cell r="V66" t="str">
            <v>T</v>
          </cell>
          <cell r="W66" t="str">
            <v>T</v>
          </cell>
          <cell r="X66" t="str">
            <v>T</v>
          </cell>
          <cell r="Y66" t="str">
            <v>T</v>
          </cell>
          <cell r="Z66" t="str">
            <v>T</v>
          </cell>
          <cell r="AA66" t="str">
            <v>T</v>
          </cell>
          <cell r="AB66" t="str">
            <v>T</v>
          </cell>
          <cell r="AC66" t="str">
            <v>T</v>
          </cell>
          <cell r="AD66" t="str">
            <v>DL</v>
          </cell>
          <cell r="AE66" t="str">
            <v>DL</v>
          </cell>
          <cell r="AF66" t="str">
            <v>DL</v>
          </cell>
          <cell r="AG66" t="str">
            <v>DL</v>
          </cell>
          <cell r="AH66" t="str">
            <v>DL</v>
          </cell>
          <cell r="AI66" t="str">
            <v>DL</v>
          </cell>
          <cell r="AJ66" t="str">
            <v>DL</v>
          </cell>
          <cell r="AK66" t="str">
            <v>T</v>
          </cell>
          <cell r="AL66">
            <v>0.5</v>
          </cell>
          <cell r="AO66">
            <v>15</v>
          </cell>
          <cell r="AP66">
            <v>13</v>
          </cell>
          <cell r="AQ66">
            <v>0</v>
          </cell>
          <cell r="AR66">
            <v>13</v>
          </cell>
          <cell r="AS66">
            <v>28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28</v>
          </cell>
          <cell r="BB66">
            <v>0</v>
          </cell>
          <cell r="BC66">
            <v>75</v>
          </cell>
          <cell r="BD66">
            <v>60</v>
          </cell>
          <cell r="BE66">
            <v>40</v>
          </cell>
          <cell r="BF66">
            <v>1120</v>
          </cell>
          <cell r="BI66">
            <v>0</v>
          </cell>
          <cell r="BJ66">
            <v>1120</v>
          </cell>
        </row>
        <row r="67">
          <cell r="B67">
            <v>57</v>
          </cell>
          <cell r="C67" t="str">
            <v>MALPICA PECHO, CELSO</v>
          </cell>
          <cell r="D67">
            <v>39322</v>
          </cell>
          <cell r="E67">
            <v>39897</v>
          </cell>
          <cell r="F67" t="str">
            <v>TERMINO DE OBRA</v>
          </cell>
          <cell r="G67" t="str">
            <v>Perforista B</v>
          </cell>
          <cell r="H67" t="str">
            <v>ING. CASTILLON</v>
          </cell>
          <cell r="I67" t="str">
            <v>ACTIVO</v>
          </cell>
          <cell r="J67" t="str">
            <v>T</v>
          </cell>
          <cell r="K67" t="str">
            <v>T</v>
          </cell>
          <cell r="L67" t="str">
            <v>T</v>
          </cell>
          <cell r="M67" t="str">
            <v>T</v>
          </cell>
          <cell r="N67" t="str">
            <v>T</v>
          </cell>
          <cell r="O67" t="str">
            <v>T</v>
          </cell>
          <cell r="P67" t="str">
            <v>T</v>
          </cell>
          <cell r="Q67" t="str">
            <v>T</v>
          </cell>
          <cell r="R67" t="str">
            <v>T</v>
          </cell>
          <cell r="S67" t="str">
            <v>T</v>
          </cell>
          <cell r="T67" t="str">
            <v>T</v>
          </cell>
          <cell r="U67" t="str">
            <v>T</v>
          </cell>
          <cell r="V67" t="str">
            <v>T</v>
          </cell>
          <cell r="W67" t="str">
            <v>DL</v>
          </cell>
          <cell r="X67" t="str">
            <v>DL</v>
          </cell>
          <cell r="Y67" t="str">
            <v>DL</v>
          </cell>
          <cell r="Z67" t="str">
            <v>DL</v>
          </cell>
          <cell r="AA67" t="str">
            <v>DL</v>
          </cell>
          <cell r="AB67" t="str">
            <v>DL</v>
          </cell>
          <cell r="AC67" t="str">
            <v>DL</v>
          </cell>
          <cell r="AD67" t="str">
            <v>T</v>
          </cell>
          <cell r="AE67" t="str">
            <v>T</v>
          </cell>
          <cell r="AF67" t="str">
            <v>T</v>
          </cell>
          <cell r="AG67" t="str">
            <v>T</v>
          </cell>
          <cell r="AH67" t="str">
            <v>T</v>
          </cell>
          <cell r="AI67" t="str">
            <v>T</v>
          </cell>
          <cell r="AJ67" t="str">
            <v>T</v>
          </cell>
          <cell r="AK67" t="str">
            <v>T</v>
          </cell>
          <cell r="AL67">
            <v>4</v>
          </cell>
          <cell r="AO67">
            <v>21</v>
          </cell>
          <cell r="AP67">
            <v>7</v>
          </cell>
          <cell r="AQ67">
            <v>0</v>
          </cell>
          <cell r="AR67">
            <v>7</v>
          </cell>
          <cell r="AS67">
            <v>28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28</v>
          </cell>
          <cell r="BB67">
            <v>0</v>
          </cell>
          <cell r="BC67">
            <v>105</v>
          </cell>
          <cell r="BD67">
            <v>60</v>
          </cell>
          <cell r="BE67">
            <v>45</v>
          </cell>
          <cell r="BF67">
            <v>1260</v>
          </cell>
          <cell r="BI67">
            <v>0</v>
          </cell>
          <cell r="BJ67">
            <v>1260</v>
          </cell>
        </row>
        <row r="68">
          <cell r="B68">
            <v>58</v>
          </cell>
          <cell r="C68" t="str">
            <v>MAMANI TORRES MARCO ANTONIO</v>
          </cell>
          <cell r="D68">
            <v>39460</v>
          </cell>
          <cell r="E68">
            <v>39897</v>
          </cell>
          <cell r="F68" t="str">
            <v>TERMINO DE OBRA</v>
          </cell>
          <cell r="G68" t="str">
            <v>Chofer</v>
          </cell>
          <cell r="H68" t="str">
            <v>ING. ORIUNDO</v>
          </cell>
          <cell r="I68" t="str">
            <v>ACTIVO</v>
          </cell>
          <cell r="J68" t="str">
            <v>T</v>
          </cell>
          <cell r="K68" t="str">
            <v>T</v>
          </cell>
          <cell r="L68" t="str">
            <v>T</v>
          </cell>
          <cell r="M68" t="str">
            <v>T</v>
          </cell>
          <cell r="N68" t="str">
            <v>T</v>
          </cell>
          <cell r="O68" t="str">
            <v>T</v>
          </cell>
          <cell r="P68" t="str">
            <v>DL</v>
          </cell>
          <cell r="Q68" t="str">
            <v>DL</v>
          </cell>
          <cell r="R68" t="str">
            <v>DL</v>
          </cell>
          <cell r="S68" t="str">
            <v>DL</v>
          </cell>
          <cell r="T68" t="str">
            <v>DL</v>
          </cell>
          <cell r="U68" t="str">
            <v>DL</v>
          </cell>
          <cell r="V68" t="str">
            <v>DL</v>
          </cell>
          <cell r="W68" t="str">
            <v>T</v>
          </cell>
          <cell r="X68" t="str">
            <v>T</v>
          </cell>
          <cell r="Y68" t="str">
            <v>T</v>
          </cell>
          <cell r="Z68" t="str">
            <v>T</v>
          </cell>
          <cell r="AA68" t="str">
            <v>T</v>
          </cell>
          <cell r="AB68" t="str">
            <v>T</v>
          </cell>
          <cell r="AC68" t="str">
            <v>T</v>
          </cell>
          <cell r="AD68" t="str">
            <v>T</v>
          </cell>
          <cell r="AE68" t="str">
            <v>T</v>
          </cell>
          <cell r="AF68" t="str">
            <v>T</v>
          </cell>
          <cell r="AG68" t="str">
            <v>T</v>
          </cell>
          <cell r="AH68" t="str">
            <v>T</v>
          </cell>
          <cell r="AI68" t="str">
            <v>T</v>
          </cell>
          <cell r="AJ68" t="str">
            <v>T</v>
          </cell>
          <cell r="AK68" t="str">
            <v>DL</v>
          </cell>
          <cell r="AL68">
            <v>6</v>
          </cell>
          <cell r="AO68">
            <v>20</v>
          </cell>
          <cell r="AP68">
            <v>8</v>
          </cell>
          <cell r="AQ68">
            <v>0</v>
          </cell>
          <cell r="AR68">
            <v>8</v>
          </cell>
          <cell r="AS68">
            <v>28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28</v>
          </cell>
          <cell r="BB68">
            <v>0</v>
          </cell>
          <cell r="BC68">
            <v>100</v>
          </cell>
          <cell r="BD68">
            <v>60</v>
          </cell>
          <cell r="BE68">
            <v>40</v>
          </cell>
          <cell r="BF68">
            <v>1120</v>
          </cell>
          <cell r="BI68">
            <v>0</v>
          </cell>
          <cell r="BJ68">
            <v>1120</v>
          </cell>
        </row>
        <row r="69">
          <cell r="B69">
            <v>59</v>
          </cell>
          <cell r="C69" t="str">
            <v>MARCAÑAUPA ICHPAS TEODOSIO</v>
          </cell>
          <cell r="D69">
            <v>39702</v>
          </cell>
          <cell r="E69">
            <v>39897</v>
          </cell>
          <cell r="F69" t="str">
            <v>TERMINO DE OBRA</v>
          </cell>
          <cell r="G69" t="str">
            <v>Perforista A</v>
          </cell>
          <cell r="H69" t="str">
            <v>ING. CASTILLON</v>
          </cell>
          <cell r="I69" t="str">
            <v>ACTIVO</v>
          </cell>
          <cell r="J69" t="str">
            <v>T</v>
          </cell>
          <cell r="K69" t="str">
            <v>T</v>
          </cell>
          <cell r="L69" t="str">
            <v>T</v>
          </cell>
          <cell r="M69" t="str">
            <v>T</v>
          </cell>
          <cell r="N69" t="str">
            <v>T</v>
          </cell>
          <cell r="O69" t="str">
            <v>BM</v>
          </cell>
          <cell r="P69" t="str">
            <v>BM</v>
          </cell>
          <cell r="Q69" t="str">
            <v>T</v>
          </cell>
          <cell r="R69" t="str">
            <v>T</v>
          </cell>
          <cell r="S69" t="str">
            <v>T</v>
          </cell>
          <cell r="T69" t="str">
            <v>T</v>
          </cell>
          <cell r="U69" t="str">
            <v>T</v>
          </cell>
          <cell r="V69" t="str">
            <v>T</v>
          </cell>
          <cell r="W69" t="str">
            <v>DL</v>
          </cell>
          <cell r="X69" t="str">
            <v>DL</v>
          </cell>
          <cell r="Y69" t="str">
            <v>DL</v>
          </cell>
          <cell r="Z69" t="str">
            <v>DL</v>
          </cell>
          <cell r="AA69" t="str">
            <v>DL</v>
          </cell>
          <cell r="AB69" t="str">
            <v>DL</v>
          </cell>
          <cell r="AC69" t="str">
            <v>DL</v>
          </cell>
          <cell r="AD69" t="str">
            <v>T</v>
          </cell>
          <cell r="AE69" t="str">
            <v>T</v>
          </cell>
          <cell r="AF69" t="str">
            <v>T</v>
          </cell>
          <cell r="AG69" t="str">
            <v>T</v>
          </cell>
          <cell r="AH69" t="str">
            <v>T</v>
          </cell>
          <cell r="AI69" t="str">
            <v>T</v>
          </cell>
          <cell r="AJ69" t="str">
            <v>T</v>
          </cell>
          <cell r="AK69" t="str">
            <v>T</v>
          </cell>
          <cell r="AL69">
            <v>4</v>
          </cell>
          <cell r="AO69">
            <v>19</v>
          </cell>
          <cell r="AP69">
            <v>7</v>
          </cell>
          <cell r="AQ69">
            <v>0</v>
          </cell>
          <cell r="AR69">
            <v>7</v>
          </cell>
          <cell r="AS69">
            <v>26</v>
          </cell>
          <cell r="AT69">
            <v>0</v>
          </cell>
          <cell r="AU69">
            <v>0</v>
          </cell>
          <cell r="AV69">
            <v>2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28</v>
          </cell>
          <cell r="BB69">
            <v>0</v>
          </cell>
          <cell r="BC69">
            <v>95</v>
          </cell>
          <cell r="BD69">
            <v>60</v>
          </cell>
          <cell r="BE69">
            <v>50</v>
          </cell>
          <cell r="BF69">
            <v>1400</v>
          </cell>
          <cell r="BI69">
            <v>0</v>
          </cell>
          <cell r="BJ69">
            <v>1400</v>
          </cell>
        </row>
        <row r="70">
          <cell r="B70">
            <v>60</v>
          </cell>
          <cell r="C70" t="str">
            <v>MENDOZA CUEVA REQUELVE</v>
          </cell>
          <cell r="D70">
            <v>39569</v>
          </cell>
          <cell r="E70">
            <v>39897</v>
          </cell>
          <cell r="F70" t="str">
            <v>TERMINO DE OBRA</v>
          </cell>
          <cell r="G70" t="str">
            <v>Ayudante Perforista</v>
          </cell>
          <cell r="H70" t="str">
            <v>ING. ACERO</v>
          </cell>
          <cell r="I70" t="str">
            <v>ACTIVO</v>
          </cell>
          <cell r="J70" t="str">
            <v>DL</v>
          </cell>
          <cell r="K70" t="str">
            <v>DL</v>
          </cell>
          <cell r="L70" t="str">
            <v>DL</v>
          </cell>
          <cell r="M70" t="str">
            <v>DL</v>
          </cell>
          <cell r="N70" t="str">
            <v>DL</v>
          </cell>
          <cell r="O70" t="str">
            <v>DL</v>
          </cell>
          <cell r="P70" t="str">
            <v>T</v>
          </cell>
          <cell r="Q70" t="str">
            <v>T</v>
          </cell>
          <cell r="R70" t="str">
            <v>T</v>
          </cell>
          <cell r="S70" t="str">
            <v>T</v>
          </cell>
          <cell r="T70" t="str">
            <v>T</v>
          </cell>
          <cell r="U70" t="str">
            <v>T</v>
          </cell>
          <cell r="V70" t="str">
            <v>T</v>
          </cell>
          <cell r="W70" t="str">
            <v>T</v>
          </cell>
          <cell r="X70" t="str">
            <v>T</v>
          </cell>
          <cell r="Y70" t="str">
            <v>T</v>
          </cell>
          <cell r="Z70" t="str">
            <v>T</v>
          </cell>
          <cell r="AA70" t="str">
            <v>T</v>
          </cell>
          <cell r="AB70" t="str">
            <v>T</v>
          </cell>
          <cell r="AC70" t="str">
            <v>T</v>
          </cell>
          <cell r="AD70" t="str">
            <v>DL</v>
          </cell>
          <cell r="AE70" t="str">
            <v>DL</v>
          </cell>
          <cell r="AF70" t="str">
            <v>DL</v>
          </cell>
          <cell r="AG70" t="str">
            <v>DL</v>
          </cell>
          <cell r="AH70" t="str">
            <v>DL</v>
          </cell>
          <cell r="AI70" t="str">
            <v>DL</v>
          </cell>
          <cell r="AJ70" t="str">
            <v>DL</v>
          </cell>
          <cell r="AK70" t="str">
            <v>T</v>
          </cell>
          <cell r="AL70">
            <v>0.5</v>
          </cell>
          <cell r="AO70">
            <v>15</v>
          </cell>
          <cell r="AP70">
            <v>13</v>
          </cell>
          <cell r="AQ70">
            <v>0</v>
          </cell>
          <cell r="AR70">
            <v>13</v>
          </cell>
          <cell r="AS70">
            <v>28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28</v>
          </cell>
          <cell r="BB70">
            <v>0</v>
          </cell>
          <cell r="BC70">
            <v>75</v>
          </cell>
          <cell r="BD70">
            <v>60</v>
          </cell>
          <cell r="BE70">
            <v>40</v>
          </cell>
          <cell r="BF70">
            <v>1120</v>
          </cell>
          <cell r="BI70">
            <v>0</v>
          </cell>
          <cell r="BJ70">
            <v>1120</v>
          </cell>
        </row>
        <row r="71">
          <cell r="B71">
            <v>61</v>
          </cell>
          <cell r="C71" t="str">
            <v>MONAGO LEON OSCAR</v>
          </cell>
          <cell r="D71">
            <v>39694</v>
          </cell>
          <cell r="E71">
            <v>39897</v>
          </cell>
          <cell r="F71" t="str">
            <v>TERMINO DE OBRA</v>
          </cell>
          <cell r="G71" t="str">
            <v>Perforista A</v>
          </cell>
          <cell r="H71" t="str">
            <v>ING. ORIUNDO</v>
          </cell>
          <cell r="I71" t="str">
            <v>ACTIVO</v>
          </cell>
          <cell r="J71" t="str">
            <v>T</v>
          </cell>
          <cell r="K71" t="str">
            <v>T</v>
          </cell>
          <cell r="L71" t="str">
            <v>T</v>
          </cell>
          <cell r="M71" t="str">
            <v>T</v>
          </cell>
          <cell r="N71" t="str">
            <v>T</v>
          </cell>
          <cell r="O71" t="str">
            <v>T</v>
          </cell>
          <cell r="P71" t="str">
            <v>DL</v>
          </cell>
          <cell r="Q71" t="str">
            <v>DL</v>
          </cell>
          <cell r="R71" t="str">
            <v>DL</v>
          </cell>
          <cell r="S71" t="str">
            <v>DL</v>
          </cell>
          <cell r="T71" t="str">
            <v>DL</v>
          </cell>
          <cell r="U71" t="str">
            <v>DL</v>
          </cell>
          <cell r="V71" t="str">
            <v>DL</v>
          </cell>
          <cell r="W71" t="str">
            <v>T</v>
          </cell>
          <cell r="X71" t="str">
            <v>T</v>
          </cell>
          <cell r="Y71" t="str">
            <v>T</v>
          </cell>
          <cell r="Z71" t="str">
            <v>T</v>
          </cell>
          <cell r="AA71" t="str">
            <v>T</v>
          </cell>
          <cell r="AB71" t="str">
            <v>T</v>
          </cell>
          <cell r="AC71" t="str">
            <v>T</v>
          </cell>
          <cell r="AD71" t="str">
            <v>T</v>
          </cell>
          <cell r="AE71" t="str">
            <v>T</v>
          </cell>
          <cell r="AF71" t="str">
            <v>T</v>
          </cell>
          <cell r="AG71" t="str">
            <v>T</v>
          </cell>
          <cell r="AH71" t="str">
            <v>T</v>
          </cell>
          <cell r="AI71" t="str">
            <v>T</v>
          </cell>
          <cell r="AJ71" t="str">
            <v>T</v>
          </cell>
          <cell r="AK71" t="str">
            <v>DL</v>
          </cell>
          <cell r="AL71">
            <v>6</v>
          </cell>
          <cell r="AO71">
            <v>20</v>
          </cell>
          <cell r="AP71">
            <v>8</v>
          </cell>
          <cell r="AQ71">
            <v>0</v>
          </cell>
          <cell r="AR71">
            <v>8</v>
          </cell>
          <cell r="AS71">
            <v>28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28</v>
          </cell>
          <cell r="BB71">
            <v>0</v>
          </cell>
          <cell r="BC71">
            <v>100</v>
          </cell>
          <cell r="BD71">
            <v>60</v>
          </cell>
          <cell r="BE71">
            <v>50</v>
          </cell>
          <cell r="BF71">
            <v>1400</v>
          </cell>
          <cell r="BI71">
            <v>0</v>
          </cell>
          <cell r="BJ71">
            <v>1400</v>
          </cell>
        </row>
        <row r="72">
          <cell r="B72">
            <v>62</v>
          </cell>
          <cell r="C72" t="str">
            <v>MONAGO MEDINA EFRAIN MOISES</v>
          </cell>
          <cell r="D72">
            <v>39466</v>
          </cell>
          <cell r="E72">
            <v>39897</v>
          </cell>
          <cell r="F72" t="str">
            <v>TERMINO DE OBRA</v>
          </cell>
          <cell r="G72" t="str">
            <v>Operador de Scoop B</v>
          </cell>
          <cell r="H72" t="str">
            <v>ING. ORIUNDO</v>
          </cell>
          <cell r="I72" t="str">
            <v>ACTIVO</v>
          </cell>
          <cell r="J72" t="str">
            <v>T</v>
          </cell>
          <cell r="K72" t="str">
            <v>T</v>
          </cell>
          <cell r="L72" t="str">
            <v>T</v>
          </cell>
          <cell r="M72" t="str">
            <v>T</v>
          </cell>
          <cell r="N72" t="str">
            <v>T</v>
          </cell>
          <cell r="O72" t="str">
            <v>T</v>
          </cell>
          <cell r="P72" t="str">
            <v>DL</v>
          </cell>
          <cell r="Q72" t="str">
            <v>DL</v>
          </cell>
          <cell r="R72" t="str">
            <v>DL</v>
          </cell>
          <cell r="S72" t="str">
            <v>DL</v>
          </cell>
          <cell r="T72" t="str">
            <v>DL</v>
          </cell>
          <cell r="U72" t="str">
            <v>DL</v>
          </cell>
          <cell r="V72" t="str">
            <v>DL</v>
          </cell>
          <cell r="W72" t="str">
            <v>T</v>
          </cell>
          <cell r="X72" t="str">
            <v>T</v>
          </cell>
          <cell r="Y72" t="str">
            <v>T</v>
          </cell>
          <cell r="Z72" t="str">
            <v>T</v>
          </cell>
          <cell r="AA72" t="str">
            <v>T</v>
          </cell>
          <cell r="AB72" t="str">
            <v>T</v>
          </cell>
          <cell r="AC72" t="str">
            <v>T</v>
          </cell>
          <cell r="AD72" t="str">
            <v>T</v>
          </cell>
          <cell r="AE72" t="str">
            <v>T</v>
          </cell>
          <cell r="AF72" t="str">
            <v>T</v>
          </cell>
          <cell r="AG72" t="str">
            <v>T</v>
          </cell>
          <cell r="AH72" t="str">
            <v>T</v>
          </cell>
          <cell r="AI72" t="str">
            <v>T</v>
          </cell>
          <cell r="AJ72" t="str">
            <v>T</v>
          </cell>
          <cell r="AK72" t="str">
            <v>DL</v>
          </cell>
          <cell r="AL72">
            <v>6</v>
          </cell>
          <cell r="AO72">
            <v>20</v>
          </cell>
          <cell r="AP72">
            <v>8</v>
          </cell>
          <cell r="AQ72">
            <v>0</v>
          </cell>
          <cell r="AR72">
            <v>8</v>
          </cell>
          <cell r="AS72">
            <v>28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28</v>
          </cell>
          <cell r="BB72">
            <v>0</v>
          </cell>
          <cell r="BC72">
            <v>100</v>
          </cell>
          <cell r="BD72">
            <v>60</v>
          </cell>
          <cell r="BE72">
            <v>50</v>
          </cell>
          <cell r="BF72">
            <v>1400</v>
          </cell>
          <cell r="BI72">
            <v>0</v>
          </cell>
          <cell r="BJ72">
            <v>1400</v>
          </cell>
        </row>
        <row r="73">
          <cell r="B73">
            <v>63</v>
          </cell>
          <cell r="C73" t="str">
            <v>MORA JAVIER EDINSON JHON</v>
          </cell>
          <cell r="D73">
            <v>39485</v>
          </cell>
          <cell r="E73">
            <v>39897</v>
          </cell>
          <cell r="F73" t="str">
            <v>TERMINO DE OBRA</v>
          </cell>
          <cell r="G73" t="str">
            <v>Perforista B</v>
          </cell>
          <cell r="H73" t="str">
            <v>ING. CASTILLON</v>
          </cell>
          <cell r="I73" t="str">
            <v>ACTIVO</v>
          </cell>
          <cell r="J73" t="str">
            <v>T</v>
          </cell>
          <cell r="K73" t="str">
            <v>T</v>
          </cell>
          <cell r="L73" t="str">
            <v>T</v>
          </cell>
          <cell r="M73" t="str">
            <v>T</v>
          </cell>
          <cell r="N73" t="str">
            <v>T</v>
          </cell>
          <cell r="O73" t="str">
            <v>T</v>
          </cell>
          <cell r="P73" t="str">
            <v>T</v>
          </cell>
          <cell r="Q73" t="str">
            <v>T</v>
          </cell>
          <cell r="R73" t="str">
            <v>T</v>
          </cell>
          <cell r="S73" t="str">
            <v>T</v>
          </cell>
          <cell r="T73" t="str">
            <v>T</v>
          </cell>
          <cell r="U73" t="str">
            <v>T</v>
          </cell>
          <cell r="V73" t="str">
            <v>T</v>
          </cell>
          <cell r="W73" t="str">
            <v>DL</v>
          </cell>
          <cell r="X73" t="str">
            <v>DL</v>
          </cell>
          <cell r="Y73" t="str">
            <v>DL</v>
          </cell>
          <cell r="Z73" t="str">
            <v>DL</v>
          </cell>
          <cell r="AA73" t="str">
            <v>DL</v>
          </cell>
          <cell r="AB73" t="str">
            <v>DL</v>
          </cell>
          <cell r="AC73" t="str">
            <v>DL</v>
          </cell>
          <cell r="AD73" t="str">
            <v>T</v>
          </cell>
          <cell r="AE73" t="str">
            <v>T</v>
          </cell>
          <cell r="AF73" t="str">
            <v>T</v>
          </cell>
          <cell r="AG73" t="str">
            <v>T</v>
          </cell>
          <cell r="AH73" t="str">
            <v>T</v>
          </cell>
          <cell r="AI73" t="str">
            <v>T</v>
          </cell>
          <cell r="AJ73" t="str">
            <v>T</v>
          </cell>
          <cell r="AK73" t="str">
            <v>T</v>
          </cell>
          <cell r="AL73">
            <v>4</v>
          </cell>
          <cell r="AO73">
            <v>21</v>
          </cell>
          <cell r="AP73">
            <v>7</v>
          </cell>
          <cell r="AQ73">
            <v>0</v>
          </cell>
          <cell r="AR73">
            <v>7</v>
          </cell>
          <cell r="AS73">
            <v>28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28</v>
          </cell>
          <cell r="BB73">
            <v>0</v>
          </cell>
          <cell r="BC73">
            <v>105</v>
          </cell>
          <cell r="BD73">
            <v>60</v>
          </cell>
          <cell r="BE73">
            <v>45</v>
          </cell>
          <cell r="BF73">
            <v>1260</v>
          </cell>
          <cell r="BI73">
            <v>0</v>
          </cell>
          <cell r="BJ73">
            <v>1260</v>
          </cell>
        </row>
        <row r="74">
          <cell r="B74">
            <v>64</v>
          </cell>
          <cell r="C74" t="str">
            <v>NIÑO VENTURA, ALEJANDRO VICTOR</v>
          </cell>
          <cell r="D74">
            <v>1</v>
          </cell>
          <cell r="E74">
            <v>39897</v>
          </cell>
          <cell r="F74" t="str">
            <v>TERMINO DE OBRA</v>
          </cell>
          <cell r="G74" t="str">
            <v>Perforista A</v>
          </cell>
          <cell r="H74" t="str">
            <v>ING. ACERO</v>
          </cell>
          <cell r="I74" t="str">
            <v>ACTIVO</v>
          </cell>
          <cell r="J74" t="str">
            <v>DL</v>
          </cell>
          <cell r="K74" t="str">
            <v>DL</v>
          </cell>
          <cell r="L74" t="str">
            <v>DL</v>
          </cell>
          <cell r="M74" t="str">
            <v>DL</v>
          </cell>
          <cell r="N74" t="str">
            <v>DL</v>
          </cell>
          <cell r="O74" t="str">
            <v>DL</v>
          </cell>
          <cell r="P74" t="str">
            <v>T</v>
          </cell>
          <cell r="Q74" t="str">
            <v>T</v>
          </cell>
          <cell r="R74" t="str">
            <v>T</v>
          </cell>
          <cell r="S74" t="str">
            <v>T</v>
          </cell>
          <cell r="T74" t="str">
            <v>T</v>
          </cell>
          <cell r="U74" t="str">
            <v>T</v>
          </cell>
          <cell r="V74" t="str">
            <v>T</v>
          </cell>
          <cell r="W74" t="str">
            <v>T</v>
          </cell>
          <cell r="X74" t="str">
            <v>T</v>
          </cell>
          <cell r="Y74" t="str">
            <v>T</v>
          </cell>
          <cell r="Z74" t="str">
            <v>T</v>
          </cell>
          <cell r="AA74" t="str">
            <v>T</v>
          </cell>
          <cell r="AB74" t="str">
            <v>T</v>
          </cell>
          <cell r="AC74" t="str">
            <v>T</v>
          </cell>
          <cell r="AD74" t="str">
            <v>DL</v>
          </cell>
          <cell r="AE74" t="str">
            <v>DL</v>
          </cell>
          <cell r="AF74" t="str">
            <v>DL</v>
          </cell>
          <cell r="AG74" t="str">
            <v>DL</v>
          </cell>
          <cell r="AH74" t="str">
            <v>DL</v>
          </cell>
          <cell r="AI74" t="str">
            <v>DL</v>
          </cell>
          <cell r="AJ74" t="str">
            <v>DL</v>
          </cell>
          <cell r="AK74" t="str">
            <v>T</v>
          </cell>
          <cell r="AL74">
            <v>0.5</v>
          </cell>
          <cell r="AO74">
            <v>15</v>
          </cell>
          <cell r="AP74">
            <v>13</v>
          </cell>
          <cell r="AQ74">
            <v>0</v>
          </cell>
          <cell r="AR74">
            <v>13</v>
          </cell>
          <cell r="AS74">
            <v>28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28</v>
          </cell>
          <cell r="BB74">
            <v>0</v>
          </cell>
          <cell r="BC74">
            <v>75</v>
          </cell>
          <cell r="BD74">
            <v>60</v>
          </cell>
          <cell r="BE74">
            <v>50</v>
          </cell>
          <cell r="BF74">
            <v>1400</v>
          </cell>
          <cell r="BI74">
            <v>0</v>
          </cell>
          <cell r="BJ74">
            <v>1400</v>
          </cell>
        </row>
        <row r="75">
          <cell r="B75">
            <v>65</v>
          </cell>
          <cell r="C75" t="str">
            <v>OSORIO APARCO ANTONIO</v>
          </cell>
          <cell r="D75">
            <v>39460</v>
          </cell>
          <cell r="E75">
            <v>39897</v>
          </cell>
          <cell r="F75" t="str">
            <v>TERMINO DE OBRA</v>
          </cell>
          <cell r="G75" t="str">
            <v>Ayudante Perforista</v>
          </cell>
          <cell r="H75" t="str">
            <v>ING. ACERO</v>
          </cell>
          <cell r="I75" t="str">
            <v>ACTIVO</v>
          </cell>
          <cell r="J75" t="str">
            <v xml:space="preserve">BM                    </v>
          </cell>
          <cell r="K75" t="str">
            <v xml:space="preserve">BM                    </v>
          </cell>
          <cell r="L75" t="str">
            <v xml:space="preserve">BM                    </v>
          </cell>
          <cell r="M75" t="str">
            <v xml:space="preserve">BM                    </v>
          </cell>
          <cell r="N75" t="str">
            <v xml:space="preserve">BM                    </v>
          </cell>
          <cell r="O75" t="str">
            <v xml:space="preserve">BM                    </v>
          </cell>
          <cell r="P75" t="str">
            <v xml:space="preserve">BM                    </v>
          </cell>
          <cell r="Q75" t="str">
            <v xml:space="preserve">BM                    </v>
          </cell>
          <cell r="R75" t="str">
            <v xml:space="preserve">BM                    </v>
          </cell>
          <cell r="S75" t="str">
            <v xml:space="preserve">BM                    </v>
          </cell>
          <cell r="T75" t="str">
            <v xml:space="preserve">BM                    </v>
          </cell>
          <cell r="U75" t="str">
            <v xml:space="preserve">BM                    </v>
          </cell>
          <cell r="V75" t="str">
            <v xml:space="preserve">BM                    </v>
          </cell>
          <cell r="W75" t="str">
            <v xml:space="preserve">BM                    </v>
          </cell>
          <cell r="X75" t="str">
            <v xml:space="preserve">BM                    </v>
          </cell>
          <cell r="Y75" t="str">
            <v xml:space="preserve">BM                    </v>
          </cell>
          <cell r="Z75" t="str">
            <v xml:space="preserve">BM                    </v>
          </cell>
          <cell r="AA75" t="str">
            <v xml:space="preserve">BM                    </v>
          </cell>
          <cell r="AB75" t="str">
            <v xml:space="preserve">BM                    </v>
          </cell>
          <cell r="AC75" t="str">
            <v xml:space="preserve">BM                    </v>
          </cell>
          <cell r="AD75" t="str">
            <v xml:space="preserve">BM                    </v>
          </cell>
          <cell r="AE75" t="str">
            <v xml:space="preserve">BM                    </v>
          </cell>
          <cell r="AF75" t="str">
            <v xml:space="preserve">BM                    </v>
          </cell>
          <cell r="AG75" t="str">
            <v xml:space="preserve">BM                    </v>
          </cell>
          <cell r="AH75" t="str">
            <v xml:space="preserve">BM                    </v>
          </cell>
          <cell r="AI75" t="str">
            <v xml:space="preserve">BM                    </v>
          </cell>
          <cell r="AJ75" t="str">
            <v xml:space="preserve">BM                    </v>
          </cell>
          <cell r="AK75" t="str">
            <v xml:space="preserve">BM                    </v>
          </cell>
          <cell r="AO75">
            <v>0</v>
          </cell>
          <cell r="AP75">
            <v>0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  <cell r="AU75">
            <v>0</v>
          </cell>
          <cell r="AV75">
            <v>0</v>
          </cell>
          <cell r="AW75">
            <v>0</v>
          </cell>
          <cell r="AX75">
            <v>0</v>
          </cell>
          <cell r="AY75">
            <v>0</v>
          </cell>
          <cell r="AZ75">
            <v>0</v>
          </cell>
          <cell r="BA75">
            <v>0</v>
          </cell>
          <cell r="BB75">
            <v>0</v>
          </cell>
          <cell r="BC75">
            <v>0</v>
          </cell>
          <cell r="BD75">
            <v>60</v>
          </cell>
          <cell r="BE75">
            <v>40</v>
          </cell>
          <cell r="BF75">
            <v>0</v>
          </cell>
          <cell r="BI75">
            <v>0</v>
          </cell>
          <cell r="BJ75">
            <v>0</v>
          </cell>
        </row>
        <row r="76">
          <cell r="B76">
            <v>66</v>
          </cell>
          <cell r="C76" t="str">
            <v>PANDAL SANTIAGO JOSE JAMES</v>
          </cell>
          <cell r="D76">
            <v>39638</v>
          </cell>
          <cell r="E76">
            <v>39897</v>
          </cell>
          <cell r="F76" t="str">
            <v>TERMINO DE OBRA</v>
          </cell>
          <cell r="G76" t="str">
            <v>Ayudante Perforista</v>
          </cell>
          <cell r="H76" t="str">
            <v>ING. CASTILLON</v>
          </cell>
          <cell r="I76" t="str">
            <v>ACTIVO</v>
          </cell>
          <cell r="J76" t="str">
            <v>T</v>
          </cell>
          <cell r="K76" t="str">
            <v>T</v>
          </cell>
          <cell r="L76" t="str">
            <v>T</v>
          </cell>
          <cell r="M76" t="str">
            <v>T</v>
          </cell>
          <cell r="N76" t="str">
            <v>T</v>
          </cell>
          <cell r="O76" t="str">
            <v>T</v>
          </cell>
          <cell r="P76" t="str">
            <v>T</v>
          </cell>
          <cell r="Q76" t="str">
            <v>T</v>
          </cell>
          <cell r="R76" t="str">
            <v>T</v>
          </cell>
          <cell r="S76" t="str">
            <v>T</v>
          </cell>
          <cell r="T76" t="str">
            <v>T</v>
          </cell>
          <cell r="U76" t="str">
            <v>T</v>
          </cell>
          <cell r="V76" t="str">
            <v>T</v>
          </cell>
          <cell r="W76" t="str">
            <v>DL</v>
          </cell>
          <cell r="X76" t="str">
            <v>DL</v>
          </cell>
          <cell r="Y76" t="str">
            <v>DL</v>
          </cell>
          <cell r="Z76" t="str">
            <v>DL</v>
          </cell>
          <cell r="AA76" t="str">
            <v>DL</v>
          </cell>
          <cell r="AB76" t="str">
            <v>DL</v>
          </cell>
          <cell r="AC76" t="str">
            <v>DL</v>
          </cell>
          <cell r="AD76" t="str">
            <v>T</v>
          </cell>
          <cell r="AE76" t="str">
            <v>T</v>
          </cell>
          <cell r="AF76" t="str">
            <v>T</v>
          </cell>
          <cell r="AG76" t="str">
            <v>T</v>
          </cell>
          <cell r="AH76" t="str">
            <v>T</v>
          </cell>
          <cell r="AI76" t="str">
            <v>T</v>
          </cell>
          <cell r="AJ76" t="str">
            <v>T</v>
          </cell>
          <cell r="AK76" t="str">
            <v>T</v>
          </cell>
          <cell r="AL76">
            <v>4</v>
          </cell>
          <cell r="AO76">
            <v>21</v>
          </cell>
          <cell r="AP76">
            <v>7</v>
          </cell>
          <cell r="AQ76">
            <v>0</v>
          </cell>
          <cell r="AR76">
            <v>7</v>
          </cell>
          <cell r="AS76">
            <v>28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28</v>
          </cell>
          <cell r="BB76">
            <v>0</v>
          </cell>
          <cell r="BC76">
            <v>105</v>
          </cell>
          <cell r="BD76">
            <v>60</v>
          </cell>
          <cell r="BE76">
            <v>40</v>
          </cell>
          <cell r="BF76">
            <v>1120</v>
          </cell>
          <cell r="BI76">
            <v>0</v>
          </cell>
          <cell r="BJ76">
            <v>1120</v>
          </cell>
        </row>
        <row r="77">
          <cell r="B77">
            <v>67</v>
          </cell>
          <cell r="C77" t="str">
            <v>PARIONA BONILLA YORGUE</v>
          </cell>
          <cell r="D77">
            <v>39694</v>
          </cell>
          <cell r="E77">
            <v>39897</v>
          </cell>
          <cell r="F77" t="str">
            <v>TERMINO DE OBRA</v>
          </cell>
          <cell r="G77" t="str">
            <v>Perforista A</v>
          </cell>
          <cell r="H77" t="str">
            <v>ING. ORIUNDO</v>
          </cell>
          <cell r="I77" t="str">
            <v>ACTIVO</v>
          </cell>
          <cell r="J77" t="str">
            <v>T</v>
          </cell>
          <cell r="K77" t="str">
            <v>T</v>
          </cell>
          <cell r="L77" t="str">
            <v>T</v>
          </cell>
          <cell r="M77" t="str">
            <v>T</v>
          </cell>
          <cell r="N77" t="str">
            <v>T</v>
          </cell>
          <cell r="O77" t="str">
            <v>T</v>
          </cell>
          <cell r="P77" t="str">
            <v>DL</v>
          </cell>
          <cell r="Q77" t="str">
            <v>DL</v>
          </cell>
          <cell r="R77" t="str">
            <v>DL</v>
          </cell>
          <cell r="S77" t="str">
            <v>DL</v>
          </cell>
          <cell r="T77" t="str">
            <v>DL</v>
          </cell>
          <cell r="U77" t="str">
            <v>DL</v>
          </cell>
          <cell r="V77" t="str">
            <v>DL</v>
          </cell>
          <cell r="W77" t="str">
            <v>T</v>
          </cell>
          <cell r="X77" t="str">
            <v>T</v>
          </cell>
          <cell r="Y77" t="str">
            <v>T</v>
          </cell>
          <cell r="Z77" t="str">
            <v>T</v>
          </cell>
          <cell r="AA77" t="str">
            <v>T</v>
          </cell>
          <cell r="AB77" t="str">
            <v>T</v>
          </cell>
          <cell r="AC77" t="str">
            <v>T</v>
          </cell>
          <cell r="AD77" t="str">
            <v>T</v>
          </cell>
          <cell r="AE77" t="str">
            <v>T</v>
          </cell>
          <cell r="AF77" t="str">
            <v>T</v>
          </cell>
          <cell r="AG77" t="str">
            <v>T</v>
          </cell>
          <cell r="AH77" t="str">
            <v>T</v>
          </cell>
          <cell r="AI77" t="str">
            <v>T</v>
          </cell>
          <cell r="AJ77" t="str">
            <v>T</v>
          </cell>
          <cell r="AK77" t="str">
            <v>DL</v>
          </cell>
          <cell r="AL77">
            <v>6</v>
          </cell>
          <cell r="AO77">
            <v>20</v>
          </cell>
          <cell r="AP77">
            <v>8</v>
          </cell>
          <cell r="AQ77">
            <v>0</v>
          </cell>
          <cell r="AR77">
            <v>8</v>
          </cell>
          <cell r="AS77">
            <v>28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28</v>
          </cell>
          <cell r="BB77">
            <v>0</v>
          </cell>
          <cell r="BC77">
            <v>100</v>
          </cell>
          <cell r="BD77">
            <v>60</v>
          </cell>
          <cell r="BE77">
            <v>50</v>
          </cell>
          <cell r="BF77">
            <v>1400</v>
          </cell>
          <cell r="BI77">
            <v>0</v>
          </cell>
          <cell r="BJ77">
            <v>1400</v>
          </cell>
        </row>
        <row r="78">
          <cell r="B78">
            <v>68</v>
          </cell>
          <cell r="C78" t="str">
            <v>PONCE COLQUI, VICTOR</v>
          </cell>
          <cell r="D78">
            <v>39323</v>
          </cell>
          <cell r="E78">
            <v>39897</v>
          </cell>
          <cell r="F78" t="str">
            <v>TERMINO DE OBRA</v>
          </cell>
          <cell r="G78" t="str">
            <v>Perforista A</v>
          </cell>
          <cell r="H78" t="str">
            <v>ING. CASTILLON</v>
          </cell>
          <cell r="I78" t="str">
            <v>ACTIVO</v>
          </cell>
          <cell r="J78" t="str">
            <v>T</v>
          </cell>
          <cell r="K78" t="str">
            <v>T</v>
          </cell>
          <cell r="L78" t="str">
            <v>T</v>
          </cell>
          <cell r="M78" t="str">
            <v>T</v>
          </cell>
          <cell r="N78" t="str">
            <v>T</v>
          </cell>
          <cell r="O78" t="str">
            <v>T</v>
          </cell>
          <cell r="P78" t="str">
            <v>T</v>
          </cell>
          <cell r="Q78" t="str">
            <v>T</v>
          </cell>
          <cell r="R78" t="str">
            <v>T</v>
          </cell>
          <cell r="S78" t="str">
            <v>T</v>
          </cell>
          <cell r="T78" t="str">
            <v>T</v>
          </cell>
          <cell r="U78" t="str">
            <v>T</v>
          </cell>
          <cell r="V78" t="str">
            <v>T</v>
          </cell>
          <cell r="W78" t="str">
            <v>DL</v>
          </cell>
          <cell r="X78" t="str">
            <v>DL</v>
          </cell>
          <cell r="Y78" t="str">
            <v>DL</v>
          </cell>
          <cell r="Z78" t="str">
            <v>DL</v>
          </cell>
          <cell r="AA78" t="str">
            <v>DL</v>
          </cell>
          <cell r="AB78" t="str">
            <v>DL</v>
          </cell>
          <cell r="AC78" t="str">
            <v>DL</v>
          </cell>
          <cell r="AD78" t="str">
            <v>T</v>
          </cell>
          <cell r="AE78" t="str">
            <v>T</v>
          </cell>
          <cell r="AF78" t="str">
            <v>T</v>
          </cell>
          <cell r="AG78" t="str">
            <v>T</v>
          </cell>
          <cell r="AH78" t="str">
            <v>T</v>
          </cell>
          <cell r="AI78" t="str">
            <v>T</v>
          </cell>
          <cell r="AJ78" t="str">
            <v>T</v>
          </cell>
          <cell r="AK78" t="str">
            <v>T</v>
          </cell>
          <cell r="AL78">
            <v>4</v>
          </cell>
          <cell r="AO78">
            <v>21</v>
          </cell>
          <cell r="AP78">
            <v>7</v>
          </cell>
          <cell r="AQ78">
            <v>0</v>
          </cell>
          <cell r="AR78">
            <v>7</v>
          </cell>
          <cell r="AS78">
            <v>28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28</v>
          </cell>
          <cell r="BB78">
            <v>0</v>
          </cell>
          <cell r="BC78">
            <v>105</v>
          </cell>
          <cell r="BD78">
            <v>60</v>
          </cell>
          <cell r="BE78">
            <v>50</v>
          </cell>
          <cell r="BF78">
            <v>1400</v>
          </cell>
          <cell r="BI78">
            <v>0</v>
          </cell>
          <cell r="BJ78">
            <v>1400</v>
          </cell>
        </row>
        <row r="79">
          <cell r="B79">
            <v>69</v>
          </cell>
          <cell r="C79" t="str">
            <v>PORTILLO LEYVA, WHUILKHERSON</v>
          </cell>
          <cell r="D79">
            <v>39330</v>
          </cell>
          <cell r="E79">
            <v>39877</v>
          </cell>
          <cell r="F79" t="str">
            <v>RENUNCIA VOLUNTARIA</v>
          </cell>
          <cell r="G79" t="str">
            <v>Operador de Scoop A</v>
          </cell>
          <cell r="H79" t="str">
            <v>ING. ACERO</v>
          </cell>
          <cell r="I79" t="str">
            <v>ACTIVO</v>
          </cell>
          <cell r="J79" t="str">
            <v>DL</v>
          </cell>
          <cell r="K79" t="str">
            <v>DL</v>
          </cell>
          <cell r="L79" t="str">
            <v>DL</v>
          </cell>
          <cell r="M79" t="str">
            <v>DL</v>
          </cell>
          <cell r="N79" t="str">
            <v>DL</v>
          </cell>
          <cell r="O79" t="str">
            <v>DL</v>
          </cell>
          <cell r="P79" t="str">
            <v>RENUNCIA VOLUNTARIA</v>
          </cell>
          <cell r="AO79">
            <v>0</v>
          </cell>
          <cell r="AP79">
            <v>6</v>
          </cell>
          <cell r="AQ79">
            <v>0</v>
          </cell>
          <cell r="AR79">
            <v>6</v>
          </cell>
          <cell r="AS79">
            <v>6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6</v>
          </cell>
          <cell r="BB79">
            <v>0</v>
          </cell>
          <cell r="BC79">
            <v>0</v>
          </cell>
          <cell r="BD79">
            <v>60</v>
          </cell>
          <cell r="BE79">
            <v>55</v>
          </cell>
          <cell r="BF79">
            <v>330</v>
          </cell>
          <cell r="BI79">
            <v>0</v>
          </cell>
          <cell r="BJ79">
            <v>330</v>
          </cell>
        </row>
        <row r="80">
          <cell r="B80">
            <v>70</v>
          </cell>
          <cell r="C80" t="str">
            <v>QUISPE ZEVALLOS JOSE ANTONIO</v>
          </cell>
          <cell r="D80">
            <v>39435</v>
          </cell>
          <cell r="E80">
            <v>39897</v>
          </cell>
          <cell r="F80" t="str">
            <v>TERMINO DE OBRA</v>
          </cell>
          <cell r="G80" t="str">
            <v>Perforista A</v>
          </cell>
          <cell r="H80" t="str">
            <v>ING. CASTILLON</v>
          </cell>
          <cell r="I80" t="str">
            <v>ACTIVO</v>
          </cell>
          <cell r="J80" t="str">
            <v>V</v>
          </cell>
          <cell r="K80" t="str">
            <v>V</v>
          </cell>
          <cell r="L80" t="str">
            <v>V</v>
          </cell>
          <cell r="M80" t="str">
            <v>V</v>
          </cell>
          <cell r="N80" t="str">
            <v>V</v>
          </cell>
          <cell r="O80" t="str">
            <v>V</v>
          </cell>
          <cell r="P80" t="str">
            <v>V</v>
          </cell>
          <cell r="Q80" t="str">
            <v>V</v>
          </cell>
          <cell r="R80" t="str">
            <v>V</v>
          </cell>
          <cell r="S80" t="str">
            <v>V</v>
          </cell>
          <cell r="T80" t="str">
            <v>V</v>
          </cell>
          <cell r="U80" t="str">
            <v>V</v>
          </cell>
          <cell r="V80" t="str">
            <v>V</v>
          </cell>
          <cell r="W80" t="str">
            <v>V</v>
          </cell>
          <cell r="X80" t="str">
            <v>V</v>
          </cell>
          <cell r="Y80" t="str">
            <v>V</v>
          </cell>
          <cell r="Z80" t="str">
            <v>V</v>
          </cell>
          <cell r="AA80" t="str">
            <v>V</v>
          </cell>
          <cell r="AB80" t="str">
            <v>V</v>
          </cell>
          <cell r="AC80" t="str">
            <v>V</v>
          </cell>
          <cell r="AD80" t="str">
            <v>V</v>
          </cell>
          <cell r="AE80" t="str">
            <v>V</v>
          </cell>
          <cell r="AF80" t="str">
            <v>V</v>
          </cell>
          <cell r="AG80" t="str">
            <v>V</v>
          </cell>
          <cell r="AH80" t="str">
            <v>V</v>
          </cell>
          <cell r="AI80" t="str">
            <v>V</v>
          </cell>
          <cell r="AJ80" t="str">
            <v>V</v>
          </cell>
          <cell r="AK80" t="str">
            <v>V</v>
          </cell>
          <cell r="AL80">
            <v>4</v>
          </cell>
          <cell r="AO80">
            <v>0</v>
          </cell>
          <cell r="AP80">
            <v>0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  <cell r="AU80">
            <v>28</v>
          </cell>
          <cell r="AV80">
            <v>0</v>
          </cell>
          <cell r="AW80">
            <v>0</v>
          </cell>
          <cell r="AX80">
            <v>0</v>
          </cell>
          <cell r="AY80">
            <v>0</v>
          </cell>
          <cell r="AZ80">
            <v>0</v>
          </cell>
          <cell r="BA80">
            <v>0</v>
          </cell>
          <cell r="BB80">
            <v>0</v>
          </cell>
          <cell r="BC80">
            <v>0</v>
          </cell>
          <cell r="BD80">
            <v>60</v>
          </cell>
          <cell r="BE80">
            <v>50</v>
          </cell>
          <cell r="BF80">
            <v>0</v>
          </cell>
          <cell r="BI80">
            <v>0</v>
          </cell>
          <cell r="BJ80">
            <v>0</v>
          </cell>
        </row>
        <row r="81">
          <cell r="B81">
            <v>71</v>
          </cell>
          <cell r="C81" t="str">
            <v>RAMOS FELICIANO RAUL WALTER</v>
          </cell>
          <cell r="D81">
            <v>39575</v>
          </cell>
          <cell r="E81">
            <v>39897</v>
          </cell>
          <cell r="F81" t="str">
            <v>TERMINO DE OBRA</v>
          </cell>
          <cell r="G81" t="str">
            <v>Perforista B</v>
          </cell>
          <cell r="H81" t="str">
            <v>ING. CASTILLON</v>
          </cell>
          <cell r="I81" t="str">
            <v>ACTIVO</v>
          </cell>
          <cell r="J81" t="str">
            <v>T</v>
          </cell>
          <cell r="K81" t="str">
            <v>T</v>
          </cell>
          <cell r="L81" t="str">
            <v>T</v>
          </cell>
          <cell r="M81" t="str">
            <v>T</v>
          </cell>
          <cell r="N81" t="str">
            <v>T</v>
          </cell>
          <cell r="O81" t="str">
            <v>T</v>
          </cell>
          <cell r="P81" t="str">
            <v>T</v>
          </cell>
          <cell r="Q81" t="str">
            <v>T</v>
          </cell>
          <cell r="R81" t="str">
            <v>T</v>
          </cell>
          <cell r="S81" t="str">
            <v>T</v>
          </cell>
          <cell r="T81" t="str">
            <v>T</v>
          </cell>
          <cell r="U81" t="str">
            <v>T</v>
          </cell>
          <cell r="V81" t="str">
            <v>T</v>
          </cell>
          <cell r="W81" t="str">
            <v>DL</v>
          </cell>
          <cell r="X81" t="str">
            <v>DL</v>
          </cell>
          <cell r="Y81" t="str">
            <v>DL</v>
          </cell>
          <cell r="Z81" t="str">
            <v>DL</v>
          </cell>
          <cell r="AA81" t="str">
            <v>DL</v>
          </cell>
          <cell r="AB81" t="str">
            <v>DL</v>
          </cell>
          <cell r="AC81" t="str">
            <v>DL</v>
          </cell>
          <cell r="AD81" t="str">
            <v>T</v>
          </cell>
          <cell r="AE81" t="str">
            <v>T</v>
          </cell>
          <cell r="AF81" t="str">
            <v>T</v>
          </cell>
          <cell r="AG81" t="str">
            <v>T</v>
          </cell>
          <cell r="AH81" t="str">
            <v>T</v>
          </cell>
          <cell r="AI81" t="str">
            <v>T</v>
          </cell>
          <cell r="AJ81" t="str">
            <v>T</v>
          </cell>
          <cell r="AK81" t="str">
            <v>T</v>
          </cell>
          <cell r="AO81">
            <v>21</v>
          </cell>
          <cell r="AP81">
            <v>7</v>
          </cell>
          <cell r="AQ81">
            <v>0</v>
          </cell>
          <cell r="AR81">
            <v>7</v>
          </cell>
          <cell r="AS81">
            <v>28</v>
          </cell>
          <cell r="AT81">
            <v>0</v>
          </cell>
          <cell r="AU81">
            <v>0</v>
          </cell>
          <cell r="AV81">
            <v>0</v>
          </cell>
          <cell r="AW81">
            <v>0</v>
          </cell>
          <cell r="AX81">
            <v>0</v>
          </cell>
          <cell r="AY81">
            <v>0</v>
          </cell>
          <cell r="AZ81">
            <v>0</v>
          </cell>
          <cell r="BA81">
            <v>28</v>
          </cell>
          <cell r="BB81">
            <v>0</v>
          </cell>
          <cell r="BC81">
            <v>105</v>
          </cell>
          <cell r="BD81">
            <v>60</v>
          </cell>
          <cell r="BE81">
            <v>45</v>
          </cell>
          <cell r="BF81">
            <v>1260</v>
          </cell>
          <cell r="BI81">
            <v>0</v>
          </cell>
          <cell r="BJ81">
            <v>1260</v>
          </cell>
        </row>
        <row r="82">
          <cell r="B82">
            <v>72</v>
          </cell>
          <cell r="C82" t="str">
            <v>RAMOS POMA REYMUNDO</v>
          </cell>
          <cell r="D82">
            <v>39684</v>
          </cell>
          <cell r="E82">
            <v>39897</v>
          </cell>
          <cell r="F82" t="str">
            <v>TERMINO DE OBRA</v>
          </cell>
          <cell r="G82" t="str">
            <v>Perforista B</v>
          </cell>
          <cell r="H82" t="str">
            <v xml:space="preserve">ING. ORIUNDO </v>
          </cell>
          <cell r="I82" t="str">
            <v xml:space="preserve">ACTIVO </v>
          </cell>
          <cell r="J82" t="str">
            <v>T</v>
          </cell>
          <cell r="K82" t="str">
            <v>T</v>
          </cell>
          <cell r="L82" t="str">
            <v>T</v>
          </cell>
          <cell r="M82" t="str">
            <v>T</v>
          </cell>
          <cell r="N82" t="str">
            <v>T</v>
          </cell>
          <cell r="O82" t="str">
            <v>T</v>
          </cell>
          <cell r="P82" t="str">
            <v>DL</v>
          </cell>
          <cell r="Q82" t="str">
            <v>DL</v>
          </cell>
          <cell r="R82" t="str">
            <v>DL</v>
          </cell>
          <cell r="S82" t="str">
            <v>DL</v>
          </cell>
          <cell r="T82" t="str">
            <v>DL</v>
          </cell>
          <cell r="U82" t="str">
            <v>DL</v>
          </cell>
          <cell r="V82" t="str">
            <v>DL</v>
          </cell>
          <cell r="W82" t="str">
            <v>T</v>
          </cell>
          <cell r="X82" t="str">
            <v>T</v>
          </cell>
          <cell r="Y82" t="str">
            <v>T</v>
          </cell>
          <cell r="Z82" t="str">
            <v>T</v>
          </cell>
          <cell r="AA82" t="str">
            <v>T</v>
          </cell>
          <cell r="AB82" t="str">
            <v>T</v>
          </cell>
          <cell r="AC82" t="str">
            <v>T</v>
          </cell>
          <cell r="AD82" t="str">
            <v>T</v>
          </cell>
          <cell r="AE82" t="str">
            <v>T</v>
          </cell>
          <cell r="AF82" t="str">
            <v>T</v>
          </cell>
          <cell r="AG82" t="str">
            <v>T</v>
          </cell>
          <cell r="AH82" t="str">
            <v>T</v>
          </cell>
          <cell r="AI82" t="str">
            <v>T</v>
          </cell>
          <cell r="AJ82" t="str">
            <v>T</v>
          </cell>
          <cell r="AK82" t="str">
            <v>DL</v>
          </cell>
          <cell r="AL82">
            <v>6</v>
          </cell>
          <cell r="AO82">
            <v>20</v>
          </cell>
          <cell r="AP82">
            <v>8</v>
          </cell>
          <cell r="AQ82">
            <v>0</v>
          </cell>
          <cell r="AR82">
            <v>8</v>
          </cell>
          <cell r="AS82">
            <v>28</v>
          </cell>
          <cell r="AT82">
            <v>0</v>
          </cell>
          <cell r="AU82">
            <v>0</v>
          </cell>
          <cell r="AV82">
            <v>0</v>
          </cell>
          <cell r="AW82">
            <v>0</v>
          </cell>
          <cell r="AX82">
            <v>0</v>
          </cell>
          <cell r="AY82">
            <v>0</v>
          </cell>
          <cell r="AZ82">
            <v>0</v>
          </cell>
          <cell r="BA82">
            <v>28</v>
          </cell>
          <cell r="BB82">
            <v>0</v>
          </cell>
          <cell r="BC82">
            <v>100</v>
          </cell>
          <cell r="BD82">
            <v>60</v>
          </cell>
          <cell r="BE82">
            <v>45</v>
          </cell>
          <cell r="BF82">
            <v>1260</v>
          </cell>
          <cell r="BI82">
            <v>0</v>
          </cell>
          <cell r="BJ82">
            <v>1260</v>
          </cell>
        </row>
        <row r="83">
          <cell r="B83">
            <v>73</v>
          </cell>
          <cell r="C83" t="str">
            <v>REYNOSO MAYTA JORGE LUIS</v>
          </cell>
          <cell r="D83">
            <v>39323</v>
          </cell>
          <cell r="E83">
            <v>39897</v>
          </cell>
          <cell r="F83" t="str">
            <v>TERMINO DE OBRA</v>
          </cell>
          <cell r="G83" t="str">
            <v>Ayudante Perforista</v>
          </cell>
          <cell r="H83" t="str">
            <v>ING. ORIUNDO</v>
          </cell>
          <cell r="I83" t="str">
            <v>ACTIVO</v>
          </cell>
          <cell r="J83" t="str">
            <v>T</v>
          </cell>
          <cell r="K83" t="str">
            <v>T</v>
          </cell>
          <cell r="L83" t="str">
            <v>T</v>
          </cell>
          <cell r="M83" t="str">
            <v>T</v>
          </cell>
          <cell r="N83" t="str">
            <v>T</v>
          </cell>
          <cell r="O83" t="str">
            <v>T</v>
          </cell>
          <cell r="P83" t="str">
            <v>DL</v>
          </cell>
          <cell r="Q83" t="str">
            <v>DL</v>
          </cell>
          <cell r="R83" t="str">
            <v>DL</v>
          </cell>
          <cell r="S83" t="str">
            <v>DL</v>
          </cell>
          <cell r="T83" t="str">
            <v>DL</v>
          </cell>
          <cell r="U83" t="str">
            <v>DL</v>
          </cell>
          <cell r="V83" t="str">
            <v>DL</v>
          </cell>
          <cell r="W83" t="str">
            <v>T</v>
          </cell>
          <cell r="X83" t="str">
            <v>T</v>
          </cell>
          <cell r="Y83" t="str">
            <v>T</v>
          </cell>
          <cell r="Z83" t="str">
            <v>T</v>
          </cell>
          <cell r="AA83" t="str">
            <v>T</v>
          </cell>
          <cell r="AB83" t="str">
            <v>T</v>
          </cell>
          <cell r="AC83" t="str">
            <v>T</v>
          </cell>
          <cell r="AD83" t="str">
            <v>T</v>
          </cell>
          <cell r="AE83" t="str">
            <v>T</v>
          </cell>
          <cell r="AF83" t="str">
            <v>T</v>
          </cell>
          <cell r="AG83" t="str">
            <v>T</v>
          </cell>
          <cell r="AH83" t="str">
            <v>T</v>
          </cell>
          <cell r="AI83" t="str">
            <v>T</v>
          </cell>
          <cell r="AJ83" t="str">
            <v>T</v>
          </cell>
          <cell r="AK83" t="str">
            <v>DL</v>
          </cell>
          <cell r="AL83">
            <v>6</v>
          </cell>
          <cell r="AO83">
            <v>20</v>
          </cell>
          <cell r="AP83">
            <v>8</v>
          </cell>
          <cell r="AQ83">
            <v>0</v>
          </cell>
          <cell r="AR83">
            <v>8</v>
          </cell>
          <cell r="AS83">
            <v>28</v>
          </cell>
          <cell r="AT83">
            <v>0</v>
          </cell>
          <cell r="AU83">
            <v>0</v>
          </cell>
          <cell r="AV83">
            <v>0</v>
          </cell>
          <cell r="AW83">
            <v>0</v>
          </cell>
          <cell r="AX83">
            <v>0</v>
          </cell>
          <cell r="AY83">
            <v>0</v>
          </cell>
          <cell r="AZ83">
            <v>0</v>
          </cell>
          <cell r="BA83">
            <v>28</v>
          </cell>
          <cell r="BB83">
            <v>0</v>
          </cell>
          <cell r="BC83">
            <v>100</v>
          </cell>
          <cell r="BD83">
            <v>60</v>
          </cell>
          <cell r="BE83">
            <v>40</v>
          </cell>
          <cell r="BF83">
            <v>1120</v>
          </cell>
          <cell r="BI83">
            <v>0</v>
          </cell>
          <cell r="BJ83">
            <v>1120</v>
          </cell>
        </row>
        <row r="84">
          <cell r="B84">
            <v>74</v>
          </cell>
          <cell r="C84" t="str">
            <v>RIVERA ESPINOZA DARWIN JUAN</v>
          </cell>
          <cell r="D84">
            <v>39597</v>
          </cell>
          <cell r="E84">
            <v>39897</v>
          </cell>
          <cell r="F84" t="str">
            <v>TERMINO DE OBRA</v>
          </cell>
          <cell r="G84" t="str">
            <v>Perforista A</v>
          </cell>
          <cell r="H84" t="str">
            <v>ING. CASTILLON</v>
          </cell>
          <cell r="I84" t="str">
            <v>ACTIVO</v>
          </cell>
          <cell r="J84" t="str">
            <v>T</v>
          </cell>
          <cell r="K84" t="str">
            <v>T</v>
          </cell>
          <cell r="L84" t="str">
            <v>T</v>
          </cell>
          <cell r="M84" t="str">
            <v>T</v>
          </cell>
          <cell r="N84" t="str">
            <v>T</v>
          </cell>
          <cell r="O84" t="str">
            <v>T</v>
          </cell>
          <cell r="P84" t="str">
            <v>T</v>
          </cell>
          <cell r="Q84" t="str">
            <v>T</v>
          </cell>
          <cell r="R84" t="str">
            <v>T</v>
          </cell>
          <cell r="S84" t="str">
            <v>T</v>
          </cell>
          <cell r="T84" t="str">
            <v>T</v>
          </cell>
          <cell r="U84" t="str">
            <v>T</v>
          </cell>
          <cell r="V84" t="str">
            <v>T</v>
          </cell>
          <cell r="W84" t="str">
            <v>DL</v>
          </cell>
          <cell r="X84" t="str">
            <v>DL</v>
          </cell>
          <cell r="Y84" t="str">
            <v>DL</v>
          </cell>
          <cell r="Z84" t="str">
            <v>DL</v>
          </cell>
          <cell r="AA84" t="str">
            <v>DL</v>
          </cell>
          <cell r="AB84" t="str">
            <v>DL</v>
          </cell>
          <cell r="AC84" t="str">
            <v>DL</v>
          </cell>
          <cell r="AD84" t="str">
            <v>T</v>
          </cell>
          <cell r="AE84" t="str">
            <v>T</v>
          </cell>
          <cell r="AF84" t="str">
            <v>T</v>
          </cell>
          <cell r="AG84" t="str">
            <v>T</v>
          </cell>
          <cell r="AH84" t="str">
            <v>T</v>
          </cell>
          <cell r="AI84" t="str">
            <v>T</v>
          </cell>
          <cell r="AJ84" t="str">
            <v>T</v>
          </cell>
          <cell r="AK84" t="str">
            <v>T</v>
          </cell>
          <cell r="AL84">
            <v>4</v>
          </cell>
          <cell r="AO84">
            <v>21</v>
          </cell>
          <cell r="AP84">
            <v>7</v>
          </cell>
          <cell r="AQ84">
            <v>0</v>
          </cell>
          <cell r="AR84">
            <v>7</v>
          </cell>
          <cell r="AS84">
            <v>28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28</v>
          </cell>
          <cell r="BB84">
            <v>0</v>
          </cell>
          <cell r="BC84">
            <v>105</v>
          </cell>
          <cell r="BD84">
            <v>60</v>
          </cell>
          <cell r="BE84">
            <v>50</v>
          </cell>
          <cell r="BF84">
            <v>1400</v>
          </cell>
          <cell r="BI84">
            <v>0</v>
          </cell>
          <cell r="BJ84">
            <v>1400</v>
          </cell>
        </row>
        <row r="85">
          <cell r="B85">
            <v>75</v>
          </cell>
          <cell r="C85" t="str">
            <v>RIVERA ESPINOZA JAVIER ISAAC</v>
          </cell>
          <cell r="D85">
            <v>39418</v>
          </cell>
          <cell r="E85">
            <v>39897</v>
          </cell>
          <cell r="F85" t="str">
            <v>TERMINO DE OBRA</v>
          </cell>
          <cell r="G85" t="str">
            <v>Perforista A</v>
          </cell>
          <cell r="H85" t="str">
            <v>ING. ACERO</v>
          </cell>
          <cell r="I85" t="str">
            <v>ACTIVO</v>
          </cell>
          <cell r="J85" t="str">
            <v>DL</v>
          </cell>
          <cell r="K85" t="str">
            <v>DL</v>
          </cell>
          <cell r="L85" t="str">
            <v>DL</v>
          </cell>
          <cell r="M85" t="str">
            <v>DL</v>
          </cell>
          <cell r="N85" t="str">
            <v>DL</v>
          </cell>
          <cell r="O85" t="str">
            <v>DL</v>
          </cell>
          <cell r="P85" t="str">
            <v>T</v>
          </cell>
          <cell r="Q85" t="str">
            <v>T</v>
          </cell>
          <cell r="R85" t="str">
            <v>T</v>
          </cell>
          <cell r="S85" t="str">
            <v>T</v>
          </cell>
          <cell r="T85" t="str">
            <v>T</v>
          </cell>
          <cell r="U85" t="str">
            <v>T</v>
          </cell>
          <cell r="V85" t="str">
            <v>T</v>
          </cell>
          <cell r="W85" t="str">
            <v>T</v>
          </cell>
          <cell r="X85" t="str">
            <v>T</v>
          </cell>
          <cell r="Y85" t="str">
            <v>T</v>
          </cell>
          <cell r="Z85" t="str">
            <v>T</v>
          </cell>
          <cell r="AA85" t="str">
            <v>T</v>
          </cell>
          <cell r="AB85" t="str">
            <v>T</v>
          </cell>
          <cell r="AC85" t="str">
            <v>T</v>
          </cell>
          <cell r="AD85" t="str">
            <v>DL</v>
          </cell>
          <cell r="AE85" t="str">
            <v>DL</v>
          </cell>
          <cell r="AF85" t="str">
            <v>DL</v>
          </cell>
          <cell r="AG85" t="str">
            <v>DL</v>
          </cell>
          <cell r="AH85" t="str">
            <v>DL</v>
          </cell>
          <cell r="AI85" t="str">
            <v>DL</v>
          </cell>
          <cell r="AJ85" t="str">
            <v>DL</v>
          </cell>
          <cell r="AK85" t="str">
            <v>T</v>
          </cell>
          <cell r="AL85">
            <v>0.5</v>
          </cell>
          <cell r="AO85">
            <v>15</v>
          </cell>
          <cell r="AP85">
            <v>13</v>
          </cell>
          <cell r="AQ85">
            <v>0</v>
          </cell>
          <cell r="AR85">
            <v>13</v>
          </cell>
          <cell r="AS85">
            <v>28</v>
          </cell>
          <cell r="AT85">
            <v>0</v>
          </cell>
          <cell r="AU85">
            <v>0</v>
          </cell>
          <cell r="AV85">
            <v>0</v>
          </cell>
          <cell r="AW85">
            <v>0</v>
          </cell>
          <cell r="AX85">
            <v>0</v>
          </cell>
          <cell r="AY85">
            <v>0</v>
          </cell>
          <cell r="AZ85">
            <v>0</v>
          </cell>
          <cell r="BA85">
            <v>28</v>
          </cell>
          <cell r="BB85">
            <v>0</v>
          </cell>
          <cell r="BC85">
            <v>75</v>
          </cell>
          <cell r="BD85">
            <v>60</v>
          </cell>
          <cell r="BE85">
            <v>50</v>
          </cell>
          <cell r="BF85">
            <v>1400</v>
          </cell>
          <cell r="BI85">
            <v>0</v>
          </cell>
          <cell r="BJ85">
            <v>1400</v>
          </cell>
        </row>
        <row r="86">
          <cell r="B86">
            <v>76</v>
          </cell>
          <cell r="C86" t="str">
            <v>ROBLES MEDRANO YIELMER</v>
          </cell>
          <cell r="D86">
            <v>39680</v>
          </cell>
          <cell r="E86">
            <v>39897</v>
          </cell>
          <cell r="F86" t="str">
            <v>TERMINO DE OBRA</v>
          </cell>
          <cell r="G86" t="str">
            <v>Ayudante Perforista</v>
          </cell>
          <cell r="H86" t="str">
            <v xml:space="preserve">ING. ORIUNDO </v>
          </cell>
          <cell r="I86" t="str">
            <v xml:space="preserve">ACTIVO </v>
          </cell>
          <cell r="J86" t="str">
            <v>T</v>
          </cell>
          <cell r="K86" t="str">
            <v>T</v>
          </cell>
          <cell r="L86" t="str">
            <v>T</v>
          </cell>
          <cell r="M86" t="str">
            <v>T</v>
          </cell>
          <cell r="N86" t="str">
            <v>T</v>
          </cell>
          <cell r="O86" t="str">
            <v>T</v>
          </cell>
          <cell r="P86" t="str">
            <v>DL</v>
          </cell>
          <cell r="Q86" t="str">
            <v>DL</v>
          </cell>
          <cell r="R86" t="str">
            <v>DL</v>
          </cell>
          <cell r="S86" t="str">
            <v>DL</v>
          </cell>
          <cell r="T86" t="str">
            <v>DL</v>
          </cell>
          <cell r="U86" t="str">
            <v>DL</v>
          </cell>
          <cell r="V86" t="str">
            <v>DL</v>
          </cell>
          <cell r="W86" t="str">
            <v>T</v>
          </cell>
          <cell r="X86" t="str">
            <v>T</v>
          </cell>
          <cell r="Y86" t="str">
            <v>T</v>
          </cell>
          <cell r="Z86" t="str">
            <v>T</v>
          </cell>
          <cell r="AA86" t="str">
            <v>T</v>
          </cell>
          <cell r="AB86" t="str">
            <v>T</v>
          </cell>
          <cell r="AC86" t="str">
            <v>T</v>
          </cell>
          <cell r="AD86" t="str">
            <v>T</v>
          </cell>
          <cell r="AE86" t="str">
            <v>T</v>
          </cell>
          <cell r="AF86" t="str">
            <v>T</v>
          </cell>
          <cell r="AG86" t="str">
            <v>T</v>
          </cell>
          <cell r="AH86" t="str">
            <v>T</v>
          </cell>
          <cell r="AI86" t="str">
            <v>T</v>
          </cell>
          <cell r="AJ86" t="str">
            <v>T</v>
          </cell>
          <cell r="AK86" t="str">
            <v>DL</v>
          </cell>
          <cell r="AL86">
            <v>6</v>
          </cell>
          <cell r="AO86">
            <v>20</v>
          </cell>
          <cell r="AP86">
            <v>8</v>
          </cell>
          <cell r="AQ86">
            <v>0</v>
          </cell>
          <cell r="AR86">
            <v>8</v>
          </cell>
          <cell r="AS86">
            <v>28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28</v>
          </cell>
          <cell r="BB86">
            <v>0</v>
          </cell>
          <cell r="BC86">
            <v>100</v>
          </cell>
          <cell r="BD86">
            <v>60</v>
          </cell>
          <cell r="BE86">
            <v>40</v>
          </cell>
          <cell r="BF86">
            <v>1120</v>
          </cell>
          <cell r="BI86">
            <v>0</v>
          </cell>
          <cell r="BJ86">
            <v>1120</v>
          </cell>
        </row>
        <row r="87">
          <cell r="B87">
            <v>77</v>
          </cell>
          <cell r="C87" t="str">
            <v>ROJAS ANTONIO HULANDIO</v>
          </cell>
          <cell r="D87">
            <v>39351</v>
          </cell>
          <cell r="E87">
            <v>39897</v>
          </cell>
          <cell r="F87" t="str">
            <v>TERMINO DE OBRA</v>
          </cell>
          <cell r="G87" t="str">
            <v>Bodeguero</v>
          </cell>
          <cell r="H87" t="str">
            <v>ING. ACERO</v>
          </cell>
          <cell r="I87" t="str">
            <v>ACTIVO</v>
          </cell>
          <cell r="J87" t="str">
            <v>DL</v>
          </cell>
          <cell r="K87" t="str">
            <v>DL</v>
          </cell>
          <cell r="L87" t="str">
            <v>DL</v>
          </cell>
          <cell r="M87" t="str">
            <v>DL</v>
          </cell>
          <cell r="N87" t="str">
            <v>DL</v>
          </cell>
          <cell r="O87" t="str">
            <v>DL</v>
          </cell>
          <cell r="P87" t="str">
            <v>T</v>
          </cell>
          <cell r="Q87" t="str">
            <v>T</v>
          </cell>
          <cell r="R87" t="str">
            <v>T</v>
          </cell>
          <cell r="S87" t="str">
            <v>T</v>
          </cell>
          <cell r="T87" t="str">
            <v>T</v>
          </cell>
          <cell r="U87" t="str">
            <v>T</v>
          </cell>
          <cell r="V87" t="str">
            <v>T</v>
          </cell>
          <cell r="W87" t="str">
            <v>T</v>
          </cell>
          <cell r="X87" t="str">
            <v>T</v>
          </cell>
          <cell r="Y87" t="str">
            <v>T</v>
          </cell>
          <cell r="Z87" t="str">
            <v>T</v>
          </cell>
          <cell r="AA87" t="str">
            <v>T</v>
          </cell>
          <cell r="AB87" t="str">
            <v>T</v>
          </cell>
          <cell r="AC87" t="str">
            <v>T</v>
          </cell>
          <cell r="AD87" t="str">
            <v>DL</v>
          </cell>
          <cell r="AE87" t="str">
            <v>DL</v>
          </cell>
          <cell r="AF87" t="str">
            <v>DL</v>
          </cell>
          <cell r="AG87" t="str">
            <v>DL</v>
          </cell>
          <cell r="AH87" t="str">
            <v>DL</v>
          </cell>
          <cell r="AI87" t="str">
            <v>DL</v>
          </cell>
          <cell r="AJ87" t="str">
            <v>DL</v>
          </cell>
          <cell r="AK87" t="str">
            <v>T</v>
          </cell>
          <cell r="AL87">
            <v>0.5</v>
          </cell>
          <cell r="AO87">
            <v>15</v>
          </cell>
          <cell r="AP87">
            <v>13</v>
          </cell>
          <cell r="AQ87">
            <v>0</v>
          </cell>
          <cell r="AR87">
            <v>13</v>
          </cell>
          <cell r="AS87">
            <v>28</v>
          </cell>
          <cell r="AT87">
            <v>0</v>
          </cell>
          <cell r="AU87">
            <v>0</v>
          </cell>
          <cell r="AV87">
            <v>0</v>
          </cell>
          <cell r="AW87">
            <v>0</v>
          </cell>
          <cell r="AX87">
            <v>0</v>
          </cell>
          <cell r="AY87">
            <v>0</v>
          </cell>
          <cell r="AZ87">
            <v>0</v>
          </cell>
          <cell r="BA87">
            <v>28</v>
          </cell>
          <cell r="BB87">
            <v>0</v>
          </cell>
          <cell r="BC87">
            <v>75</v>
          </cell>
          <cell r="BD87">
            <v>60</v>
          </cell>
          <cell r="BE87">
            <v>45</v>
          </cell>
          <cell r="BF87">
            <v>1260</v>
          </cell>
          <cell r="BI87">
            <v>0</v>
          </cell>
          <cell r="BJ87">
            <v>1260</v>
          </cell>
        </row>
        <row r="88">
          <cell r="B88">
            <v>78</v>
          </cell>
          <cell r="C88" t="str">
            <v>ROMERO ORNA EDWIN WILLIAM</v>
          </cell>
          <cell r="D88">
            <v>39360</v>
          </cell>
          <cell r="E88">
            <v>39897</v>
          </cell>
          <cell r="F88" t="str">
            <v>TERMINO DE OBRA</v>
          </cell>
          <cell r="G88" t="str">
            <v>Perforista B</v>
          </cell>
          <cell r="H88" t="str">
            <v>ING. ACERO</v>
          </cell>
          <cell r="I88" t="str">
            <v>ACTIVO</v>
          </cell>
          <cell r="J88" t="str">
            <v>DL</v>
          </cell>
          <cell r="K88" t="str">
            <v>DL</v>
          </cell>
          <cell r="L88" t="str">
            <v>DL</v>
          </cell>
          <cell r="M88" t="str">
            <v>DL</v>
          </cell>
          <cell r="N88" t="str">
            <v>DL</v>
          </cell>
          <cell r="O88" t="str">
            <v>DL</v>
          </cell>
          <cell r="P88" t="str">
            <v>T</v>
          </cell>
          <cell r="Q88" t="str">
            <v>T</v>
          </cell>
          <cell r="R88" t="str">
            <v>T</v>
          </cell>
          <cell r="S88" t="str">
            <v>T</v>
          </cell>
          <cell r="T88" t="str">
            <v>T</v>
          </cell>
          <cell r="U88" t="str">
            <v>T</v>
          </cell>
          <cell r="V88" t="str">
            <v>T</v>
          </cell>
          <cell r="W88" t="str">
            <v>T</v>
          </cell>
          <cell r="X88" t="str">
            <v>T</v>
          </cell>
          <cell r="Y88" t="str">
            <v>T</v>
          </cell>
          <cell r="Z88" t="str">
            <v>T</v>
          </cell>
          <cell r="AA88" t="str">
            <v>T</v>
          </cell>
          <cell r="AB88" t="str">
            <v>T</v>
          </cell>
          <cell r="AC88" t="str">
            <v>T</v>
          </cell>
          <cell r="AD88" t="str">
            <v>DL</v>
          </cell>
          <cell r="AE88" t="str">
            <v>DL</v>
          </cell>
          <cell r="AF88" t="str">
            <v>DL</v>
          </cell>
          <cell r="AG88" t="str">
            <v>DL</v>
          </cell>
          <cell r="AH88" t="str">
            <v>DL</v>
          </cell>
          <cell r="AI88" t="str">
            <v>DL</v>
          </cell>
          <cell r="AJ88" t="str">
            <v>DL</v>
          </cell>
          <cell r="AK88" t="str">
            <v>T</v>
          </cell>
          <cell r="AL88">
            <v>0.5</v>
          </cell>
          <cell r="AO88">
            <v>15</v>
          </cell>
          <cell r="AP88">
            <v>13</v>
          </cell>
          <cell r="AQ88">
            <v>0</v>
          </cell>
          <cell r="AR88">
            <v>13</v>
          </cell>
          <cell r="AS88">
            <v>28</v>
          </cell>
          <cell r="AT88">
            <v>0</v>
          </cell>
          <cell r="AU88">
            <v>0</v>
          </cell>
          <cell r="AV88">
            <v>0</v>
          </cell>
          <cell r="AW88">
            <v>0</v>
          </cell>
          <cell r="AX88">
            <v>0</v>
          </cell>
          <cell r="AY88">
            <v>0</v>
          </cell>
          <cell r="AZ88">
            <v>0</v>
          </cell>
          <cell r="BA88">
            <v>28</v>
          </cell>
          <cell r="BB88">
            <v>0</v>
          </cell>
          <cell r="BC88">
            <v>75</v>
          </cell>
          <cell r="BD88">
            <v>60</v>
          </cell>
          <cell r="BE88">
            <v>45</v>
          </cell>
          <cell r="BF88">
            <v>1260</v>
          </cell>
          <cell r="BI88">
            <v>0</v>
          </cell>
          <cell r="BJ88">
            <v>1260</v>
          </cell>
        </row>
        <row r="89">
          <cell r="B89">
            <v>79</v>
          </cell>
          <cell r="C89" t="str">
            <v>ROSAS CALDERON JUAN ALBERTO</v>
          </cell>
          <cell r="D89">
            <v>39631</v>
          </cell>
          <cell r="E89">
            <v>39897</v>
          </cell>
          <cell r="F89" t="str">
            <v>TERMINO DE OBRA</v>
          </cell>
          <cell r="G89" t="str">
            <v>Operador de Scoop A</v>
          </cell>
          <cell r="H89" t="str">
            <v>ING. ORIUNDO</v>
          </cell>
          <cell r="I89" t="str">
            <v>ACTIVO</v>
          </cell>
          <cell r="J89" t="str">
            <v>T</v>
          </cell>
          <cell r="K89" t="str">
            <v>T</v>
          </cell>
          <cell r="L89" t="str">
            <v>T</v>
          </cell>
          <cell r="M89" t="str">
            <v>T</v>
          </cell>
          <cell r="N89" t="str">
            <v>T</v>
          </cell>
          <cell r="O89" t="str">
            <v>T</v>
          </cell>
          <cell r="P89" t="str">
            <v>DL</v>
          </cell>
          <cell r="Q89" t="str">
            <v>DL</v>
          </cell>
          <cell r="R89" t="str">
            <v>DL</v>
          </cell>
          <cell r="S89" t="str">
            <v>DL</v>
          </cell>
          <cell r="T89" t="str">
            <v>DL</v>
          </cell>
          <cell r="U89" t="str">
            <v>DL</v>
          </cell>
          <cell r="V89" t="str">
            <v>DL</v>
          </cell>
          <cell r="W89" t="str">
            <v>T</v>
          </cell>
          <cell r="X89" t="str">
            <v>T</v>
          </cell>
          <cell r="Y89" t="str">
            <v>T</v>
          </cell>
          <cell r="Z89" t="str">
            <v>T</v>
          </cell>
          <cell r="AA89" t="str">
            <v>T</v>
          </cell>
          <cell r="AB89" t="str">
            <v>T</v>
          </cell>
          <cell r="AC89" t="str">
            <v>T</v>
          </cell>
          <cell r="AD89" t="str">
            <v>T</v>
          </cell>
          <cell r="AE89" t="str">
            <v>T</v>
          </cell>
          <cell r="AF89" t="str">
            <v>T</v>
          </cell>
          <cell r="AG89" t="str">
            <v>T</v>
          </cell>
          <cell r="AH89" t="str">
            <v>T</v>
          </cell>
          <cell r="AI89" t="str">
            <v>T</v>
          </cell>
          <cell r="AJ89" t="str">
            <v>T</v>
          </cell>
          <cell r="AK89" t="str">
            <v>DL</v>
          </cell>
          <cell r="AL89">
            <v>6</v>
          </cell>
          <cell r="AO89">
            <v>20</v>
          </cell>
          <cell r="AP89">
            <v>8</v>
          </cell>
          <cell r="AQ89">
            <v>0</v>
          </cell>
          <cell r="AR89">
            <v>8</v>
          </cell>
          <cell r="AS89">
            <v>28</v>
          </cell>
          <cell r="AT89">
            <v>0</v>
          </cell>
          <cell r="AU89">
            <v>0</v>
          </cell>
          <cell r="AV89">
            <v>0</v>
          </cell>
          <cell r="AW89">
            <v>0</v>
          </cell>
          <cell r="AX89">
            <v>0</v>
          </cell>
          <cell r="AY89">
            <v>0</v>
          </cell>
          <cell r="AZ89">
            <v>0</v>
          </cell>
          <cell r="BA89">
            <v>28</v>
          </cell>
          <cell r="BB89">
            <v>0</v>
          </cell>
          <cell r="BC89">
            <v>100</v>
          </cell>
          <cell r="BD89">
            <v>60</v>
          </cell>
          <cell r="BE89">
            <v>55</v>
          </cell>
          <cell r="BF89">
            <v>1540</v>
          </cell>
          <cell r="BI89">
            <v>0</v>
          </cell>
          <cell r="BJ89">
            <v>1540</v>
          </cell>
        </row>
        <row r="90">
          <cell r="B90">
            <v>80</v>
          </cell>
          <cell r="C90" t="str">
            <v>RUIZ MUCHA JORGE FELICIANO</v>
          </cell>
          <cell r="D90">
            <v>39575</v>
          </cell>
          <cell r="E90">
            <v>39897</v>
          </cell>
          <cell r="F90" t="str">
            <v>TERMINO DE OBRA</v>
          </cell>
          <cell r="G90" t="str">
            <v>Ayudante Perforista</v>
          </cell>
          <cell r="H90" t="str">
            <v>ING. CASTILLON</v>
          </cell>
          <cell r="I90" t="str">
            <v>ACTIVO</v>
          </cell>
          <cell r="J90" t="str">
            <v>T</v>
          </cell>
          <cell r="K90" t="str">
            <v>T</v>
          </cell>
          <cell r="L90" t="str">
            <v>T</v>
          </cell>
          <cell r="M90" t="str">
            <v>T</v>
          </cell>
          <cell r="N90" t="str">
            <v>T</v>
          </cell>
          <cell r="O90" t="str">
            <v>T</v>
          </cell>
          <cell r="P90" t="str">
            <v>T</v>
          </cell>
          <cell r="Q90" t="str">
            <v>T</v>
          </cell>
          <cell r="R90" t="str">
            <v>T</v>
          </cell>
          <cell r="S90" t="str">
            <v>T</v>
          </cell>
          <cell r="T90" t="str">
            <v>T</v>
          </cell>
          <cell r="U90" t="str">
            <v>T</v>
          </cell>
          <cell r="V90" t="str">
            <v>T</v>
          </cell>
          <cell r="W90" t="str">
            <v>DL</v>
          </cell>
          <cell r="X90" t="str">
            <v>DL</v>
          </cell>
          <cell r="Y90" t="str">
            <v>DL</v>
          </cell>
          <cell r="Z90" t="str">
            <v>DL</v>
          </cell>
          <cell r="AA90" t="str">
            <v>DL</v>
          </cell>
          <cell r="AB90" t="str">
            <v>DL</v>
          </cell>
          <cell r="AC90" t="str">
            <v>DL</v>
          </cell>
          <cell r="AD90" t="str">
            <v>T</v>
          </cell>
          <cell r="AE90" t="str">
            <v>T</v>
          </cell>
          <cell r="AF90" t="str">
            <v>T</v>
          </cell>
          <cell r="AG90" t="str">
            <v>T</v>
          </cell>
          <cell r="AH90" t="str">
            <v>T</v>
          </cell>
          <cell r="AI90" t="str">
            <v>T</v>
          </cell>
          <cell r="AJ90" t="str">
            <v>T</v>
          </cell>
          <cell r="AK90" t="str">
            <v>T</v>
          </cell>
          <cell r="AL90">
            <v>4</v>
          </cell>
          <cell r="AO90">
            <v>21</v>
          </cell>
          <cell r="AP90">
            <v>7</v>
          </cell>
          <cell r="AQ90">
            <v>0</v>
          </cell>
          <cell r="AR90">
            <v>7</v>
          </cell>
          <cell r="AS90">
            <v>28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28</v>
          </cell>
          <cell r="BB90">
            <v>0</v>
          </cell>
          <cell r="BC90">
            <v>105</v>
          </cell>
          <cell r="BD90">
            <v>60</v>
          </cell>
          <cell r="BE90">
            <v>40</v>
          </cell>
          <cell r="BF90">
            <v>1120</v>
          </cell>
          <cell r="BI90">
            <v>0</v>
          </cell>
          <cell r="BJ90">
            <v>1120</v>
          </cell>
        </row>
        <row r="91">
          <cell r="B91">
            <v>81</v>
          </cell>
          <cell r="C91" t="str">
            <v>SALAZAR TAIPE VICENTE VICTOR</v>
          </cell>
          <cell r="D91">
            <v>39708</v>
          </cell>
          <cell r="E91">
            <v>39897</v>
          </cell>
          <cell r="F91" t="str">
            <v>TERMINO DE OBRA</v>
          </cell>
          <cell r="G91" t="str">
            <v>Perforista B</v>
          </cell>
          <cell r="H91" t="str">
            <v>ING. ACERO</v>
          </cell>
          <cell r="I91" t="str">
            <v>ACTIVO</v>
          </cell>
          <cell r="J91" t="str">
            <v>DL</v>
          </cell>
          <cell r="K91" t="str">
            <v>DL</v>
          </cell>
          <cell r="L91" t="str">
            <v>DL</v>
          </cell>
          <cell r="M91" t="str">
            <v>DL</v>
          </cell>
          <cell r="N91" t="str">
            <v>DL</v>
          </cell>
          <cell r="O91" t="str">
            <v>DL</v>
          </cell>
          <cell r="P91" t="str">
            <v>T</v>
          </cell>
          <cell r="Q91" t="str">
            <v>T</v>
          </cell>
          <cell r="R91" t="str">
            <v>T</v>
          </cell>
          <cell r="S91" t="str">
            <v>T</v>
          </cell>
          <cell r="T91" t="str">
            <v>T</v>
          </cell>
          <cell r="U91" t="str">
            <v>T</v>
          </cell>
          <cell r="V91" t="str">
            <v>T</v>
          </cell>
          <cell r="W91" t="str">
            <v>T</v>
          </cell>
          <cell r="X91" t="str">
            <v>T</v>
          </cell>
          <cell r="Y91" t="str">
            <v>T</v>
          </cell>
          <cell r="Z91" t="str">
            <v>T</v>
          </cell>
          <cell r="AA91" t="str">
            <v>T</v>
          </cell>
          <cell r="AB91" t="str">
            <v>T</v>
          </cell>
          <cell r="AC91" t="str">
            <v>T</v>
          </cell>
          <cell r="AD91" t="str">
            <v>DL</v>
          </cell>
          <cell r="AE91" t="str">
            <v>DL</v>
          </cell>
          <cell r="AF91" t="str">
            <v>DL</v>
          </cell>
          <cell r="AG91" t="str">
            <v>DL</v>
          </cell>
          <cell r="AH91" t="str">
            <v>DL</v>
          </cell>
          <cell r="AI91" t="str">
            <v>DL</v>
          </cell>
          <cell r="AJ91" t="str">
            <v>DL</v>
          </cell>
          <cell r="AK91" t="str">
            <v>T</v>
          </cell>
          <cell r="AL91">
            <v>0.5</v>
          </cell>
          <cell r="AO91">
            <v>15</v>
          </cell>
          <cell r="AP91">
            <v>13</v>
          </cell>
          <cell r="AQ91">
            <v>0</v>
          </cell>
          <cell r="AR91">
            <v>13</v>
          </cell>
          <cell r="AS91">
            <v>28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28</v>
          </cell>
          <cell r="BB91">
            <v>0</v>
          </cell>
          <cell r="BC91">
            <v>75</v>
          </cell>
          <cell r="BD91">
            <v>60</v>
          </cell>
          <cell r="BE91">
            <v>45</v>
          </cell>
          <cell r="BF91">
            <v>1260</v>
          </cell>
          <cell r="BI91">
            <v>0</v>
          </cell>
          <cell r="BJ91">
            <v>1260</v>
          </cell>
        </row>
        <row r="92">
          <cell r="B92">
            <v>82</v>
          </cell>
          <cell r="C92" t="str">
            <v>SALCEDO RAMIREZ ABEL DARIO</v>
          </cell>
          <cell r="D92">
            <v>39320</v>
          </cell>
          <cell r="E92">
            <v>39897</v>
          </cell>
          <cell r="F92" t="str">
            <v>TERMINO DE OBRA</v>
          </cell>
          <cell r="G92" t="str">
            <v>Ayudante Perforista</v>
          </cell>
          <cell r="H92" t="str">
            <v>ING. ACERO</v>
          </cell>
          <cell r="I92" t="str">
            <v>ACTIVO</v>
          </cell>
          <cell r="J92" t="str">
            <v>DL</v>
          </cell>
          <cell r="K92" t="str">
            <v>DL</v>
          </cell>
          <cell r="L92" t="str">
            <v>DL</v>
          </cell>
          <cell r="M92" t="str">
            <v>DL</v>
          </cell>
          <cell r="N92" t="str">
            <v>DL</v>
          </cell>
          <cell r="O92" t="str">
            <v>DL</v>
          </cell>
          <cell r="P92" t="str">
            <v>T</v>
          </cell>
          <cell r="Q92" t="str">
            <v>T</v>
          </cell>
          <cell r="R92" t="str">
            <v>T</v>
          </cell>
          <cell r="S92" t="str">
            <v>T</v>
          </cell>
          <cell r="T92" t="str">
            <v>T</v>
          </cell>
          <cell r="U92" t="str">
            <v>T</v>
          </cell>
          <cell r="V92" t="str">
            <v>T</v>
          </cell>
          <cell r="W92" t="str">
            <v>T</v>
          </cell>
          <cell r="X92" t="str">
            <v>T</v>
          </cell>
          <cell r="Y92" t="str">
            <v>T</v>
          </cell>
          <cell r="Z92" t="str">
            <v>T</v>
          </cell>
          <cell r="AA92" t="str">
            <v>T</v>
          </cell>
          <cell r="AB92" t="str">
            <v>T</v>
          </cell>
          <cell r="AC92" t="str">
            <v>T</v>
          </cell>
          <cell r="AD92" t="str">
            <v>DL</v>
          </cell>
          <cell r="AE92" t="str">
            <v>DL</v>
          </cell>
          <cell r="AF92" t="str">
            <v>DL</v>
          </cell>
          <cell r="AG92" t="str">
            <v>DL</v>
          </cell>
          <cell r="AH92" t="str">
            <v>DL</v>
          </cell>
          <cell r="AI92" t="str">
            <v>DL</v>
          </cell>
          <cell r="AJ92" t="str">
            <v>DL</v>
          </cell>
          <cell r="AK92" t="str">
            <v>T</v>
          </cell>
          <cell r="AL92">
            <v>0.5</v>
          </cell>
          <cell r="AO92">
            <v>15</v>
          </cell>
          <cell r="AP92">
            <v>13</v>
          </cell>
          <cell r="AQ92">
            <v>0</v>
          </cell>
          <cell r="AR92">
            <v>13</v>
          </cell>
          <cell r="AS92">
            <v>28</v>
          </cell>
          <cell r="AT92">
            <v>0</v>
          </cell>
          <cell r="AU92">
            <v>0</v>
          </cell>
          <cell r="AV92">
            <v>0</v>
          </cell>
          <cell r="AW92">
            <v>0</v>
          </cell>
          <cell r="AX92">
            <v>0</v>
          </cell>
          <cell r="AY92">
            <v>0</v>
          </cell>
          <cell r="AZ92">
            <v>0</v>
          </cell>
          <cell r="BA92">
            <v>28</v>
          </cell>
          <cell r="BB92">
            <v>0</v>
          </cell>
          <cell r="BC92">
            <v>75</v>
          </cell>
          <cell r="BD92">
            <v>60</v>
          </cell>
          <cell r="BE92">
            <v>40</v>
          </cell>
          <cell r="BF92">
            <v>1120</v>
          </cell>
          <cell r="BI92">
            <v>0</v>
          </cell>
          <cell r="BJ92">
            <v>1120</v>
          </cell>
        </row>
        <row r="93">
          <cell r="B93">
            <v>83</v>
          </cell>
          <cell r="C93" t="str">
            <v>SANTIVAÑEZ LOPEZ JAVIER ANTONIO</v>
          </cell>
          <cell r="D93">
            <v>39320</v>
          </cell>
          <cell r="E93">
            <v>39897</v>
          </cell>
          <cell r="F93" t="str">
            <v>TERMINO DE OBRA</v>
          </cell>
          <cell r="G93" t="str">
            <v>Ayudante Perforista</v>
          </cell>
          <cell r="H93" t="str">
            <v>ING. ORIUNDO</v>
          </cell>
          <cell r="I93" t="str">
            <v>ACTIVO</v>
          </cell>
          <cell r="J93" t="str">
            <v>T</v>
          </cell>
          <cell r="K93" t="str">
            <v>T</v>
          </cell>
          <cell r="L93" t="str">
            <v>T</v>
          </cell>
          <cell r="M93" t="str">
            <v>T</v>
          </cell>
          <cell r="N93" t="str">
            <v>T</v>
          </cell>
          <cell r="O93" t="str">
            <v>T</v>
          </cell>
          <cell r="P93" t="str">
            <v>DL</v>
          </cell>
          <cell r="Q93" t="str">
            <v>DL</v>
          </cell>
          <cell r="R93" t="str">
            <v>DL</v>
          </cell>
          <cell r="S93" t="str">
            <v>DL</v>
          </cell>
          <cell r="T93" t="str">
            <v>DL</v>
          </cell>
          <cell r="U93" t="str">
            <v>DL</v>
          </cell>
          <cell r="V93" t="str">
            <v>DL</v>
          </cell>
          <cell r="W93" t="str">
            <v>T</v>
          </cell>
          <cell r="X93" t="str">
            <v>T</v>
          </cell>
          <cell r="Y93" t="str">
            <v>T</v>
          </cell>
          <cell r="Z93" t="str">
            <v>T</v>
          </cell>
          <cell r="AA93" t="str">
            <v>T</v>
          </cell>
          <cell r="AB93" t="str">
            <v>T</v>
          </cell>
          <cell r="AC93" t="str">
            <v>T</v>
          </cell>
          <cell r="AD93" t="str">
            <v>T</v>
          </cell>
          <cell r="AE93" t="str">
            <v>T</v>
          </cell>
          <cell r="AF93" t="str">
            <v>T</v>
          </cell>
          <cell r="AG93" t="str">
            <v>T</v>
          </cell>
          <cell r="AH93" t="str">
            <v>T</v>
          </cell>
          <cell r="AI93" t="str">
            <v>T</v>
          </cell>
          <cell r="AJ93" t="str">
            <v>T</v>
          </cell>
          <cell r="AK93" t="str">
            <v>DL</v>
          </cell>
          <cell r="AL93">
            <v>6</v>
          </cell>
          <cell r="AO93">
            <v>20</v>
          </cell>
          <cell r="AP93">
            <v>8</v>
          </cell>
          <cell r="AQ93">
            <v>0</v>
          </cell>
          <cell r="AR93">
            <v>8</v>
          </cell>
          <cell r="AS93">
            <v>28</v>
          </cell>
          <cell r="AT93">
            <v>0</v>
          </cell>
          <cell r="AU93">
            <v>0</v>
          </cell>
          <cell r="AV93">
            <v>0</v>
          </cell>
          <cell r="AW93">
            <v>0</v>
          </cell>
          <cell r="AX93">
            <v>0</v>
          </cell>
          <cell r="AY93">
            <v>0</v>
          </cell>
          <cell r="AZ93">
            <v>0</v>
          </cell>
          <cell r="BA93">
            <v>28</v>
          </cell>
          <cell r="BB93">
            <v>0</v>
          </cell>
          <cell r="BC93">
            <v>100</v>
          </cell>
          <cell r="BD93">
            <v>60</v>
          </cell>
          <cell r="BE93">
            <v>40</v>
          </cell>
          <cell r="BF93">
            <v>1120</v>
          </cell>
          <cell r="BI93">
            <v>0</v>
          </cell>
          <cell r="BJ93">
            <v>1120</v>
          </cell>
        </row>
        <row r="94">
          <cell r="B94">
            <v>84</v>
          </cell>
          <cell r="C94" t="str">
            <v>SOTO PECHO LEOPOLDO MARINO</v>
          </cell>
          <cell r="D94">
            <v>39479</v>
          </cell>
          <cell r="E94">
            <v>39897</v>
          </cell>
          <cell r="F94" t="str">
            <v>TERMINO DE OBRA</v>
          </cell>
          <cell r="G94" t="str">
            <v>Mecánico</v>
          </cell>
          <cell r="H94" t="str">
            <v>ING. ACERO</v>
          </cell>
          <cell r="I94" t="str">
            <v>ACTIVO</v>
          </cell>
          <cell r="J94" t="str">
            <v>DL</v>
          </cell>
          <cell r="K94" t="str">
            <v>DL</v>
          </cell>
          <cell r="L94" t="str">
            <v>DL</v>
          </cell>
          <cell r="M94" t="str">
            <v>DL</v>
          </cell>
          <cell r="N94" t="str">
            <v>DL</v>
          </cell>
          <cell r="O94" t="str">
            <v>DL</v>
          </cell>
          <cell r="P94" t="str">
            <v>T</v>
          </cell>
          <cell r="Q94" t="str">
            <v>T</v>
          </cell>
          <cell r="R94" t="str">
            <v>T</v>
          </cell>
          <cell r="S94" t="str">
            <v>T</v>
          </cell>
          <cell r="T94" t="str">
            <v>T</v>
          </cell>
          <cell r="U94" t="str">
            <v>T</v>
          </cell>
          <cell r="V94" t="str">
            <v>T</v>
          </cell>
          <cell r="W94" t="str">
            <v>T</v>
          </cell>
          <cell r="X94" t="str">
            <v>T</v>
          </cell>
          <cell r="Y94" t="str">
            <v>T</v>
          </cell>
          <cell r="Z94" t="str">
            <v>T</v>
          </cell>
          <cell r="AA94" t="str">
            <v>T</v>
          </cell>
          <cell r="AB94" t="str">
            <v>T</v>
          </cell>
          <cell r="AC94" t="str">
            <v>T</v>
          </cell>
          <cell r="AD94" t="str">
            <v>DL</v>
          </cell>
          <cell r="AE94" t="str">
            <v>DL</v>
          </cell>
          <cell r="AF94" t="str">
            <v>DL</v>
          </cell>
          <cell r="AG94" t="str">
            <v>DL</v>
          </cell>
          <cell r="AH94" t="str">
            <v>DL</v>
          </cell>
          <cell r="AI94" t="str">
            <v>DL</v>
          </cell>
          <cell r="AJ94" t="str">
            <v>DL</v>
          </cell>
          <cell r="AK94" t="str">
            <v>T</v>
          </cell>
          <cell r="AL94">
            <v>0.5</v>
          </cell>
          <cell r="AO94">
            <v>15</v>
          </cell>
          <cell r="AP94">
            <v>13</v>
          </cell>
          <cell r="AQ94">
            <v>0</v>
          </cell>
          <cell r="AR94">
            <v>13</v>
          </cell>
          <cell r="AS94">
            <v>28</v>
          </cell>
          <cell r="AT94">
            <v>0</v>
          </cell>
          <cell r="AU94">
            <v>0</v>
          </cell>
          <cell r="AV94">
            <v>0</v>
          </cell>
          <cell r="AW94">
            <v>0</v>
          </cell>
          <cell r="AX94">
            <v>0</v>
          </cell>
          <cell r="AY94">
            <v>0</v>
          </cell>
          <cell r="AZ94">
            <v>0</v>
          </cell>
          <cell r="BA94">
            <v>28</v>
          </cell>
          <cell r="BB94">
            <v>0</v>
          </cell>
          <cell r="BC94">
            <v>75</v>
          </cell>
          <cell r="BD94">
            <v>60</v>
          </cell>
          <cell r="BE94">
            <v>50</v>
          </cell>
          <cell r="BF94">
            <v>1400</v>
          </cell>
          <cell r="BI94">
            <v>0</v>
          </cell>
          <cell r="BJ94">
            <v>1400</v>
          </cell>
        </row>
        <row r="95">
          <cell r="B95">
            <v>85</v>
          </cell>
          <cell r="C95" t="str">
            <v>TAIPE CENCIA FAUSTO</v>
          </cell>
          <cell r="D95">
            <v>39469</v>
          </cell>
          <cell r="E95">
            <v>39897</v>
          </cell>
          <cell r="F95" t="str">
            <v>TERMINO DE OBRA</v>
          </cell>
          <cell r="G95" t="str">
            <v>Perforista B</v>
          </cell>
          <cell r="H95" t="str">
            <v>ING. CASTILLON</v>
          </cell>
          <cell r="I95" t="str">
            <v>ACTIVO</v>
          </cell>
          <cell r="J95" t="str">
            <v>T</v>
          </cell>
          <cell r="K95" t="str">
            <v>T</v>
          </cell>
          <cell r="L95" t="str">
            <v>T</v>
          </cell>
          <cell r="M95" t="str">
            <v>T</v>
          </cell>
          <cell r="N95" t="str">
            <v>F</v>
          </cell>
          <cell r="O95" t="str">
            <v>S</v>
          </cell>
          <cell r="P95" t="str">
            <v>T</v>
          </cell>
          <cell r="Q95" t="str">
            <v>T</v>
          </cell>
          <cell r="R95" t="str">
            <v>T</v>
          </cell>
          <cell r="S95" t="str">
            <v>T</v>
          </cell>
          <cell r="T95" t="str">
            <v>T</v>
          </cell>
          <cell r="U95" t="str">
            <v>T</v>
          </cell>
          <cell r="V95" t="str">
            <v>T</v>
          </cell>
          <cell r="W95" t="str">
            <v>DL</v>
          </cell>
          <cell r="X95" t="str">
            <v>DL</v>
          </cell>
          <cell r="Y95" t="str">
            <v>DL</v>
          </cell>
          <cell r="Z95" t="str">
            <v>DL</v>
          </cell>
          <cell r="AA95" t="str">
            <v>DL</v>
          </cell>
          <cell r="AB95" t="str">
            <v>DL</v>
          </cell>
          <cell r="AC95" t="str">
            <v>DL</v>
          </cell>
          <cell r="AD95" t="str">
            <v>T</v>
          </cell>
          <cell r="AE95" t="str">
            <v>T</v>
          </cell>
          <cell r="AF95" t="str">
            <v>T</v>
          </cell>
          <cell r="AG95" t="str">
            <v>T</v>
          </cell>
          <cell r="AH95" t="str">
            <v>T</v>
          </cell>
          <cell r="AI95" t="str">
            <v>T</v>
          </cell>
          <cell r="AJ95" t="str">
            <v>T</v>
          </cell>
          <cell r="AK95" t="str">
            <v>T</v>
          </cell>
          <cell r="AL95">
            <v>4</v>
          </cell>
          <cell r="AO95">
            <v>19</v>
          </cell>
          <cell r="AP95">
            <v>7</v>
          </cell>
          <cell r="AQ95">
            <v>2</v>
          </cell>
          <cell r="AR95">
            <v>6</v>
          </cell>
          <cell r="AS95">
            <v>25</v>
          </cell>
          <cell r="AT95">
            <v>0</v>
          </cell>
          <cell r="AU95">
            <v>0</v>
          </cell>
          <cell r="AV95">
            <v>0</v>
          </cell>
          <cell r="AW95">
            <v>1</v>
          </cell>
          <cell r="AX95">
            <v>1</v>
          </cell>
          <cell r="AY95">
            <v>0</v>
          </cell>
          <cell r="AZ95">
            <v>2</v>
          </cell>
          <cell r="BA95">
            <v>25</v>
          </cell>
          <cell r="BB95">
            <v>0</v>
          </cell>
          <cell r="BC95">
            <v>95</v>
          </cell>
          <cell r="BD95">
            <v>60</v>
          </cell>
          <cell r="BE95">
            <v>45</v>
          </cell>
          <cell r="BF95">
            <v>1125</v>
          </cell>
          <cell r="BI95">
            <v>0</v>
          </cell>
          <cell r="BJ95">
            <v>1125</v>
          </cell>
        </row>
        <row r="96">
          <cell r="B96">
            <v>86</v>
          </cell>
          <cell r="C96" t="str">
            <v>TOCTO CHAVEZ ZENEN</v>
          </cell>
          <cell r="D96">
            <v>39492</v>
          </cell>
          <cell r="E96">
            <v>39897</v>
          </cell>
          <cell r="F96" t="str">
            <v>TERMINO DE OBRA</v>
          </cell>
          <cell r="G96" t="str">
            <v>Perforista A</v>
          </cell>
          <cell r="H96" t="str">
            <v>ING. CASTILLON</v>
          </cell>
          <cell r="I96" t="str">
            <v>ACTIVO</v>
          </cell>
          <cell r="J96" t="str">
            <v>T</v>
          </cell>
          <cell r="K96" t="str">
            <v>T</v>
          </cell>
          <cell r="L96" t="str">
            <v>T</v>
          </cell>
          <cell r="M96" t="str">
            <v>T</v>
          </cell>
          <cell r="N96" t="str">
            <v>T</v>
          </cell>
          <cell r="O96" t="str">
            <v>T</v>
          </cell>
          <cell r="P96" t="str">
            <v>T</v>
          </cell>
          <cell r="Q96" t="str">
            <v>T</v>
          </cell>
          <cell r="R96" t="str">
            <v>T</v>
          </cell>
          <cell r="S96" t="str">
            <v>T</v>
          </cell>
          <cell r="T96" t="str">
            <v>T</v>
          </cell>
          <cell r="U96" t="str">
            <v>T</v>
          </cell>
          <cell r="V96" t="str">
            <v>T</v>
          </cell>
          <cell r="W96" t="str">
            <v>DL</v>
          </cell>
          <cell r="X96" t="str">
            <v>DL</v>
          </cell>
          <cell r="Y96" t="str">
            <v>DL</v>
          </cell>
          <cell r="Z96" t="str">
            <v>DL</v>
          </cell>
          <cell r="AA96" t="str">
            <v>DL</v>
          </cell>
          <cell r="AB96" t="str">
            <v>DL</v>
          </cell>
          <cell r="AC96" t="str">
            <v>DL</v>
          </cell>
          <cell r="AD96" t="str">
            <v>T</v>
          </cell>
          <cell r="AE96" t="str">
            <v>T</v>
          </cell>
          <cell r="AF96" t="str">
            <v>T</v>
          </cell>
          <cell r="AG96" t="str">
            <v>T</v>
          </cell>
          <cell r="AH96" t="str">
            <v>T</v>
          </cell>
          <cell r="AI96" t="str">
            <v>T</v>
          </cell>
          <cell r="AJ96" t="str">
            <v>T</v>
          </cell>
          <cell r="AK96" t="str">
            <v>T</v>
          </cell>
          <cell r="AL96">
            <v>4</v>
          </cell>
          <cell r="AO96">
            <v>21</v>
          </cell>
          <cell r="AP96">
            <v>7</v>
          </cell>
          <cell r="AQ96">
            <v>0</v>
          </cell>
          <cell r="AR96">
            <v>7</v>
          </cell>
          <cell r="AS96">
            <v>28</v>
          </cell>
          <cell r="AT96">
            <v>0</v>
          </cell>
          <cell r="AU96">
            <v>0</v>
          </cell>
          <cell r="AV96">
            <v>0</v>
          </cell>
          <cell r="AW96">
            <v>0</v>
          </cell>
          <cell r="AX96">
            <v>0</v>
          </cell>
          <cell r="AY96">
            <v>0</v>
          </cell>
          <cell r="AZ96">
            <v>0</v>
          </cell>
          <cell r="BA96">
            <v>28</v>
          </cell>
          <cell r="BB96">
            <v>0</v>
          </cell>
          <cell r="BC96">
            <v>105</v>
          </cell>
          <cell r="BD96">
            <v>60</v>
          </cell>
          <cell r="BE96">
            <v>50</v>
          </cell>
          <cell r="BF96">
            <v>1400</v>
          </cell>
          <cell r="BI96">
            <v>0</v>
          </cell>
          <cell r="BJ96">
            <v>1400</v>
          </cell>
        </row>
        <row r="97">
          <cell r="B97">
            <v>87</v>
          </cell>
          <cell r="C97" t="str">
            <v>TORRES QUISPE ERASMO</v>
          </cell>
          <cell r="D97">
            <v>39347</v>
          </cell>
          <cell r="E97">
            <v>39897</v>
          </cell>
          <cell r="F97" t="str">
            <v>TERMINO DE OBRA</v>
          </cell>
          <cell r="G97" t="str">
            <v>Ayudante Perforista</v>
          </cell>
          <cell r="H97" t="str">
            <v>ING. CASTILLON</v>
          </cell>
          <cell r="I97" t="str">
            <v>ACTIVO</v>
          </cell>
          <cell r="J97" t="str">
            <v>T</v>
          </cell>
          <cell r="K97" t="str">
            <v>T</v>
          </cell>
          <cell r="L97" t="str">
            <v>T</v>
          </cell>
          <cell r="M97" t="str">
            <v>T</v>
          </cell>
          <cell r="N97" t="str">
            <v>T</v>
          </cell>
          <cell r="O97" t="str">
            <v>T</v>
          </cell>
          <cell r="P97" t="str">
            <v>T</v>
          </cell>
          <cell r="Q97" t="str">
            <v>T</v>
          </cell>
          <cell r="R97" t="str">
            <v>T</v>
          </cell>
          <cell r="S97" t="str">
            <v>T</v>
          </cell>
          <cell r="T97" t="str">
            <v>T</v>
          </cell>
          <cell r="U97" t="str">
            <v>T</v>
          </cell>
          <cell r="V97" t="str">
            <v>T</v>
          </cell>
          <cell r="W97" t="str">
            <v>DL</v>
          </cell>
          <cell r="X97" t="str">
            <v>DL</v>
          </cell>
          <cell r="Y97" t="str">
            <v>DL</v>
          </cell>
          <cell r="Z97" t="str">
            <v>DL</v>
          </cell>
          <cell r="AA97" t="str">
            <v>DL</v>
          </cell>
          <cell r="AB97" t="str">
            <v>DL</v>
          </cell>
          <cell r="AC97" t="str">
            <v>DL</v>
          </cell>
          <cell r="AD97" t="str">
            <v>T</v>
          </cell>
          <cell r="AE97" t="str">
            <v>T</v>
          </cell>
          <cell r="AF97" t="str">
            <v>T</v>
          </cell>
          <cell r="AG97" t="str">
            <v>T</v>
          </cell>
          <cell r="AH97" t="str">
            <v>T</v>
          </cell>
          <cell r="AI97" t="str">
            <v>T</v>
          </cell>
          <cell r="AJ97" t="str">
            <v>T</v>
          </cell>
          <cell r="AK97" t="str">
            <v>T</v>
          </cell>
          <cell r="AL97">
            <v>4</v>
          </cell>
          <cell r="AO97">
            <v>21</v>
          </cell>
          <cell r="AP97">
            <v>7</v>
          </cell>
          <cell r="AQ97">
            <v>0</v>
          </cell>
          <cell r="AR97">
            <v>7</v>
          </cell>
          <cell r="AS97">
            <v>28</v>
          </cell>
          <cell r="AT97">
            <v>0</v>
          </cell>
          <cell r="AU97">
            <v>0</v>
          </cell>
          <cell r="AV97">
            <v>0</v>
          </cell>
          <cell r="AW97">
            <v>0</v>
          </cell>
          <cell r="AX97">
            <v>0</v>
          </cell>
          <cell r="AY97">
            <v>0</v>
          </cell>
          <cell r="AZ97">
            <v>0</v>
          </cell>
          <cell r="BA97">
            <v>28</v>
          </cell>
          <cell r="BB97">
            <v>0</v>
          </cell>
          <cell r="BC97">
            <v>105</v>
          </cell>
          <cell r="BD97">
            <v>60</v>
          </cell>
          <cell r="BE97">
            <v>40</v>
          </cell>
          <cell r="BF97">
            <v>1120</v>
          </cell>
          <cell r="BI97">
            <v>0</v>
          </cell>
          <cell r="BJ97">
            <v>1120</v>
          </cell>
        </row>
        <row r="98">
          <cell r="B98">
            <v>88</v>
          </cell>
          <cell r="C98" t="str">
            <v>TORRESAGA GUERREROS DANY RAFAEL</v>
          </cell>
          <cell r="D98">
            <v>39424</v>
          </cell>
          <cell r="E98">
            <v>39897</v>
          </cell>
          <cell r="F98" t="str">
            <v>TERMINO DE OBRA</v>
          </cell>
          <cell r="G98" t="str">
            <v>Enmaderador</v>
          </cell>
          <cell r="H98" t="str">
            <v>ING. CASTILLON</v>
          </cell>
          <cell r="I98" t="str">
            <v>ACTIVO</v>
          </cell>
          <cell r="J98" t="str">
            <v xml:space="preserve">BM                    </v>
          </cell>
          <cell r="K98" t="str">
            <v xml:space="preserve">BM                    </v>
          </cell>
          <cell r="L98" t="str">
            <v xml:space="preserve">BM                    </v>
          </cell>
          <cell r="M98" t="str">
            <v>T</v>
          </cell>
          <cell r="N98" t="str">
            <v>T</v>
          </cell>
          <cell r="O98" t="str">
            <v>T</v>
          </cell>
          <cell r="P98" t="str">
            <v>T</v>
          </cell>
          <cell r="Q98" t="str">
            <v>T</v>
          </cell>
          <cell r="R98" t="str">
            <v>T</v>
          </cell>
          <cell r="S98" t="str">
            <v>T</v>
          </cell>
          <cell r="T98" t="str">
            <v>T</v>
          </cell>
          <cell r="U98" t="str">
            <v>T</v>
          </cell>
          <cell r="V98" t="str">
            <v>T</v>
          </cell>
          <cell r="W98" t="str">
            <v>DL</v>
          </cell>
          <cell r="X98" t="str">
            <v>DL</v>
          </cell>
          <cell r="Y98" t="str">
            <v>DL</v>
          </cell>
          <cell r="Z98" t="str">
            <v>DL</v>
          </cell>
          <cell r="AA98" t="str">
            <v>DL</v>
          </cell>
          <cell r="AB98" t="str">
            <v>DL</v>
          </cell>
          <cell r="AC98" t="str">
            <v>DL</v>
          </cell>
          <cell r="AD98" t="str">
            <v>T</v>
          </cell>
          <cell r="AE98" t="str">
            <v>T</v>
          </cell>
          <cell r="AF98" t="str">
            <v>T</v>
          </cell>
          <cell r="AG98" t="str">
            <v>T</v>
          </cell>
          <cell r="AH98" t="str">
            <v>T</v>
          </cell>
          <cell r="AI98" t="str">
            <v>T</v>
          </cell>
          <cell r="AJ98" t="str">
            <v>T</v>
          </cell>
          <cell r="AK98" t="str">
            <v>T</v>
          </cell>
          <cell r="AL98">
            <v>4</v>
          </cell>
          <cell r="AO98">
            <v>18</v>
          </cell>
          <cell r="AP98">
            <v>7</v>
          </cell>
          <cell r="AQ98">
            <v>0</v>
          </cell>
          <cell r="AR98">
            <v>7</v>
          </cell>
          <cell r="AS98">
            <v>25</v>
          </cell>
          <cell r="AT98">
            <v>0</v>
          </cell>
          <cell r="AU98">
            <v>0</v>
          </cell>
          <cell r="AV98">
            <v>0</v>
          </cell>
          <cell r="AW98">
            <v>0</v>
          </cell>
          <cell r="AX98">
            <v>0</v>
          </cell>
          <cell r="AY98">
            <v>0</v>
          </cell>
          <cell r="AZ98">
            <v>0</v>
          </cell>
          <cell r="BA98">
            <v>25</v>
          </cell>
          <cell r="BB98">
            <v>0</v>
          </cell>
          <cell r="BC98">
            <v>90</v>
          </cell>
          <cell r="BD98">
            <v>60</v>
          </cell>
          <cell r="BE98">
            <v>45</v>
          </cell>
          <cell r="BF98">
            <v>1125</v>
          </cell>
          <cell r="BI98">
            <v>0</v>
          </cell>
          <cell r="BJ98">
            <v>1125</v>
          </cell>
        </row>
        <row r="99">
          <cell r="B99">
            <v>89</v>
          </cell>
          <cell r="C99" t="str">
            <v>TRUJILLO VALDIVIEZO MAURICIO</v>
          </cell>
          <cell r="D99">
            <v>39359</v>
          </cell>
          <cell r="E99">
            <v>39897</v>
          </cell>
          <cell r="F99" t="str">
            <v>TERMINO DE OBRA</v>
          </cell>
          <cell r="G99" t="str">
            <v>Perforista A</v>
          </cell>
          <cell r="H99" t="str">
            <v>ING. ACERO</v>
          </cell>
          <cell r="I99" t="str">
            <v>ACTIVO</v>
          </cell>
          <cell r="J99" t="str">
            <v>DL</v>
          </cell>
          <cell r="K99" t="str">
            <v>DL</v>
          </cell>
          <cell r="L99" t="str">
            <v>DL</v>
          </cell>
          <cell r="M99" t="str">
            <v>DL</v>
          </cell>
          <cell r="N99" t="str">
            <v>DL</v>
          </cell>
          <cell r="O99" t="str">
            <v>DL</v>
          </cell>
          <cell r="P99" t="str">
            <v>T</v>
          </cell>
          <cell r="Q99" t="str">
            <v>T</v>
          </cell>
          <cell r="R99" t="str">
            <v>T</v>
          </cell>
          <cell r="S99" t="str">
            <v>T</v>
          </cell>
          <cell r="T99" t="str">
            <v>T</v>
          </cell>
          <cell r="U99" t="str">
            <v>T</v>
          </cell>
          <cell r="V99" t="str">
            <v>T</v>
          </cell>
          <cell r="W99" t="str">
            <v>T</v>
          </cell>
          <cell r="X99" t="str">
            <v>T</v>
          </cell>
          <cell r="Y99" t="str">
            <v>T</v>
          </cell>
          <cell r="Z99" t="str">
            <v>T</v>
          </cell>
          <cell r="AA99" t="str">
            <v>T</v>
          </cell>
          <cell r="AB99" t="str">
            <v>T</v>
          </cell>
          <cell r="AC99" t="str">
            <v>T</v>
          </cell>
          <cell r="AD99" t="str">
            <v>DL</v>
          </cell>
          <cell r="AE99" t="str">
            <v>DL</v>
          </cell>
          <cell r="AF99" t="str">
            <v>DL</v>
          </cell>
          <cell r="AG99" t="str">
            <v>DL</v>
          </cell>
          <cell r="AH99" t="str">
            <v>DL</v>
          </cell>
          <cell r="AI99" t="str">
            <v>DL</v>
          </cell>
          <cell r="AJ99" t="str">
            <v>DL</v>
          </cell>
          <cell r="AK99" t="str">
            <v>T</v>
          </cell>
          <cell r="AL99">
            <v>0.5</v>
          </cell>
          <cell r="AO99">
            <v>15</v>
          </cell>
          <cell r="AP99">
            <v>13</v>
          </cell>
          <cell r="AQ99">
            <v>0</v>
          </cell>
          <cell r="AR99">
            <v>13</v>
          </cell>
          <cell r="AS99">
            <v>28</v>
          </cell>
          <cell r="AT99">
            <v>0</v>
          </cell>
          <cell r="AU99">
            <v>0</v>
          </cell>
          <cell r="AV99">
            <v>0</v>
          </cell>
          <cell r="AW99">
            <v>0</v>
          </cell>
          <cell r="AX99">
            <v>0</v>
          </cell>
          <cell r="AY99">
            <v>0</v>
          </cell>
          <cell r="AZ99">
            <v>0</v>
          </cell>
          <cell r="BA99">
            <v>28</v>
          </cell>
          <cell r="BB99">
            <v>0</v>
          </cell>
          <cell r="BC99">
            <v>75</v>
          </cell>
          <cell r="BD99">
            <v>60</v>
          </cell>
          <cell r="BE99">
            <v>50</v>
          </cell>
          <cell r="BF99">
            <v>1400</v>
          </cell>
          <cell r="BI99">
            <v>0</v>
          </cell>
          <cell r="BJ99">
            <v>1400</v>
          </cell>
        </row>
        <row r="100">
          <cell r="B100">
            <v>90</v>
          </cell>
          <cell r="C100" t="str">
            <v>UZURIAGA ORIHUELA EPIFANIO</v>
          </cell>
          <cell r="D100">
            <v>39320</v>
          </cell>
          <cell r="E100">
            <v>39897</v>
          </cell>
          <cell r="F100" t="str">
            <v>TERMINO DE OBRA</v>
          </cell>
          <cell r="G100" t="str">
            <v>Perforista A</v>
          </cell>
          <cell r="H100" t="str">
            <v>ING. ACERO</v>
          </cell>
          <cell r="I100" t="str">
            <v>ACTIVO</v>
          </cell>
          <cell r="J100" t="str">
            <v>DL</v>
          </cell>
          <cell r="K100" t="str">
            <v>DL</v>
          </cell>
          <cell r="L100" t="str">
            <v>DL</v>
          </cell>
          <cell r="M100" t="str">
            <v>DL</v>
          </cell>
          <cell r="N100" t="str">
            <v>DL</v>
          </cell>
          <cell r="O100" t="str">
            <v>DL</v>
          </cell>
          <cell r="P100" t="str">
            <v>T</v>
          </cell>
          <cell r="Q100" t="str">
            <v>T</v>
          </cell>
          <cell r="R100" t="str">
            <v>T</v>
          </cell>
          <cell r="S100" t="str">
            <v>T</v>
          </cell>
          <cell r="T100" t="str">
            <v>T</v>
          </cell>
          <cell r="U100" t="str">
            <v>T</v>
          </cell>
          <cell r="V100" t="str">
            <v>T</v>
          </cell>
          <cell r="W100" t="str">
            <v>T</v>
          </cell>
          <cell r="X100" t="str">
            <v>T</v>
          </cell>
          <cell r="Y100" t="str">
            <v>T</v>
          </cell>
          <cell r="Z100" t="str">
            <v>T</v>
          </cell>
          <cell r="AA100" t="str">
            <v>T</v>
          </cell>
          <cell r="AB100" t="str">
            <v>T</v>
          </cell>
          <cell r="AC100" t="str">
            <v>T</v>
          </cell>
          <cell r="AD100" t="str">
            <v>DL</v>
          </cell>
          <cell r="AE100" t="str">
            <v>DL</v>
          </cell>
          <cell r="AF100" t="str">
            <v>DL</v>
          </cell>
          <cell r="AG100" t="str">
            <v>DL</v>
          </cell>
          <cell r="AH100" t="str">
            <v>DL</v>
          </cell>
          <cell r="AI100" t="str">
            <v>DL</v>
          </cell>
          <cell r="AJ100" t="str">
            <v>DL</v>
          </cell>
          <cell r="AK100" t="str">
            <v>T</v>
          </cell>
          <cell r="AL100">
            <v>0.5</v>
          </cell>
          <cell r="AO100">
            <v>15</v>
          </cell>
          <cell r="AP100">
            <v>13</v>
          </cell>
          <cell r="AQ100">
            <v>0</v>
          </cell>
          <cell r="AR100">
            <v>13</v>
          </cell>
          <cell r="AS100">
            <v>28</v>
          </cell>
          <cell r="AT100">
            <v>0</v>
          </cell>
          <cell r="AU100">
            <v>0</v>
          </cell>
          <cell r="AV100">
            <v>0</v>
          </cell>
          <cell r="AW100">
            <v>0</v>
          </cell>
          <cell r="AX100">
            <v>0</v>
          </cell>
          <cell r="AY100">
            <v>0</v>
          </cell>
          <cell r="AZ100">
            <v>0</v>
          </cell>
          <cell r="BA100">
            <v>28</v>
          </cell>
          <cell r="BB100">
            <v>0</v>
          </cell>
          <cell r="BC100">
            <v>75</v>
          </cell>
          <cell r="BD100">
            <v>60</v>
          </cell>
          <cell r="BE100">
            <v>50</v>
          </cell>
          <cell r="BF100">
            <v>1400</v>
          </cell>
          <cell r="BI100">
            <v>0</v>
          </cell>
          <cell r="BJ100">
            <v>1400</v>
          </cell>
        </row>
        <row r="101">
          <cell r="B101">
            <v>91</v>
          </cell>
          <cell r="C101" t="str">
            <v>VALERIO TINEO HUGO PERCY</v>
          </cell>
          <cell r="D101">
            <v>39587</v>
          </cell>
          <cell r="E101">
            <v>39897</v>
          </cell>
          <cell r="F101" t="str">
            <v>TERMINO DE OBRA</v>
          </cell>
          <cell r="G101" t="str">
            <v>Operador de Scoop B</v>
          </cell>
          <cell r="H101" t="str">
            <v>ING. CASTILLON</v>
          </cell>
          <cell r="I101" t="str">
            <v>ACTIVO</v>
          </cell>
          <cell r="J101" t="str">
            <v>S</v>
          </cell>
          <cell r="K101" t="str">
            <v>T</v>
          </cell>
          <cell r="L101" t="str">
            <v>T</v>
          </cell>
          <cell r="M101" t="str">
            <v>T</v>
          </cell>
          <cell r="N101" t="str">
            <v>T</v>
          </cell>
          <cell r="O101" t="str">
            <v>T</v>
          </cell>
          <cell r="P101" t="str">
            <v>T</v>
          </cell>
          <cell r="Q101" t="str">
            <v>T</v>
          </cell>
          <cell r="R101" t="str">
            <v>T</v>
          </cell>
          <cell r="S101" t="str">
            <v>T</v>
          </cell>
          <cell r="T101" t="str">
            <v>T</v>
          </cell>
          <cell r="U101" t="str">
            <v>T</v>
          </cell>
          <cell r="V101" t="str">
            <v>T</v>
          </cell>
          <cell r="W101" t="str">
            <v>DL</v>
          </cell>
          <cell r="X101" t="str">
            <v>DL</v>
          </cell>
          <cell r="Y101" t="str">
            <v>DL</v>
          </cell>
          <cell r="Z101" t="str">
            <v>DL</v>
          </cell>
          <cell r="AA101" t="str">
            <v>DL</v>
          </cell>
          <cell r="AB101" t="str">
            <v>DL</v>
          </cell>
          <cell r="AC101" t="str">
            <v>DL</v>
          </cell>
          <cell r="AD101" t="str">
            <v>T</v>
          </cell>
          <cell r="AE101" t="str">
            <v>T</v>
          </cell>
          <cell r="AF101" t="str">
            <v>T</v>
          </cell>
          <cell r="AG101" t="str">
            <v>T</v>
          </cell>
          <cell r="AH101" t="str">
            <v>T</v>
          </cell>
          <cell r="AI101" t="str">
            <v>T</v>
          </cell>
          <cell r="AJ101" t="str">
            <v>T</v>
          </cell>
          <cell r="AK101" t="str">
            <v>T</v>
          </cell>
          <cell r="AL101">
            <v>4</v>
          </cell>
          <cell r="AO101">
            <v>20</v>
          </cell>
          <cell r="AP101">
            <v>7</v>
          </cell>
          <cell r="AQ101">
            <v>1</v>
          </cell>
          <cell r="AR101">
            <v>6.5</v>
          </cell>
          <cell r="AS101">
            <v>26.5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1</v>
          </cell>
          <cell r="AY101">
            <v>0</v>
          </cell>
          <cell r="AZ101">
            <v>1</v>
          </cell>
          <cell r="BA101">
            <v>26.5</v>
          </cell>
          <cell r="BB101">
            <v>0</v>
          </cell>
          <cell r="BC101">
            <v>100</v>
          </cell>
          <cell r="BD101">
            <v>60</v>
          </cell>
          <cell r="BE101">
            <v>50</v>
          </cell>
          <cell r="BF101">
            <v>1325</v>
          </cell>
          <cell r="BI101">
            <v>0</v>
          </cell>
          <cell r="BJ101">
            <v>1325</v>
          </cell>
        </row>
        <row r="102">
          <cell r="B102">
            <v>92</v>
          </cell>
          <cell r="C102" t="str">
            <v>VALERIO VILLANUEVA JOEL JAIME</v>
          </cell>
          <cell r="D102">
            <v>39631</v>
          </cell>
          <cell r="E102">
            <v>39897</v>
          </cell>
          <cell r="F102" t="str">
            <v>TERMINO DE OBRA</v>
          </cell>
          <cell r="G102" t="str">
            <v>Ayudante Perforista</v>
          </cell>
          <cell r="H102" t="str">
            <v>ING. ORIUNDO</v>
          </cell>
          <cell r="I102" t="str">
            <v>ACTIVO</v>
          </cell>
          <cell r="J102" t="str">
            <v>T</v>
          </cell>
          <cell r="K102" t="str">
            <v>T</v>
          </cell>
          <cell r="L102" t="str">
            <v>T</v>
          </cell>
          <cell r="M102" t="str">
            <v>T</v>
          </cell>
          <cell r="N102" t="str">
            <v>T</v>
          </cell>
          <cell r="O102" t="str">
            <v>T</v>
          </cell>
          <cell r="P102" t="str">
            <v>DL</v>
          </cell>
          <cell r="Q102" t="str">
            <v>DL</v>
          </cell>
          <cell r="R102" t="str">
            <v>DL</v>
          </cell>
          <cell r="S102" t="str">
            <v>DL</v>
          </cell>
          <cell r="T102" t="str">
            <v>DL</v>
          </cell>
          <cell r="U102" t="str">
            <v>DL</v>
          </cell>
          <cell r="V102" t="str">
            <v>DL</v>
          </cell>
          <cell r="W102" t="str">
            <v>T</v>
          </cell>
          <cell r="X102" t="str">
            <v>T</v>
          </cell>
          <cell r="Y102" t="str">
            <v>T</v>
          </cell>
          <cell r="Z102" t="str">
            <v>T</v>
          </cell>
          <cell r="AA102" t="str">
            <v>T</v>
          </cell>
          <cell r="AB102" t="str">
            <v>T</v>
          </cell>
          <cell r="AC102" t="str">
            <v>T</v>
          </cell>
          <cell r="AD102" t="str">
            <v>T</v>
          </cell>
          <cell r="AE102" t="str">
            <v>T</v>
          </cell>
          <cell r="AF102" t="str">
            <v>T</v>
          </cell>
          <cell r="AG102" t="str">
            <v>T</v>
          </cell>
          <cell r="AH102" t="str">
            <v>T</v>
          </cell>
          <cell r="AI102" t="str">
            <v>T</v>
          </cell>
          <cell r="AJ102" t="str">
            <v>T</v>
          </cell>
          <cell r="AK102" t="str">
            <v>DL</v>
          </cell>
          <cell r="AL102">
            <v>6</v>
          </cell>
          <cell r="AO102">
            <v>20</v>
          </cell>
          <cell r="AP102">
            <v>8</v>
          </cell>
          <cell r="AQ102">
            <v>0</v>
          </cell>
          <cell r="AR102">
            <v>8</v>
          </cell>
          <cell r="AS102">
            <v>28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28</v>
          </cell>
          <cell r="BB102">
            <v>0</v>
          </cell>
          <cell r="BC102">
            <v>100</v>
          </cell>
          <cell r="BD102">
            <v>60</v>
          </cell>
          <cell r="BE102">
            <v>40</v>
          </cell>
          <cell r="BF102">
            <v>1120</v>
          </cell>
          <cell r="BI102">
            <v>0</v>
          </cell>
          <cell r="BJ102">
            <v>1120</v>
          </cell>
        </row>
        <row r="103">
          <cell r="B103">
            <v>93</v>
          </cell>
          <cell r="C103" t="str">
            <v>VARGAS VILLCAS WALTER</v>
          </cell>
          <cell r="D103">
            <v>39583</v>
          </cell>
          <cell r="E103">
            <v>39897</v>
          </cell>
          <cell r="F103" t="str">
            <v>TERMINO DE OBRA</v>
          </cell>
          <cell r="G103" t="str">
            <v>Ayudante Perforista</v>
          </cell>
          <cell r="H103" t="str">
            <v>ING. ACERO</v>
          </cell>
          <cell r="I103" t="str">
            <v>ACTIVO</v>
          </cell>
          <cell r="J103" t="str">
            <v>DL</v>
          </cell>
          <cell r="K103" t="str">
            <v>DL</v>
          </cell>
          <cell r="L103" t="str">
            <v>DL</v>
          </cell>
          <cell r="M103" t="str">
            <v>DL</v>
          </cell>
          <cell r="N103" t="str">
            <v>DL</v>
          </cell>
          <cell r="O103" t="str">
            <v>DL</v>
          </cell>
          <cell r="P103" t="str">
            <v>T</v>
          </cell>
          <cell r="Q103" t="str">
            <v>T</v>
          </cell>
          <cell r="R103" t="str">
            <v>T</v>
          </cell>
          <cell r="S103" t="str">
            <v>T</v>
          </cell>
          <cell r="T103" t="str">
            <v>T</v>
          </cell>
          <cell r="U103" t="str">
            <v>T</v>
          </cell>
          <cell r="V103" t="str">
            <v>T</v>
          </cell>
          <cell r="W103" t="str">
            <v>T</v>
          </cell>
          <cell r="X103" t="str">
            <v>T</v>
          </cell>
          <cell r="Y103" t="str">
            <v>T</v>
          </cell>
          <cell r="Z103" t="str">
            <v>T</v>
          </cell>
          <cell r="AA103" t="str">
            <v>T</v>
          </cell>
          <cell r="AB103" t="str">
            <v>T</v>
          </cell>
          <cell r="AC103" t="str">
            <v>T</v>
          </cell>
          <cell r="AD103" t="str">
            <v>DL</v>
          </cell>
          <cell r="AE103" t="str">
            <v>DL</v>
          </cell>
          <cell r="AF103" t="str">
            <v>DL</v>
          </cell>
          <cell r="AG103" t="str">
            <v>DL</v>
          </cell>
          <cell r="AH103" t="str">
            <v>DL</v>
          </cell>
          <cell r="AI103" t="str">
            <v>DL</v>
          </cell>
          <cell r="AJ103" t="str">
            <v>DL</v>
          </cell>
          <cell r="AK103" t="str">
            <v>T</v>
          </cell>
          <cell r="AL103">
            <v>0.5</v>
          </cell>
          <cell r="AO103">
            <v>15</v>
          </cell>
          <cell r="AP103">
            <v>13</v>
          </cell>
          <cell r="AQ103">
            <v>0</v>
          </cell>
          <cell r="AR103">
            <v>13</v>
          </cell>
          <cell r="AS103">
            <v>28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28</v>
          </cell>
          <cell r="BB103">
            <v>0</v>
          </cell>
          <cell r="BC103">
            <v>75</v>
          </cell>
          <cell r="BD103">
            <v>60</v>
          </cell>
          <cell r="BE103">
            <v>40</v>
          </cell>
          <cell r="BF103">
            <v>1120</v>
          </cell>
          <cell r="BI103">
            <v>0</v>
          </cell>
          <cell r="BJ103">
            <v>1120</v>
          </cell>
        </row>
        <row r="104">
          <cell r="B104">
            <v>94</v>
          </cell>
          <cell r="C104" t="str">
            <v>VARGAS VILLCAS EDGAR</v>
          </cell>
          <cell r="D104">
            <v>39466</v>
          </cell>
          <cell r="E104">
            <v>39897</v>
          </cell>
          <cell r="F104" t="str">
            <v>TERMINO DE OBRA</v>
          </cell>
          <cell r="G104" t="str">
            <v>Perforista A</v>
          </cell>
          <cell r="H104" t="str">
            <v>ING. ORIUNDO</v>
          </cell>
          <cell r="I104" t="str">
            <v>ACTIVO</v>
          </cell>
          <cell r="J104" t="str">
            <v>T</v>
          </cell>
          <cell r="K104" t="str">
            <v>T</v>
          </cell>
          <cell r="L104" t="str">
            <v>T</v>
          </cell>
          <cell r="M104" t="str">
            <v>T</v>
          </cell>
          <cell r="N104" t="str">
            <v>T</v>
          </cell>
          <cell r="O104" t="str">
            <v>T</v>
          </cell>
          <cell r="P104" t="str">
            <v>DL</v>
          </cell>
          <cell r="Q104" t="str">
            <v>DL</v>
          </cell>
          <cell r="R104" t="str">
            <v>DL</v>
          </cell>
          <cell r="S104" t="str">
            <v>DL</v>
          </cell>
          <cell r="T104" t="str">
            <v>DL</v>
          </cell>
          <cell r="U104" t="str">
            <v>DL</v>
          </cell>
          <cell r="V104" t="str">
            <v>DL</v>
          </cell>
          <cell r="W104" t="str">
            <v>T</v>
          </cell>
          <cell r="X104" t="str">
            <v>T</v>
          </cell>
          <cell r="Y104" t="str">
            <v>T</v>
          </cell>
          <cell r="Z104" t="str">
            <v>T</v>
          </cell>
          <cell r="AA104" t="str">
            <v>T</v>
          </cell>
          <cell r="AB104" t="str">
            <v>T</v>
          </cell>
          <cell r="AC104" t="str">
            <v>T</v>
          </cell>
          <cell r="AD104" t="str">
            <v>T</v>
          </cell>
          <cell r="AE104" t="str">
            <v>T</v>
          </cell>
          <cell r="AF104" t="str">
            <v>T</v>
          </cell>
          <cell r="AG104" t="str">
            <v>T</v>
          </cell>
          <cell r="AH104" t="str">
            <v>T</v>
          </cell>
          <cell r="AI104" t="str">
            <v>T</v>
          </cell>
          <cell r="AJ104" t="str">
            <v>T</v>
          </cell>
          <cell r="AK104" t="str">
            <v>DL</v>
          </cell>
          <cell r="AL104">
            <v>6</v>
          </cell>
          <cell r="AO104">
            <v>20</v>
          </cell>
          <cell r="AP104">
            <v>8</v>
          </cell>
          <cell r="AQ104">
            <v>0</v>
          </cell>
          <cell r="AR104">
            <v>8</v>
          </cell>
          <cell r="AS104">
            <v>28</v>
          </cell>
          <cell r="AT104">
            <v>0</v>
          </cell>
          <cell r="AU104">
            <v>0</v>
          </cell>
          <cell r="AV104">
            <v>0</v>
          </cell>
          <cell r="AW104">
            <v>0</v>
          </cell>
          <cell r="AX104">
            <v>0</v>
          </cell>
          <cell r="AY104">
            <v>0</v>
          </cell>
          <cell r="AZ104">
            <v>0</v>
          </cell>
          <cell r="BA104">
            <v>28</v>
          </cell>
          <cell r="BB104">
            <v>0</v>
          </cell>
          <cell r="BC104">
            <v>100</v>
          </cell>
          <cell r="BD104">
            <v>60</v>
          </cell>
          <cell r="BE104">
            <v>50</v>
          </cell>
          <cell r="BF104">
            <v>1400</v>
          </cell>
          <cell r="BI104">
            <v>0</v>
          </cell>
          <cell r="BJ104">
            <v>1400</v>
          </cell>
        </row>
        <row r="105">
          <cell r="B105">
            <v>95</v>
          </cell>
          <cell r="C105" t="str">
            <v>VELASQUEZ QUISPE OSCAR</v>
          </cell>
          <cell r="D105">
            <v>39424</v>
          </cell>
          <cell r="E105">
            <v>39897</v>
          </cell>
          <cell r="F105" t="str">
            <v>TERMINO DE OBRA</v>
          </cell>
          <cell r="G105" t="str">
            <v>Perforista B</v>
          </cell>
          <cell r="H105" t="str">
            <v>ING. ORIUNDO</v>
          </cell>
          <cell r="I105" t="str">
            <v>ACTIVO</v>
          </cell>
          <cell r="J105" t="str">
            <v>T</v>
          </cell>
          <cell r="K105" t="str">
            <v>T</v>
          </cell>
          <cell r="L105" t="str">
            <v>T</v>
          </cell>
          <cell r="M105" t="str">
            <v>T</v>
          </cell>
          <cell r="N105" t="str">
            <v>T</v>
          </cell>
          <cell r="O105" t="str">
            <v>T</v>
          </cell>
          <cell r="P105" t="str">
            <v>DL</v>
          </cell>
          <cell r="Q105" t="str">
            <v>DL</v>
          </cell>
          <cell r="R105" t="str">
            <v>DL</v>
          </cell>
          <cell r="S105" t="str">
            <v>DL</v>
          </cell>
          <cell r="T105" t="str">
            <v>DL</v>
          </cell>
          <cell r="U105" t="str">
            <v>DL</v>
          </cell>
          <cell r="V105" t="str">
            <v>DL</v>
          </cell>
          <cell r="W105" t="str">
            <v>T</v>
          </cell>
          <cell r="X105" t="str">
            <v>T</v>
          </cell>
          <cell r="Y105" t="str">
            <v>T</v>
          </cell>
          <cell r="Z105" t="str">
            <v>T</v>
          </cell>
          <cell r="AA105" t="str">
            <v>T</v>
          </cell>
          <cell r="AB105" t="str">
            <v>T</v>
          </cell>
          <cell r="AC105" t="str">
            <v>T</v>
          </cell>
          <cell r="AD105" t="str">
            <v>T</v>
          </cell>
          <cell r="AE105" t="str">
            <v>T</v>
          </cell>
          <cell r="AF105" t="str">
            <v>T</v>
          </cell>
          <cell r="AG105" t="str">
            <v>T</v>
          </cell>
          <cell r="AH105" t="str">
            <v>T</v>
          </cell>
          <cell r="AI105" t="str">
            <v>T</v>
          </cell>
          <cell r="AJ105" t="str">
            <v>T</v>
          </cell>
          <cell r="AK105" t="str">
            <v>DL</v>
          </cell>
          <cell r="AL105">
            <v>6</v>
          </cell>
          <cell r="AO105">
            <v>20</v>
          </cell>
          <cell r="AP105">
            <v>8</v>
          </cell>
          <cell r="AQ105">
            <v>0</v>
          </cell>
          <cell r="AR105">
            <v>8</v>
          </cell>
          <cell r="AS105">
            <v>28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28</v>
          </cell>
          <cell r="BB105">
            <v>0</v>
          </cell>
          <cell r="BC105">
            <v>100</v>
          </cell>
          <cell r="BD105">
            <v>60</v>
          </cell>
          <cell r="BE105">
            <v>45</v>
          </cell>
          <cell r="BF105">
            <v>1260</v>
          </cell>
          <cell r="BI105">
            <v>0</v>
          </cell>
          <cell r="BJ105">
            <v>1260</v>
          </cell>
        </row>
        <row r="106">
          <cell r="B106">
            <v>96</v>
          </cell>
          <cell r="C106" t="str">
            <v>VENTURA GALVEZ NAZARIO ONOFRE</v>
          </cell>
          <cell r="D106">
            <v>39343</v>
          </cell>
          <cell r="E106">
            <v>39897</v>
          </cell>
          <cell r="F106" t="str">
            <v>TERMINO DE OBRA</v>
          </cell>
          <cell r="G106" t="str">
            <v>Capataz</v>
          </cell>
          <cell r="H106" t="str">
            <v>ING. CASTILLON</v>
          </cell>
          <cell r="I106" t="str">
            <v>ACTIVO</v>
          </cell>
          <cell r="J106" t="str">
            <v>T</v>
          </cell>
          <cell r="K106" t="str">
            <v>T</v>
          </cell>
          <cell r="L106" t="str">
            <v>T</v>
          </cell>
          <cell r="M106" t="str">
            <v>T</v>
          </cell>
          <cell r="N106" t="str">
            <v>T</v>
          </cell>
          <cell r="O106" t="str">
            <v>T</v>
          </cell>
          <cell r="P106" t="str">
            <v>T</v>
          </cell>
          <cell r="Q106" t="str">
            <v>T</v>
          </cell>
          <cell r="R106" t="str">
            <v>T</v>
          </cell>
          <cell r="S106" t="str">
            <v>T</v>
          </cell>
          <cell r="T106" t="str">
            <v>T</v>
          </cell>
          <cell r="U106" t="str">
            <v>T</v>
          </cell>
          <cell r="V106" t="str">
            <v>T</v>
          </cell>
          <cell r="W106" t="str">
            <v>DL</v>
          </cell>
          <cell r="X106" t="str">
            <v>DL</v>
          </cell>
          <cell r="Y106" t="str">
            <v>DL</v>
          </cell>
          <cell r="Z106" t="str">
            <v>DL</v>
          </cell>
          <cell r="AA106" t="str">
            <v>DL</v>
          </cell>
          <cell r="AB106" t="str">
            <v>DL</v>
          </cell>
          <cell r="AC106" t="str">
            <v>DL</v>
          </cell>
          <cell r="AD106" t="str">
            <v>T</v>
          </cell>
          <cell r="AE106" t="str">
            <v>T</v>
          </cell>
          <cell r="AF106" t="str">
            <v>T</v>
          </cell>
          <cell r="AG106" t="str">
            <v>T</v>
          </cell>
          <cell r="AH106" t="str">
            <v>T</v>
          </cell>
          <cell r="AI106" t="str">
            <v>T</v>
          </cell>
          <cell r="AJ106" t="str">
            <v>T</v>
          </cell>
          <cell r="AK106" t="str">
            <v>T</v>
          </cell>
          <cell r="AL106">
            <v>4</v>
          </cell>
          <cell r="AO106">
            <v>21</v>
          </cell>
          <cell r="AP106">
            <v>7</v>
          </cell>
          <cell r="AQ106">
            <v>0</v>
          </cell>
          <cell r="AR106">
            <v>7</v>
          </cell>
          <cell r="AS106">
            <v>28</v>
          </cell>
          <cell r="AT106">
            <v>0</v>
          </cell>
          <cell r="AU106">
            <v>0</v>
          </cell>
          <cell r="AV106">
            <v>0</v>
          </cell>
          <cell r="AW106">
            <v>0</v>
          </cell>
          <cell r="AX106">
            <v>0</v>
          </cell>
          <cell r="AY106">
            <v>0</v>
          </cell>
          <cell r="AZ106">
            <v>0</v>
          </cell>
          <cell r="BA106">
            <v>28</v>
          </cell>
          <cell r="BB106">
            <v>0</v>
          </cell>
          <cell r="BC106">
            <v>105</v>
          </cell>
          <cell r="BD106">
            <v>60</v>
          </cell>
          <cell r="BE106">
            <v>83</v>
          </cell>
          <cell r="BF106">
            <v>2324</v>
          </cell>
          <cell r="BI106">
            <v>0</v>
          </cell>
          <cell r="BJ106">
            <v>2324</v>
          </cell>
        </row>
        <row r="107">
          <cell r="B107">
            <v>97</v>
          </cell>
          <cell r="C107" t="str">
            <v>VENTURA MEZA JOLMAN PRUDENCIO</v>
          </cell>
          <cell r="D107">
            <v>39320</v>
          </cell>
          <cell r="E107">
            <v>39897</v>
          </cell>
          <cell r="F107" t="str">
            <v>TERMINO DE OBRA</v>
          </cell>
          <cell r="G107" t="str">
            <v>Perforista A</v>
          </cell>
          <cell r="H107" t="str">
            <v>ING. ORIUNDO</v>
          </cell>
          <cell r="I107" t="str">
            <v>ACTIVO</v>
          </cell>
          <cell r="J107" t="str">
            <v>T</v>
          </cell>
          <cell r="K107" t="str">
            <v>T</v>
          </cell>
          <cell r="L107" t="str">
            <v>T</v>
          </cell>
          <cell r="M107" t="str">
            <v>T</v>
          </cell>
          <cell r="N107" t="str">
            <v>T</v>
          </cell>
          <cell r="O107" t="str">
            <v>T</v>
          </cell>
          <cell r="P107" t="str">
            <v>DL</v>
          </cell>
          <cell r="Q107" t="str">
            <v>DL</v>
          </cell>
          <cell r="R107" t="str">
            <v>DL</v>
          </cell>
          <cell r="S107" t="str">
            <v>DL</v>
          </cell>
          <cell r="T107" t="str">
            <v>DL</v>
          </cell>
          <cell r="U107" t="str">
            <v>DL</v>
          </cell>
          <cell r="V107" t="str">
            <v>DL</v>
          </cell>
          <cell r="W107" t="str">
            <v>T</v>
          </cell>
          <cell r="X107" t="str">
            <v>T</v>
          </cell>
          <cell r="Y107" t="str">
            <v>T</v>
          </cell>
          <cell r="Z107" t="str">
            <v>T</v>
          </cell>
          <cell r="AA107" t="str">
            <v>T</v>
          </cell>
          <cell r="AB107" t="str">
            <v>T</v>
          </cell>
          <cell r="AC107" t="str">
            <v>T</v>
          </cell>
          <cell r="AD107" t="str">
            <v>T</v>
          </cell>
          <cell r="AE107" t="str">
            <v>T</v>
          </cell>
          <cell r="AF107" t="str">
            <v>T</v>
          </cell>
          <cell r="AG107" t="str">
            <v>T</v>
          </cell>
          <cell r="AH107" t="str">
            <v>T</v>
          </cell>
          <cell r="AI107" t="str">
            <v>T</v>
          </cell>
          <cell r="AJ107" t="str">
            <v>T</v>
          </cell>
          <cell r="AK107" t="str">
            <v>DL</v>
          </cell>
          <cell r="AL107">
            <v>6</v>
          </cell>
          <cell r="AO107">
            <v>20</v>
          </cell>
          <cell r="AP107">
            <v>8</v>
          </cell>
          <cell r="AQ107">
            <v>0</v>
          </cell>
          <cell r="AR107">
            <v>8</v>
          </cell>
          <cell r="AS107">
            <v>28</v>
          </cell>
          <cell r="AT107">
            <v>0</v>
          </cell>
          <cell r="AU107">
            <v>0</v>
          </cell>
          <cell r="AV107">
            <v>0</v>
          </cell>
          <cell r="AW107">
            <v>0</v>
          </cell>
          <cell r="AX107">
            <v>0</v>
          </cell>
          <cell r="AY107">
            <v>0</v>
          </cell>
          <cell r="AZ107">
            <v>0</v>
          </cell>
          <cell r="BA107">
            <v>28</v>
          </cell>
          <cell r="BB107">
            <v>0</v>
          </cell>
          <cell r="BC107">
            <v>100</v>
          </cell>
          <cell r="BD107">
            <v>60</v>
          </cell>
          <cell r="BE107">
            <v>50</v>
          </cell>
          <cell r="BF107">
            <v>1400</v>
          </cell>
          <cell r="BI107">
            <v>0</v>
          </cell>
          <cell r="BJ107">
            <v>1400</v>
          </cell>
        </row>
        <row r="108">
          <cell r="B108">
            <v>98</v>
          </cell>
          <cell r="C108" t="str">
            <v>VILLANUEVA ESCANDON TEODORO</v>
          </cell>
          <cell r="D108">
            <v>39351</v>
          </cell>
          <cell r="E108">
            <v>39897</v>
          </cell>
          <cell r="F108" t="str">
            <v>TERMINO DE OBRA</v>
          </cell>
          <cell r="G108" t="str">
            <v>Perforista B</v>
          </cell>
          <cell r="H108" t="str">
            <v>ING. ACERO</v>
          </cell>
          <cell r="I108" t="str">
            <v>ACTIVO</v>
          </cell>
          <cell r="J108" t="str">
            <v>DL</v>
          </cell>
          <cell r="K108" t="str">
            <v>DL</v>
          </cell>
          <cell r="L108" t="str">
            <v>DL</v>
          </cell>
          <cell r="M108" t="str">
            <v>DL</v>
          </cell>
          <cell r="N108" t="str">
            <v>DL</v>
          </cell>
          <cell r="O108" t="str">
            <v>DL</v>
          </cell>
          <cell r="P108" t="str">
            <v>T</v>
          </cell>
          <cell r="Q108" t="str">
            <v>T</v>
          </cell>
          <cell r="R108" t="str">
            <v>T</v>
          </cell>
          <cell r="S108" t="str">
            <v>T</v>
          </cell>
          <cell r="T108" t="str">
            <v>T</v>
          </cell>
          <cell r="U108" t="str">
            <v>T</v>
          </cell>
          <cell r="V108" t="str">
            <v>T</v>
          </cell>
          <cell r="W108" t="str">
            <v>T</v>
          </cell>
          <cell r="X108" t="str">
            <v>T</v>
          </cell>
          <cell r="Y108" t="str">
            <v>T</v>
          </cell>
          <cell r="Z108" t="str">
            <v>T</v>
          </cell>
          <cell r="AA108" t="str">
            <v>T</v>
          </cell>
          <cell r="AB108" t="str">
            <v>T</v>
          </cell>
          <cell r="AC108" t="str">
            <v>T</v>
          </cell>
          <cell r="AD108" t="str">
            <v>DL</v>
          </cell>
          <cell r="AE108" t="str">
            <v>DL</v>
          </cell>
          <cell r="AF108" t="str">
            <v>DL</v>
          </cell>
          <cell r="AG108" t="str">
            <v>DL</v>
          </cell>
          <cell r="AH108" t="str">
            <v>DL</v>
          </cell>
          <cell r="AI108" t="str">
            <v>DL</v>
          </cell>
          <cell r="AJ108" t="str">
            <v>DL</v>
          </cell>
          <cell r="AK108" t="str">
            <v>T</v>
          </cell>
          <cell r="AL108">
            <v>0.5</v>
          </cell>
          <cell r="AO108">
            <v>15</v>
          </cell>
          <cell r="AP108">
            <v>13</v>
          </cell>
          <cell r="AQ108">
            <v>0</v>
          </cell>
          <cell r="AR108">
            <v>13</v>
          </cell>
          <cell r="AS108">
            <v>28</v>
          </cell>
          <cell r="AT108">
            <v>0</v>
          </cell>
          <cell r="AU108">
            <v>0</v>
          </cell>
          <cell r="AV108">
            <v>0</v>
          </cell>
          <cell r="AW108">
            <v>0</v>
          </cell>
          <cell r="AX108">
            <v>0</v>
          </cell>
          <cell r="AY108">
            <v>0</v>
          </cell>
          <cell r="AZ108">
            <v>0</v>
          </cell>
          <cell r="BA108">
            <v>28</v>
          </cell>
          <cell r="BB108">
            <v>0</v>
          </cell>
          <cell r="BC108">
            <v>75</v>
          </cell>
          <cell r="BD108">
            <v>60</v>
          </cell>
          <cell r="BE108">
            <v>45</v>
          </cell>
          <cell r="BF108">
            <v>1260</v>
          </cell>
          <cell r="BI108">
            <v>0</v>
          </cell>
          <cell r="BJ108">
            <v>1260</v>
          </cell>
        </row>
        <row r="109">
          <cell r="B109">
            <v>99</v>
          </cell>
          <cell r="C109" t="str">
            <v>VILLAVICENCIO RAMIREZ EDGAR SATURNINO</v>
          </cell>
          <cell r="D109">
            <v>39320</v>
          </cell>
          <cell r="E109">
            <v>39897</v>
          </cell>
          <cell r="F109" t="str">
            <v>TERMINO DE OBRA</v>
          </cell>
          <cell r="G109" t="str">
            <v>Operador de Scoop A</v>
          </cell>
          <cell r="H109" t="str">
            <v>ING. ORIUNDO</v>
          </cell>
          <cell r="I109" t="str">
            <v>ACTIVO</v>
          </cell>
          <cell r="J109" t="str">
            <v>T</v>
          </cell>
          <cell r="K109" t="str">
            <v>T</v>
          </cell>
          <cell r="L109" t="str">
            <v>T</v>
          </cell>
          <cell r="M109" t="str">
            <v>T</v>
          </cell>
          <cell r="N109" t="str">
            <v>T</v>
          </cell>
          <cell r="O109" t="str">
            <v>T</v>
          </cell>
          <cell r="P109" t="str">
            <v>DL</v>
          </cell>
          <cell r="Q109" t="str">
            <v>DL</v>
          </cell>
          <cell r="R109" t="str">
            <v>DL</v>
          </cell>
          <cell r="S109" t="str">
            <v>DL</v>
          </cell>
          <cell r="T109" t="str">
            <v>DL</v>
          </cell>
          <cell r="U109" t="str">
            <v>DL</v>
          </cell>
          <cell r="V109" t="str">
            <v>DL</v>
          </cell>
          <cell r="W109" t="str">
            <v>T</v>
          </cell>
          <cell r="X109" t="str">
            <v>T</v>
          </cell>
          <cell r="Y109" t="str">
            <v>T</v>
          </cell>
          <cell r="Z109" t="str">
            <v>T</v>
          </cell>
          <cell r="AA109" t="str">
            <v>T</v>
          </cell>
          <cell r="AB109" t="str">
            <v>T</v>
          </cell>
          <cell r="AC109" t="str">
            <v>T</v>
          </cell>
          <cell r="AD109" t="str">
            <v>T</v>
          </cell>
          <cell r="AE109" t="str">
            <v>T</v>
          </cell>
          <cell r="AF109" t="str">
            <v>T</v>
          </cell>
          <cell r="AG109" t="str">
            <v>T</v>
          </cell>
          <cell r="AH109" t="str">
            <v>T</v>
          </cell>
          <cell r="AI109" t="str">
            <v>T</v>
          </cell>
          <cell r="AJ109" t="str">
            <v>T</v>
          </cell>
          <cell r="AK109" t="str">
            <v>DL</v>
          </cell>
          <cell r="AL109">
            <v>6</v>
          </cell>
          <cell r="AO109">
            <v>20</v>
          </cell>
          <cell r="AP109">
            <v>8</v>
          </cell>
          <cell r="AQ109">
            <v>0</v>
          </cell>
          <cell r="AR109">
            <v>8</v>
          </cell>
          <cell r="AS109">
            <v>28</v>
          </cell>
          <cell r="AT109">
            <v>0</v>
          </cell>
          <cell r="AU109">
            <v>0</v>
          </cell>
          <cell r="AV109">
            <v>0</v>
          </cell>
          <cell r="AW109">
            <v>0</v>
          </cell>
          <cell r="AX109">
            <v>0</v>
          </cell>
          <cell r="AY109">
            <v>0</v>
          </cell>
          <cell r="AZ109">
            <v>0</v>
          </cell>
          <cell r="BA109">
            <v>28</v>
          </cell>
          <cell r="BB109">
            <v>0</v>
          </cell>
          <cell r="BC109">
            <v>100</v>
          </cell>
          <cell r="BD109">
            <v>60</v>
          </cell>
          <cell r="BE109">
            <v>55</v>
          </cell>
          <cell r="BF109">
            <v>1540</v>
          </cell>
          <cell r="BI109">
            <v>0</v>
          </cell>
          <cell r="BJ109">
            <v>1540</v>
          </cell>
        </row>
        <row r="110">
          <cell r="B110">
            <v>100</v>
          </cell>
          <cell r="C110" t="str">
            <v>YARANGA CESAR MELENTRIZ</v>
          </cell>
          <cell r="D110">
            <v>39485</v>
          </cell>
          <cell r="E110">
            <v>39897</v>
          </cell>
          <cell r="F110" t="str">
            <v>TERMINO DE OBRA</v>
          </cell>
          <cell r="G110" t="str">
            <v>Ayudante Perforista</v>
          </cell>
          <cell r="H110" t="str">
            <v>ING. ORIUNDO</v>
          </cell>
          <cell r="I110" t="str">
            <v>ACTIVO</v>
          </cell>
          <cell r="J110" t="str">
            <v>T</v>
          </cell>
          <cell r="K110" t="str">
            <v>T</v>
          </cell>
          <cell r="L110" t="str">
            <v>T</v>
          </cell>
          <cell r="M110" t="str">
            <v>T</v>
          </cell>
          <cell r="N110" t="str">
            <v>T</v>
          </cell>
          <cell r="O110" t="str">
            <v>T</v>
          </cell>
          <cell r="P110" t="str">
            <v>DL</v>
          </cell>
          <cell r="Q110" t="str">
            <v>DL</v>
          </cell>
          <cell r="R110" t="str">
            <v>DL</v>
          </cell>
          <cell r="S110" t="str">
            <v>DL</v>
          </cell>
          <cell r="T110" t="str">
            <v>DL</v>
          </cell>
          <cell r="U110" t="str">
            <v>DL</v>
          </cell>
          <cell r="V110" t="str">
            <v>DL</v>
          </cell>
          <cell r="W110" t="str">
            <v>T</v>
          </cell>
          <cell r="X110" t="str">
            <v>T</v>
          </cell>
          <cell r="Y110" t="str">
            <v>T</v>
          </cell>
          <cell r="Z110" t="str">
            <v>T</v>
          </cell>
          <cell r="AA110" t="str">
            <v>T</v>
          </cell>
          <cell r="AB110" t="str">
            <v>T</v>
          </cell>
          <cell r="AC110" t="str">
            <v>T</v>
          </cell>
          <cell r="AD110" t="str">
            <v>T</v>
          </cell>
          <cell r="AE110" t="str">
            <v>T</v>
          </cell>
          <cell r="AF110" t="str">
            <v>T</v>
          </cell>
          <cell r="AG110" t="str">
            <v>T</v>
          </cell>
          <cell r="AH110" t="str">
            <v>T</v>
          </cell>
          <cell r="AI110" t="str">
            <v>T</v>
          </cell>
          <cell r="AJ110" t="str">
            <v>T</v>
          </cell>
          <cell r="AK110" t="str">
            <v>DL</v>
          </cell>
          <cell r="AL110">
            <v>6</v>
          </cell>
          <cell r="AO110">
            <v>20</v>
          </cell>
          <cell r="AP110">
            <v>8</v>
          </cell>
          <cell r="AQ110">
            <v>0</v>
          </cell>
          <cell r="AR110">
            <v>8</v>
          </cell>
          <cell r="AS110">
            <v>28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>
            <v>0</v>
          </cell>
          <cell r="AY110">
            <v>0</v>
          </cell>
          <cell r="AZ110">
            <v>0</v>
          </cell>
          <cell r="BA110">
            <v>28</v>
          </cell>
          <cell r="BB110">
            <v>0</v>
          </cell>
          <cell r="BC110">
            <v>100</v>
          </cell>
          <cell r="BD110">
            <v>60</v>
          </cell>
          <cell r="BE110">
            <v>40</v>
          </cell>
          <cell r="BF110">
            <v>1120</v>
          </cell>
          <cell r="BI110">
            <v>0</v>
          </cell>
          <cell r="BJ110">
            <v>1120</v>
          </cell>
        </row>
        <row r="111">
          <cell r="B111">
            <v>101</v>
          </cell>
          <cell r="C111" t="str">
            <v>YAULILAHUA HUACHO MOISES</v>
          </cell>
          <cell r="D111">
            <v>39345</v>
          </cell>
          <cell r="E111">
            <v>39897</v>
          </cell>
          <cell r="F111" t="str">
            <v>TERMINO DE OBRA</v>
          </cell>
          <cell r="G111" t="str">
            <v>Perforista B</v>
          </cell>
          <cell r="H111" t="str">
            <v>ING. CASTILLON</v>
          </cell>
          <cell r="I111" t="str">
            <v>ACTIVO</v>
          </cell>
          <cell r="J111" t="str">
            <v>T</v>
          </cell>
          <cell r="K111" t="str">
            <v>T</v>
          </cell>
          <cell r="L111" t="str">
            <v>T</v>
          </cell>
          <cell r="M111" t="str">
            <v>T</v>
          </cell>
          <cell r="N111" t="str">
            <v>T</v>
          </cell>
          <cell r="O111" t="str">
            <v>T</v>
          </cell>
          <cell r="P111" t="str">
            <v>T</v>
          </cell>
          <cell r="Q111" t="str">
            <v>T</v>
          </cell>
          <cell r="R111" t="str">
            <v>T</v>
          </cell>
          <cell r="S111" t="str">
            <v>T</v>
          </cell>
          <cell r="T111" t="str">
            <v>T</v>
          </cell>
          <cell r="U111" t="str">
            <v>T</v>
          </cell>
          <cell r="V111" t="str">
            <v>T</v>
          </cell>
          <cell r="W111" t="str">
            <v>DL</v>
          </cell>
          <cell r="X111" t="str">
            <v>DL</v>
          </cell>
          <cell r="Y111" t="str">
            <v>DL</v>
          </cell>
          <cell r="Z111" t="str">
            <v>DL</v>
          </cell>
          <cell r="AA111" t="str">
            <v>DL</v>
          </cell>
          <cell r="AB111" t="str">
            <v>DL</v>
          </cell>
          <cell r="AC111" t="str">
            <v>DL</v>
          </cell>
          <cell r="AD111" t="str">
            <v>T</v>
          </cell>
          <cell r="AE111" t="str">
            <v>T</v>
          </cell>
          <cell r="AF111" t="str">
            <v>T</v>
          </cell>
          <cell r="AG111" t="str">
            <v>T</v>
          </cell>
          <cell r="AH111" t="str">
            <v>T</v>
          </cell>
          <cell r="AI111" t="str">
            <v>T</v>
          </cell>
          <cell r="AJ111" t="str">
            <v>T</v>
          </cell>
          <cell r="AK111" t="str">
            <v>T</v>
          </cell>
          <cell r="AL111">
            <v>4</v>
          </cell>
          <cell r="AO111">
            <v>21</v>
          </cell>
          <cell r="AP111">
            <v>7</v>
          </cell>
          <cell r="AQ111">
            <v>0</v>
          </cell>
          <cell r="AR111">
            <v>7</v>
          </cell>
          <cell r="AS111">
            <v>28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>
            <v>0</v>
          </cell>
          <cell r="AY111">
            <v>0</v>
          </cell>
          <cell r="AZ111">
            <v>0</v>
          </cell>
          <cell r="BA111">
            <v>28</v>
          </cell>
          <cell r="BB111">
            <v>0</v>
          </cell>
          <cell r="BC111">
            <v>105</v>
          </cell>
          <cell r="BD111">
            <v>60</v>
          </cell>
          <cell r="BE111">
            <v>45</v>
          </cell>
          <cell r="BF111">
            <v>1260</v>
          </cell>
          <cell r="BI111">
            <v>0</v>
          </cell>
          <cell r="BJ111">
            <v>1260</v>
          </cell>
        </row>
        <row r="112">
          <cell r="AO112">
            <v>1705</v>
          </cell>
          <cell r="AP112">
            <v>887</v>
          </cell>
          <cell r="AQ112">
            <v>12</v>
          </cell>
          <cell r="AR112">
            <v>881</v>
          </cell>
          <cell r="AS112">
            <v>2586</v>
          </cell>
          <cell r="AT112">
            <v>0</v>
          </cell>
          <cell r="AU112">
            <v>140</v>
          </cell>
          <cell r="AV112">
            <v>25</v>
          </cell>
          <cell r="AW112">
            <v>3</v>
          </cell>
          <cell r="AX112">
            <v>9</v>
          </cell>
          <cell r="AY112">
            <v>5</v>
          </cell>
          <cell r="AZ112">
            <v>17</v>
          </cell>
          <cell r="BA112">
            <v>2611</v>
          </cell>
          <cell r="BF112">
            <v>119200.5</v>
          </cell>
          <cell r="BI112">
            <v>0</v>
          </cell>
          <cell r="BJ112">
            <v>119200.5</v>
          </cell>
        </row>
      </sheetData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RMATO DE PLANILLA"/>
      <sheetName val="FERIADOS"/>
      <sheetName val="RET. JUD."/>
      <sheetName val="OBLIGACIONES LABORALES"/>
      <sheetName val="..."/>
      <sheetName val="INF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San.Rafael</v>
          </cell>
        </row>
        <row r="5">
          <cell r="D5" t="str">
            <v>Raura</v>
          </cell>
        </row>
        <row r="6">
          <cell r="D6" t="str">
            <v>Pucamarca</v>
          </cell>
        </row>
        <row r="7">
          <cell r="D7" t="str">
            <v>Fundicion.Pisco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18B00D-D35F-47C0-98C5-ECAC0E22465C}" name="Tabla210" displayName="Tabla210" ref="A6:BC58" insertRowShift="1" totalsRowShown="0" headerRowDxfId="67" dataDxfId="65" headerRowBorderDxfId="66" tableBorderDxfId="64" headerRowCellStyle="Normal 3" dataCellStyle="Normal 3">
  <autoFilter ref="A6:BC58" xr:uid="{2418B00D-D35F-47C0-98C5-ECAC0E22465C}"/>
  <tableColumns count="55">
    <tableColumn id="1" xr3:uid="{C22A673E-F0C9-4D67-9B0F-697FF4239415}" name="N°" dataDxfId="63" dataCellStyle="Normal 3"/>
    <tableColumn id="2" xr3:uid="{DD86B7E1-C05F-4270-99C0-85C4FDF0E1C8}" name="APELLIDOS Y NOMBRES" dataDxfId="62" dataCellStyle="Normal 5"/>
    <tableColumn id="3" xr3:uid="{80F9A7F6-6D93-48E4-BC76-9839A38F08A0}" name="DNI" dataDxfId="61" dataCellStyle="Normal 5"/>
    <tableColumn id="4" xr3:uid="{51F5414F-9D7D-4B64-839C-EB196F67EEDE}" name="Categoria" dataDxfId="60" dataCellStyle="Normal 5"/>
    <tableColumn id="5" xr3:uid="{3FE66BD7-4399-4572-B236-250990117CF4}" name="CARGO U OCUPACION" dataDxfId="59" dataCellStyle="Normal 5"/>
    <tableColumn id="6" xr3:uid="{609C7251-AC97-4979-927A-268449EB9005}" name="FECHA DE INGRESO" dataDxfId="58" dataCellStyle="Normal 5"/>
    <tableColumn id="7" xr3:uid="{EF6BD21E-3B87-47C6-BA20-6A0405ACEAF4}" name="PERIODO MENSUAL" dataDxfId="57" dataCellStyle="Normal 5"/>
    <tableColumn id="8" xr3:uid="{EF95F29A-3046-4348-8299-9BF34DB7FABC}" name="TAREA POR SEMANA" dataDxfId="56" dataCellStyle="Normal 5"/>
    <tableColumn id="9" xr3:uid="{BF2C9208-9780-433D-8A11-F5F3B175E293}" name="FECHA DE CESE" dataDxfId="55" dataCellStyle="Normal 5"/>
    <tableColumn id="10" xr3:uid="{69010732-2DCE-49E4-A522-4E7E8BCD0458}" name="JORNAL" dataDxfId="54" dataCellStyle="Normal 5"/>
    <tableColumn id="11" xr3:uid="{B06085A7-21BB-43A2-BF4B-AE2C5ADD7026}" name="DIAS LABORADOS" dataDxfId="53" dataCellStyle="Normal 5"/>
    <tableColumn id="12" xr3:uid="{82BB2E77-6F1F-4272-9B1A-37D3B55C6F59}" name="DIAS LIBRES PAGADOS" dataDxfId="52" dataCellStyle="Normal 5"/>
    <tableColumn id="13" xr3:uid="{F23D5584-A199-4593-B532-8A7CDE31A65F}" name="FERIADOS" dataDxfId="51" dataCellStyle="Normal 5"/>
    <tableColumn id="14" xr3:uid="{20BFE9AA-AC0F-44EA-8CDD-B942C2416F86}" name="VACACIONES" dataDxfId="50" dataCellStyle="Normal 5"/>
    <tableColumn id="15" xr3:uid="{57D1F69F-B6AF-4084-943C-C2B96C077144}" name="DESCANSO MEDICO" dataDxfId="49" dataCellStyle="Normal 5"/>
    <tableColumn id="16" xr3:uid="{C6406105-66F7-4699-9824-D0E39A4624AD}" name="TIEMPO DE HORAS EXTRAS" dataDxfId="48" dataCellStyle="Normal 5"/>
    <tableColumn id="17" xr3:uid="{8ABCEBA9-5A45-4EA2-9793-CC480710842B}" name="TOTAL DE DIAS TRABAJADOS" dataDxfId="47" dataCellStyle="Normal 5"/>
    <tableColumn id="18" xr3:uid="{A1EC0E65-CE4C-4669-9F80-D48413C060D4}" name="BASICO" dataDxfId="46" dataCellStyle="Normal 5"/>
    <tableColumn id="19" xr3:uid="{73F993C8-5FBD-4F29-B619-DCBE1926E640}" name="movilidad" dataDxfId="45" dataCellStyle="Normal 3"/>
    <tableColumn id="53" xr3:uid="{1DEBC5AD-E108-421C-8E63-4D180F20CC78}" name="Bono" dataDxfId="44" dataCellStyle="Normal 3"/>
    <tableColumn id="20" xr3:uid="{3F947E84-151C-4249-9DC1-D04DF963F1C9}" name="Horas extras 25%" dataDxfId="43" dataCellStyle="Normal 3"/>
    <tableColumn id="54" xr3:uid="{47E2140C-4633-4C10-BAE9-6CC2A1AB5220}" name="Horas extras 35%" dataDxfId="42" dataCellStyle="Normal 3"/>
    <tableColumn id="21" xr3:uid="{B46A43C0-6376-474E-AFA8-5AC560FCBEEB}" name="Feriados2" dataDxfId="41" dataCellStyle="Normal 3"/>
    <tableColumn id="22" xr3:uid="{137E7B4C-632C-4B3D-AED5-E3EC9201F2AE}" name="Vacaciones3" dataDxfId="40" dataCellStyle="Normal 3"/>
    <tableColumn id="23" xr3:uid="{1E27BBCF-CB72-4C81-AEC8-FDC241F1222B}" name="Asignacion familiar, 10% sueldo minimo vital 1130" dataDxfId="39" dataCellStyle="Normal 3"/>
    <tableColumn id="24" xr3:uid="{36290120-E4D2-4444-A7EA-06C251CC39BC}" name="Vacaciones truncas" dataDxfId="38" dataCellStyle="Normal 3"/>
    <tableColumn id="25" xr3:uid="{4BDD8BA4-BB04-4B5B-9050-3803A2E9B9CA}" name="Dias libres compensables" dataDxfId="37" dataCellStyle="Normal 3"/>
    <tableColumn id="26" xr3:uid="{093905A9-A771-491B-9632-933103D74D47}" name="Licencia por maternidad o paternidad" dataDxfId="36" dataCellStyle="Normal 3"/>
    <tableColumn id="27" xr3:uid="{D6DA9561-D8B0-4BF0-A8A1-3E002D98900B}" name="Licencia con goce de haber" dataDxfId="35" dataCellStyle="Normal 3"/>
    <tableColumn id="28" xr3:uid="{BCABC701-8D4B-4FE4-9570-D7F6A7EC85A7}" name="Descanso medico subsidiado" dataDxfId="34" dataCellStyle="Normal 3"/>
    <tableColumn id="29" xr3:uid="{318666D8-69DA-4932-A794-2EA658E623A6}" name="Licencia por paternidad" dataDxfId="33" dataCellStyle="Normal 3"/>
    <tableColumn id="30" xr3:uid="{81878E9A-69E0-4B9E-9D17-A58857ED6EFA}" name="TOTAL REMUNERACIONES" dataDxfId="32" dataCellStyle="Normal 3"/>
    <tableColumn id="51" xr3:uid="{5362CF99-D28E-49C7-8AAD-9B2F76EB2164}" name="S.N.P.-S.P.P.P:" dataDxfId="31" dataCellStyle="Normal 3"/>
    <tableColumn id="31" xr3:uid="{56562682-7579-49F6-BEC7-55F02234C80E}" name="ONP 13%" dataDxfId="30" dataCellStyle="Normal 3"/>
    <tableColumn id="32" xr3:uid="{1618B35A-F92C-41A5-8223-CCD6E36EA6F0}" name="RETENCION DE 5TA CATEGORIA" dataDxfId="29" dataCellStyle="Normal 3"/>
    <tableColumn id="33" xr3:uid="{4902620C-C4AF-452F-B633-4FAB301390A2}" name="DSCTS" dataDxfId="28" dataCellStyle="Normal 3"/>
    <tableColumn id="34" xr3:uid="{48903B19-0451-43DB-AA83-381A041276F6}" name="ADELANTOS" dataDxfId="27" dataCellStyle="Normal 3"/>
    <tableColumn id="52" xr3:uid="{1F49C014-1493-497A-AC7A-CDC99F4408DD}" name="S.N.P.-S.P.P.P:2" dataDxfId="26" dataCellStyle="Normal 3"/>
    <tableColumn id="35" xr3:uid="{02FDE167-E693-41B0-85C5-DF6C30CD5DF6}" name="AFP" dataDxfId="25" dataCellStyle="Normal 3"/>
    <tableColumn id="36" xr3:uid="{93E9EF77-C8AD-45CE-97A7-4FA54A4DEE5F}" name="CUPP" dataDxfId="24" dataCellStyle="Normal 3"/>
    <tableColumn id="37" xr3:uid="{AC4DE204-FB5C-4F11-874E-29807A95D7CC}" name="PENSION" dataDxfId="23" dataCellStyle="Normal 3"/>
    <tableColumn id="38" xr3:uid="{28117EDD-1B57-4D78-8E4F-D6261F4907F7}" name="COMISION" dataDxfId="22" dataCellStyle="Normal 3"/>
    <tableColumn id="39" xr3:uid="{18DC27BF-0DD0-4458-8220-5DDAC93F108A}" name="SEGURO" dataDxfId="21" dataCellStyle="Normal 3"/>
    <tableColumn id="40" xr3:uid="{C403A99A-4FA4-4CE6-95AB-DADFE6EB0BC2}" name="APORTES TRABAJADORES DE RIESGO" dataDxfId="20" dataCellStyle="Normal 3"/>
    <tableColumn id="41" xr3:uid="{7DEFBB02-EF18-480E-B8CE-7EBBB9705E7E}" name="NETO A PAGAR" dataDxfId="19" dataCellStyle="Normal 3"/>
    <tableColumn id="42" xr3:uid="{269126B3-6A18-4DDB-A8EC-1FE01A678DAC}" name="ESSALUD 9%" dataDxfId="18" dataCellStyle="Normal 3"/>
    <tableColumn id="43" xr3:uid="{9B861AC1-4EB9-4976-AAF2-480A202E9992}" name="EPS. SCTR." dataDxfId="17" dataCellStyle="Normal 3"/>
    <tableColumn id="44" xr3:uid="{67EA26CE-4C47-426F-9975-A1E10ECB9018}" name="SCTR PENSIONES" dataDxfId="16" dataCellStyle="Normal 3"/>
    <tableColumn id="45" xr3:uid="{F36A1B84-D3B8-48C6-8617-43759D2D8CC9}" name="POLIZA DE SEGURO D LEG. 688" dataDxfId="15" dataCellStyle="Normal 3"/>
    <tableColumn id="46" xr3:uid="{CD490455-C1C2-4E97-8C00-FD07A58708D2}" name="FECHA DE SALIDA" dataDxfId="14" dataCellStyle="Normal 3"/>
    <tableColumn id="47" xr3:uid="{241553F8-3A96-4BD9-93CB-E966A4DAB908}" name="DESCUENTOS POR PENSION ALIMENTARIA" dataDxfId="13" dataCellStyle="Normal 3"/>
    <tableColumn id="48" xr3:uid="{AC14D7BC-65FD-45F2-9E1A-69D955332E78}" name="PAGO NETO" dataDxfId="12" dataCellStyle="Normal 3"/>
    <tableColumn id="49" xr3:uid="{7EC50B97-4517-434F-91DB-809DA53353D4}" name="TOTAL H.H" dataDxfId="11" dataCellStyle="Normal 3"/>
    <tableColumn id="50" xr3:uid="{863A44AB-6B33-4DC8-A80B-D4B81B56F249}" name="UNIDAD DE TRABAJO" dataDxfId="10" dataCellStyle="Normal 3"/>
    <tableColumn id="55" xr3:uid="{19FBA88C-79B9-448B-91BF-1BBB749C3634}" name="Columna1" dataDxfId="9" dataCellStyle="Normal 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48D73-18F6-419C-B0B3-E9DA70F4F500}">
  <dimension ref="A1:BC416"/>
  <sheetViews>
    <sheetView tabSelected="1" topLeftCell="A3" workbookViewId="0">
      <selection activeCell="J12" sqref="J12"/>
    </sheetView>
  </sheetViews>
  <sheetFormatPr baseColWidth="10" defaultColWidth="11.5546875" defaultRowHeight="13.2"/>
  <cols>
    <col min="1" max="1" width="4.6640625" style="2" customWidth="1"/>
    <col min="2" max="2" width="31.77734375" style="2" customWidth="1"/>
    <col min="3" max="3" width="9.44140625" style="2" customWidth="1"/>
    <col min="4" max="4" width="11.6640625" style="2" customWidth="1"/>
    <col min="5" max="5" width="28.77734375" style="2" customWidth="1"/>
    <col min="6" max="6" width="13.21875" style="18" customWidth="1"/>
    <col min="7" max="7" width="17.77734375" style="22" customWidth="1"/>
    <col min="8" max="8" width="28.5546875" style="2" customWidth="1"/>
    <col min="9" max="9" width="14.88671875" style="2" customWidth="1"/>
    <col min="10" max="11" width="11" style="2" customWidth="1"/>
    <col min="12" max="12" width="11.109375" style="2" customWidth="1"/>
    <col min="13" max="13" width="10.21875" style="2" customWidth="1"/>
    <col min="14" max="14" width="11.44140625" style="2" customWidth="1"/>
    <col min="15" max="15" width="10.44140625" style="2" customWidth="1"/>
    <col min="16" max="16" width="12" style="2" customWidth="1"/>
    <col min="17" max="17" width="12.109375" style="2" customWidth="1"/>
    <col min="18" max="18" width="12.6640625" style="2" customWidth="1"/>
    <col min="19" max="20" width="9.77734375" style="2" customWidth="1"/>
    <col min="21" max="23" width="10.6640625" style="2" customWidth="1"/>
    <col min="24" max="24" width="11.33203125" style="2" customWidth="1"/>
    <col min="25" max="25" width="15.21875" style="2" customWidth="1"/>
    <col min="26" max="26" width="12.44140625" style="2" customWidth="1"/>
    <col min="27" max="27" width="14" style="2" customWidth="1"/>
    <col min="28" max="28" width="13.77734375" style="2" customWidth="1"/>
    <col min="29" max="29" width="13.21875" style="2" customWidth="1"/>
    <col min="30" max="30" width="14.109375" style="2" customWidth="1"/>
    <col min="31" max="31" width="13" style="2" customWidth="1"/>
    <col min="32" max="32" width="19.109375" style="2" customWidth="1"/>
    <col min="33" max="33" width="11.44140625" style="2" customWidth="1"/>
    <col min="34" max="34" width="11.33203125" style="2" customWidth="1"/>
    <col min="35" max="35" width="15.33203125" style="2" customWidth="1"/>
    <col min="36" max="36" width="10.21875" style="2" customWidth="1"/>
    <col min="37" max="38" width="12.5546875" style="2" customWidth="1"/>
    <col min="39" max="39" width="11.77734375" style="2" customWidth="1"/>
    <col min="40" max="40" width="18.21875" style="2" customWidth="1"/>
    <col min="41" max="43" width="11.109375" style="2" customWidth="1"/>
    <col min="44" max="44" width="17.88671875" style="2" customWidth="1"/>
    <col min="45" max="45" width="16.44140625" style="2" customWidth="1"/>
    <col min="46" max="46" width="13.5546875" style="2" customWidth="1"/>
    <col min="47" max="47" width="13.44140625" style="2" customWidth="1"/>
    <col min="48" max="48" width="12.77734375" style="2" customWidth="1"/>
    <col min="49" max="49" width="10.33203125" style="2" customWidth="1"/>
    <col min="50" max="50" width="15" style="2" customWidth="1"/>
    <col min="51" max="51" width="23" style="2" hidden="1" customWidth="1"/>
    <col min="52" max="52" width="13.5546875" style="2" hidden="1" customWidth="1"/>
    <col min="53" max="53" width="14.109375" style="2" customWidth="1"/>
    <col min="54" max="54" width="21.77734375" style="2" customWidth="1"/>
    <col min="55" max="16384" width="11.5546875" style="2"/>
  </cols>
  <sheetData>
    <row r="1" spans="1:55" ht="17.399999999999999">
      <c r="A1" s="45"/>
      <c r="B1" s="3"/>
      <c r="C1" s="3"/>
      <c r="D1" s="3"/>
      <c r="E1" s="3"/>
      <c r="F1" s="15"/>
      <c r="G1" s="19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</row>
    <row r="2" spans="1:55" ht="17.399999999999999">
      <c r="B2" s="3"/>
      <c r="C2" s="3"/>
      <c r="D2" s="3"/>
      <c r="E2" s="3"/>
      <c r="F2" s="15"/>
      <c r="G2" s="19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</row>
    <row r="3" spans="1:55" ht="17.399999999999999">
      <c r="B3" s="3"/>
      <c r="C3" s="57" t="s">
        <v>97</v>
      </c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</row>
    <row r="4" spans="1:55" ht="17.399999999999999">
      <c r="B4" s="3"/>
      <c r="C4" s="3"/>
      <c r="D4" s="3"/>
      <c r="E4" s="3"/>
      <c r="F4" s="15"/>
      <c r="G4" s="1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</row>
    <row r="5" spans="1:55" ht="17.399999999999999" customHeight="1">
      <c r="B5" s="58" t="s">
        <v>0</v>
      </c>
      <c r="C5" s="59"/>
      <c r="D5" s="59"/>
      <c r="E5" s="59"/>
      <c r="F5" s="59"/>
      <c r="G5" s="59"/>
      <c r="H5" s="59"/>
      <c r="I5" s="60"/>
      <c r="J5" s="3"/>
      <c r="K5" s="3"/>
      <c r="L5" s="3"/>
      <c r="M5" s="3"/>
      <c r="N5" s="3"/>
      <c r="O5" s="3"/>
      <c r="P5" s="3"/>
      <c r="Q5" s="3"/>
      <c r="R5" s="3"/>
      <c r="S5" s="58" t="s">
        <v>104</v>
      </c>
      <c r="T5" s="59"/>
      <c r="U5" s="59"/>
      <c r="V5" s="59"/>
      <c r="W5" s="59"/>
      <c r="X5" s="59"/>
      <c r="Y5" s="59"/>
      <c r="Z5" s="59"/>
      <c r="AA5" s="59"/>
      <c r="AB5" s="59"/>
      <c r="AC5" s="59"/>
      <c r="AD5" s="59"/>
      <c r="AE5" s="59"/>
      <c r="AF5" s="60"/>
      <c r="AG5" s="29"/>
      <c r="AH5" s="58" t="s">
        <v>104</v>
      </c>
      <c r="AI5" s="59"/>
      <c r="AJ5" s="59"/>
      <c r="AK5" s="59"/>
      <c r="AL5" s="59"/>
      <c r="AM5" s="59"/>
      <c r="AN5" s="59"/>
      <c r="AO5" s="59"/>
      <c r="AP5" s="59"/>
      <c r="AQ5" s="59"/>
      <c r="AR5" s="59"/>
      <c r="AS5" s="60"/>
      <c r="AT5" s="61" t="s">
        <v>4</v>
      </c>
      <c r="AU5" s="61"/>
      <c r="AV5" s="61"/>
      <c r="AW5" s="61"/>
      <c r="AX5" s="56" t="s">
        <v>85</v>
      </c>
      <c r="AY5" s="56"/>
      <c r="AZ5" s="56"/>
      <c r="BA5" s="3"/>
      <c r="BB5" s="3"/>
    </row>
    <row r="6" spans="1:55" ht="68.400000000000006" customHeight="1">
      <c r="A6" s="6" t="s">
        <v>99</v>
      </c>
      <c r="B6" s="7" t="s">
        <v>16</v>
      </c>
      <c r="C6" s="7" t="s">
        <v>17</v>
      </c>
      <c r="D6" s="7" t="s">
        <v>18</v>
      </c>
      <c r="E6" s="7" t="s">
        <v>19</v>
      </c>
      <c r="F6" s="16" t="s">
        <v>20</v>
      </c>
      <c r="G6" s="20" t="s">
        <v>21</v>
      </c>
      <c r="H6" s="7" t="s">
        <v>22</v>
      </c>
      <c r="I6" s="7" t="s">
        <v>23</v>
      </c>
      <c r="J6" s="7" t="s">
        <v>100</v>
      </c>
      <c r="K6" s="7" t="s">
        <v>101</v>
      </c>
      <c r="L6" s="7" t="s">
        <v>1</v>
      </c>
      <c r="M6" s="7" t="s">
        <v>102</v>
      </c>
      <c r="N6" s="7" t="s">
        <v>85</v>
      </c>
      <c r="O6" s="7" t="s">
        <v>98</v>
      </c>
      <c r="P6" s="7" t="s">
        <v>92</v>
      </c>
      <c r="Q6" s="7" t="s">
        <v>103</v>
      </c>
      <c r="R6" s="7" t="s">
        <v>2</v>
      </c>
      <c r="S6" s="8" t="s">
        <v>105</v>
      </c>
      <c r="T6" s="8" t="s">
        <v>134</v>
      </c>
      <c r="U6" s="9" t="s">
        <v>106</v>
      </c>
      <c r="V6" s="9" t="s">
        <v>141</v>
      </c>
      <c r="W6" s="8" t="s">
        <v>118</v>
      </c>
      <c r="X6" s="8" t="s">
        <v>119</v>
      </c>
      <c r="Y6" s="9" t="s">
        <v>107</v>
      </c>
      <c r="Z6" s="9" t="s">
        <v>108</v>
      </c>
      <c r="AA6" s="9" t="s">
        <v>109</v>
      </c>
      <c r="AB6" s="9" t="s">
        <v>110</v>
      </c>
      <c r="AC6" s="9" t="s">
        <v>111</v>
      </c>
      <c r="AD6" s="9" t="s">
        <v>112</v>
      </c>
      <c r="AE6" s="9" t="s">
        <v>113</v>
      </c>
      <c r="AF6" s="9" t="s">
        <v>114</v>
      </c>
      <c r="AG6" s="9" t="s">
        <v>129</v>
      </c>
      <c r="AH6" s="10" t="s">
        <v>6</v>
      </c>
      <c r="AI6" s="10" t="s">
        <v>7</v>
      </c>
      <c r="AJ6" s="10" t="s">
        <v>126</v>
      </c>
      <c r="AK6" s="10" t="s">
        <v>8</v>
      </c>
      <c r="AL6" s="10" t="s">
        <v>130</v>
      </c>
      <c r="AM6" s="10" t="s">
        <v>9</v>
      </c>
      <c r="AN6" s="10" t="s">
        <v>10</v>
      </c>
      <c r="AO6" s="10" t="s">
        <v>11</v>
      </c>
      <c r="AP6" s="10" t="s">
        <v>12</v>
      </c>
      <c r="AQ6" s="10" t="s">
        <v>13</v>
      </c>
      <c r="AR6" s="10" t="s">
        <v>115</v>
      </c>
      <c r="AS6" s="10" t="s">
        <v>3</v>
      </c>
      <c r="AT6" s="11" t="s">
        <v>14</v>
      </c>
      <c r="AU6" s="11" t="s">
        <v>136</v>
      </c>
      <c r="AV6" s="11" t="s">
        <v>15</v>
      </c>
      <c r="AW6" s="11" t="s">
        <v>135</v>
      </c>
      <c r="AX6" s="11" t="s">
        <v>86</v>
      </c>
      <c r="AY6" s="11" t="s">
        <v>116</v>
      </c>
      <c r="AZ6" s="11" t="s">
        <v>74</v>
      </c>
      <c r="BA6" s="11" t="s">
        <v>117</v>
      </c>
      <c r="BB6" s="11" t="s">
        <v>5</v>
      </c>
      <c r="BC6" s="11" t="s">
        <v>146</v>
      </c>
    </row>
    <row r="7" spans="1:55" s="31" customFormat="1" ht="13.8">
      <c r="A7" s="12">
        <v>1</v>
      </c>
      <c r="B7" s="42" t="s">
        <v>78</v>
      </c>
      <c r="C7" s="13">
        <v>45616293</v>
      </c>
      <c r="D7" s="13" t="s">
        <v>26</v>
      </c>
      <c r="E7" s="13" t="s">
        <v>29</v>
      </c>
      <c r="F7" s="17">
        <v>45557</v>
      </c>
      <c r="G7" s="21">
        <v>45870</v>
      </c>
      <c r="H7" s="13" t="s">
        <v>158</v>
      </c>
      <c r="I7" s="13" t="s">
        <v>28</v>
      </c>
      <c r="J7" s="25">
        <v>2000</v>
      </c>
      <c r="K7" s="13">
        <v>26</v>
      </c>
      <c r="L7" s="13">
        <v>5</v>
      </c>
      <c r="M7" s="13">
        <v>0</v>
      </c>
      <c r="N7" s="13">
        <v>0</v>
      </c>
      <c r="O7" s="13">
        <v>0</v>
      </c>
      <c r="P7" s="13"/>
      <c r="Q7" s="13">
        <f t="shared" ref="Q7:Q49" si="0">K7+L7</f>
        <v>31</v>
      </c>
      <c r="R7" s="25">
        <f t="shared" ref="R7:R32" si="1">J7/30*Q7</f>
        <v>2066.666666666667</v>
      </c>
      <c r="S7" s="24"/>
      <c r="T7" s="24"/>
      <c r="U7" s="23">
        <v>0</v>
      </c>
      <c r="V7" s="23"/>
      <c r="W7" s="24">
        <f t="shared" ref="W7:W26" si="2">J7/30*M7*2</f>
        <v>0</v>
      </c>
      <c r="X7" s="24">
        <f t="shared" ref="X7:X30" si="3">J7/30*N7</f>
        <v>0</v>
      </c>
      <c r="Y7" s="23">
        <v>113</v>
      </c>
      <c r="Z7" s="23"/>
      <c r="AA7" s="23"/>
      <c r="AB7" s="23"/>
      <c r="AC7" s="23"/>
      <c r="AD7" s="23">
        <v>0</v>
      </c>
      <c r="AE7" s="23"/>
      <c r="AF7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2179.666666666667</v>
      </c>
      <c r="AG7" s="14"/>
      <c r="AH7" s="27"/>
      <c r="AI7" s="27"/>
      <c r="AJ7" s="14"/>
      <c r="AK7" s="14"/>
      <c r="AL7" s="14" t="s">
        <v>9</v>
      </c>
      <c r="AM7" s="14" t="s">
        <v>30</v>
      </c>
      <c r="AN7" s="14" t="s">
        <v>79</v>
      </c>
      <c r="AO7" s="27">
        <f>Tabla210[[#This Row],[TOTAL REMUNERACIONES]]*10%</f>
        <v>217.9666666666667</v>
      </c>
      <c r="AP7" s="27">
        <v>0</v>
      </c>
      <c r="AQ7" s="27">
        <f>Tabla210[[#This Row],[TOTAL REMUNERACIONES]]*1.37%</f>
        <v>29.861433333333338</v>
      </c>
      <c r="AR7" s="14"/>
      <c r="AS7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1931.838566666667</v>
      </c>
      <c r="AT7" s="27">
        <f t="shared" ref="AT7:AT31" si="4">AF7*9/100</f>
        <v>196.17000000000004</v>
      </c>
      <c r="AU7" s="27">
        <f>Tabla210[[#This Row],[JORNAL]]*1.2%</f>
        <v>24</v>
      </c>
      <c r="AV7" s="27">
        <v>66.8</v>
      </c>
      <c r="AW7" s="27">
        <f>Tabla210[[#This Row],[JORNAL]]*1.5%</f>
        <v>30</v>
      </c>
      <c r="AX7" s="27">
        <f>Tabla210[[#This Row],[ESSALUD 9%]]+Tabla210[[#This Row],[EPS. SCTR.]]+Tabla210[[#This Row],[SCTR PENSIONES]]+Tabla210[[#This Row],[POLIZA DE SEGURO D LEG. 688]]</f>
        <v>316.97000000000003</v>
      </c>
      <c r="AY7" s="14"/>
      <c r="AZ7" s="14"/>
      <c r="BA7" s="14">
        <f>Tabla210[[#This Row],[DIAS LABORADOS]]*8</f>
        <v>208</v>
      </c>
      <c r="BB7" s="14" t="s">
        <v>31</v>
      </c>
      <c r="BC7" s="11"/>
    </row>
    <row r="8" spans="1:55" s="31" customFormat="1" ht="13.8">
      <c r="A8" s="12">
        <v>2</v>
      </c>
      <c r="B8" s="42" t="s">
        <v>147</v>
      </c>
      <c r="C8" s="13">
        <v>74044726</v>
      </c>
      <c r="D8" s="13" t="s">
        <v>33</v>
      </c>
      <c r="E8" s="13" t="s">
        <v>77</v>
      </c>
      <c r="F8" s="17">
        <v>45816</v>
      </c>
      <c r="G8" s="21">
        <v>45870</v>
      </c>
      <c r="H8" s="13" t="s">
        <v>158</v>
      </c>
      <c r="I8" s="17" t="s">
        <v>28</v>
      </c>
      <c r="J8" s="25">
        <v>3800</v>
      </c>
      <c r="K8" s="13">
        <v>18</v>
      </c>
      <c r="L8" s="13">
        <v>13</v>
      </c>
      <c r="M8" s="13">
        <v>0</v>
      </c>
      <c r="N8" s="13">
        <v>0</v>
      </c>
      <c r="O8" s="13">
        <v>0</v>
      </c>
      <c r="P8" s="13"/>
      <c r="Q8" s="13">
        <f t="shared" si="0"/>
        <v>31</v>
      </c>
      <c r="R8" s="25">
        <v>3800</v>
      </c>
      <c r="S8" s="24"/>
      <c r="T8" s="24"/>
      <c r="U8" s="23">
        <v>0</v>
      </c>
      <c r="V8" s="23"/>
      <c r="W8" s="24">
        <f t="shared" si="2"/>
        <v>0</v>
      </c>
      <c r="X8" s="24">
        <f t="shared" si="3"/>
        <v>0</v>
      </c>
      <c r="Y8" s="23">
        <v>0</v>
      </c>
      <c r="Z8" s="23"/>
      <c r="AA8" s="23"/>
      <c r="AB8" s="23"/>
      <c r="AC8" s="23"/>
      <c r="AD8" s="23">
        <v>0</v>
      </c>
      <c r="AE8" s="23"/>
      <c r="AF8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3800</v>
      </c>
      <c r="AG8" s="14"/>
      <c r="AH8" s="27"/>
      <c r="AI8" s="27"/>
      <c r="AJ8" s="14"/>
      <c r="AK8" s="14"/>
      <c r="AL8" s="14" t="s">
        <v>9</v>
      </c>
      <c r="AM8" s="14" t="s">
        <v>68</v>
      </c>
      <c r="AN8" s="14" t="s">
        <v>148</v>
      </c>
      <c r="AO8" s="27">
        <f>Tabla210[[#This Row],[TOTAL REMUNERACIONES]]*10%</f>
        <v>380</v>
      </c>
      <c r="AP8" s="27">
        <v>0</v>
      </c>
      <c r="AQ8" s="27">
        <f>Tabla210[[#This Row],[TOTAL REMUNERACIONES]]*1.37%</f>
        <v>52.06</v>
      </c>
      <c r="AR8" s="14"/>
      <c r="AS8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3367.94</v>
      </c>
      <c r="AT8" s="23">
        <f t="shared" si="4"/>
        <v>342</v>
      </c>
      <c r="AU8" s="27">
        <f>Tabla210[[#This Row],[TOTAL REMUNERACIONES]]*2.5%</f>
        <v>95</v>
      </c>
      <c r="AV8" s="27">
        <f>Tabla210[[#This Row],[TOTAL REMUNERACIONES]]*6%</f>
        <v>228</v>
      </c>
      <c r="AW8" s="27">
        <f>Tabla210[[#This Row],[TOTAL REMUNERACIONES]]*1.5%</f>
        <v>57</v>
      </c>
      <c r="AX8" s="27">
        <f>Tabla210[[#This Row],[ESSALUD 9%]]+Tabla210[[#This Row],[EPS. SCTR.]]+Tabla210[[#This Row],[SCTR PENSIONES]]+Tabla210[[#This Row],[POLIZA DE SEGURO D LEG. 688]]</f>
        <v>722</v>
      </c>
      <c r="AY8" s="14"/>
      <c r="AZ8" s="14"/>
      <c r="BA8" s="14">
        <f>Tabla210[[#This Row],[DIAS LABORADOS]]*12</f>
        <v>216</v>
      </c>
      <c r="BB8" s="14" t="s">
        <v>43</v>
      </c>
      <c r="BC8" s="5"/>
    </row>
    <row r="9" spans="1:55" s="31" customFormat="1" ht="12.75" customHeight="1">
      <c r="A9" s="12">
        <v>3</v>
      </c>
      <c r="B9" s="42" t="s">
        <v>87</v>
      </c>
      <c r="C9" s="13" t="s">
        <v>88</v>
      </c>
      <c r="D9" s="13" t="s">
        <v>26</v>
      </c>
      <c r="E9" s="13" t="s">
        <v>27</v>
      </c>
      <c r="F9" s="17">
        <v>45615</v>
      </c>
      <c r="G9" s="21">
        <v>45870</v>
      </c>
      <c r="H9" s="13" t="s">
        <v>158</v>
      </c>
      <c r="I9" s="13" t="s">
        <v>28</v>
      </c>
      <c r="J9" s="25">
        <v>1800</v>
      </c>
      <c r="K9" s="13">
        <v>20</v>
      </c>
      <c r="L9" s="13">
        <v>11</v>
      </c>
      <c r="M9" s="13">
        <v>2</v>
      </c>
      <c r="N9" s="13">
        <v>0</v>
      </c>
      <c r="O9" s="13">
        <v>0</v>
      </c>
      <c r="P9" s="13"/>
      <c r="Q9" s="13">
        <f t="shared" si="0"/>
        <v>31</v>
      </c>
      <c r="R9" s="25">
        <f t="shared" si="1"/>
        <v>1860</v>
      </c>
      <c r="S9" s="52">
        <v>160</v>
      </c>
      <c r="T9" s="24"/>
      <c r="U9" s="23">
        <v>0</v>
      </c>
      <c r="V9" s="23"/>
      <c r="W9" s="24">
        <f t="shared" si="2"/>
        <v>240</v>
      </c>
      <c r="X9" s="24">
        <f t="shared" si="3"/>
        <v>0</v>
      </c>
      <c r="Y9" s="23"/>
      <c r="Z9" s="23"/>
      <c r="AA9" s="23"/>
      <c r="AB9" s="23"/>
      <c r="AC9" s="23"/>
      <c r="AD9" s="23">
        <v>0</v>
      </c>
      <c r="AE9" s="23"/>
      <c r="AF9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2100</v>
      </c>
      <c r="AG9" s="14"/>
      <c r="AH9" s="27"/>
      <c r="AI9" s="27"/>
      <c r="AJ9" s="14"/>
      <c r="AK9" s="14"/>
      <c r="AL9" s="14" t="s">
        <v>9</v>
      </c>
      <c r="AM9" s="14" t="s">
        <v>24</v>
      </c>
      <c r="AN9" s="14" t="s">
        <v>89</v>
      </c>
      <c r="AO9" s="27">
        <f>Tabla210[[#This Row],[TOTAL REMUNERACIONES]]*10%</f>
        <v>210</v>
      </c>
      <c r="AP9" s="27">
        <v>0</v>
      </c>
      <c r="AQ9" s="27">
        <f>Tabla210[[#This Row],[TOTAL REMUNERACIONES]]*1.37%</f>
        <v>28.77</v>
      </c>
      <c r="AR9" s="14"/>
      <c r="AS9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2021.23</v>
      </c>
      <c r="AT9" s="23">
        <f t="shared" si="4"/>
        <v>189</v>
      </c>
      <c r="AU9" s="27">
        <f>Tabla210[[#This Row],[TOTAL REMUNERACIONES]]*2.5%</f>
        <v>52.5</v>
      </c>
      <c r="AV9" s="27">
        <f>Tabla210[[#This Row],[TOTAL REMUNERACIONES]]*6%</f>
        <v>126</v>
      </c>
      <c r="AW9" s="27">
        <f>Tabla210[[#This Row],[TOTAL REMUNERACIONES]]*1.5%</f>
        <v>31.5</v>
      </c>
      <c r="AX9" s="27">
        <f>Tabla210[[#This Row],[ESSALUD 9%]]+Tabla210[[#This Row],[EPS. SCTR.]]+Tabla210[[#This Row],[SCTR PENSIONES]]+Tabla210[[#This Row],[POLIZA DE SEGURO D LEG. 688]]</f>
        <v>399</v>
      </c>
      <c r="AY9" s="14"/>
      <c r="AZ9" s="14"/>
      <c r="BA9" s="14">
        <f>Tabla210[[#This Row],[DIAS LABORADOS]]*12</f>
        <v>240</v>
      </c>
      <c r="BB9" s="14" t="s">
        <v>43</v>
      </c>
      <c r="BC9" s="5"/>
    </row>
    <row r="10" spans="1:55" s="31" customFormat="1" ht="12.75" customHeight="1">
      <c r="A10" s="12">
        <v>4</v>
      </c>
      <c r="B10" s="53" t="s">
        <v>32</v>
      </c>
      <c r="C10" s="13">
        <v>70541278</v>
      </c>
      <c r="D10" s="13" t="s">
        <v>33</v>
      </c>
      <c r="E10" s="13" t="s">
        <v>34</v>
      </c>
      <c r="F10" s="17">
        <v>44917</v>
      </c>
      <c r="G10" s="21">
        <v>45870</v>
      </c>
      <c r="H10" s="13" t="s">
        <v>158</v>
      </c>
      <c r="I10" s="13" t="s">
        <v>28</v>
      </c>
      <c r="J10" s="25">
        <v>5500</v>
      </c>
      <c r="K10" s="13">
        <v>19</v>
      </c>
      <c r="L10" s="13">
        <v>12</v>
      </c>
      <c r="M10" s="13">
        <v>1</v>
      </c>
      <c r="N10" s="13">
        <v>0</v>
      </c>
      <c r="O10" s="13">
        <v>0</v>
      </c>
      <c r="P10" s="13">
        <v>0</v>
      </c>
      <c r="Q10" s="13">
        <f t="shared" si="0"/>
        <v>31</v>
      </c>
      <c r="R10" s="25">
        <v>5500</v>
      </c>
      <c r="S10" s="24">
        <v>300</v>
      </c>
      <c r="T10" s="24">
        <v>0</v>
      </c>
      <c r="U10" s="23">
        <v>0</v>
      </c>
      <c r="V10" s="23"/>
      <c r="W10" s="24">
        <f t="shared" si="2"/>
        <v>366.66666666666669</v>
      </c>
      <c r="X10" s="24">
        <f t="shared" si="3"/>
        <v>0</v>
      </c>
      <c r="Y10" s="23"/>
      <c r="Z10" s="23"/>
      <c r="AA10" s="23"/>
      <c r="AB10" s="23"/>
      <c r="AC10" s="23"/>
      <c r="AD10" s="23">
        <v>0</v>
      </c>
      <c r="AE10" s="23"/>
      <c r="AF10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5866.666666666667</v>
      </c>
      <c r="AG10" s="14" t="s">
        <v>128</v>
      </c>
      <c r="AH10" s="27">
        <f>Tabla210[[#This Row],[TOTAL REMUNERACIONES]]*13%</f>
        <v>762.66666666666674</v>
      </c>
      <c r="AI10" s="43">
        <v>352.38</v>
      </c>
      <c r="AJ10" s="14"/>
      <c r="AK10" s="14"/>
      <c r="AL10" s="14"/>
      <c r="AM10" s="14"/>
      <c r="AN10" s="14"/>
      <c r="AO10" s="27"/>
      <c r="AP10" s="27"/>
      <c r="AQ10" s="27"/>
      <c r="AR10" s="14"/>
      <c r="AS10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5051.62</v>
      </c>
      <c r="AT10" s="14">
        <f t="shared" si="4"/>
        <v>528</v>
      </c>
      <c r="AU10" s="23">
        <f>Tabla210[[#This Row],[JORNAL]]*0.53%</f>
        <v>29.15</v>
      </c>
      <c r="AV10" s="27">
        <f>Tabla210[[#This Row],[JORNAL]]*13.86%</f>
        <v>762.3</v>
      </c>
      <c r="AW10" s="27">
        <f>Tabla210[[#This Row],[JORNAL]]*0.71%</f>
        <v>39.049999999999997</v>
      </c>
      <c r="AX10" s="27">
        <f>Tabla210[[#This Row],[ESSALUD 9%]]+Tabla210[[#This Row],[EPS. SCTR.]]+Tabla210[[#This Row],[SCTR PENSIONES]]+Tabla210[[#This Row],[POLIZA DE SEGURO D LEG. 688]]</f>
        <v>1358.4999999999998</v>
      </c>
      <c r="AY10" s="14"/>
      <c r="AZ10" s="14"/>
      <c r="BA10" s="14">
        <f>Tabla210[[#This Row],[DIAS LABORADOS]]*8</f>
        <v>152</v>
      </c>
      <c r="BB10" s="14" t="s">
        <v>25</v>
      </c>
      <c r="BC10" s="5"/>
    </row>
    <row r="11" spans="1:55" s="31" customFormat="1" ht="12.75" customHeight="1">
      <c r="A11" s="12">
        <v>5</v>
      </c>
      <c r="B11" s="53" t="s">
        <v>75</v>
      </c>
      <c r="C11" s="13">
        <v>40893010</v>
      </c>
      <c r="D11" s="13" t="s">
        <v>26</v>
      </c>
      <c r="E11" s="13" t="s">
        <v>29</v>
      </c>
      <c r="F11" s="17">
        <v>45474</v>
      </c>
      <c r="G11" s="21">
        <v>45870</v>
      </c>
      <c r="H11" s="13" t="s">
        <v>158</v>
      </c>
      <c r="I11" s="13" t="s">
        <v>28</v>
      </c>
      <c r="J11" s="25">
        <v>2500</v>
      </c>
      <c r="K11" s="13">
        <v>18</v>
      </c>
      <c r="L11" s="13">
        <v>13</v>
      </c>
      <c r="M11" s="13">
        <v>1</v>
      </c>
      <c r="N11" s="13">
        <v>0</v>
      </c>
      <c r="O11" s="13">
        <v>0</v>
      </c>
      <c r="P11" s="13"/>
      <c r="Q11" s="13">
        <f t="shared" si="0"/>
        <v>31</v>
      </c>
      <c r="R11" s="25">
        <f t="shared" si="1"/>
        <v>2583.333333333333</v>
      </c>
      <c r="S11" s="24"/>
      <c r="T11" s="24"/>
      <c r="U11" s="23">
        <v>0</v>
      </c>
      <c r="V11" s="23"/>
      <c r="W11" s="24">
        <f t="shared" si="2"/>
        <v>166.66666666666666</v>
      </c>
      <c r="X11" s="24">
        <f t="shared" si="3"/>
        <v>0</v>
      </c>
      <c r="Y11" s="23">
        <v>113</v>
      </c>
      <c r="Z11" s="23"/>
      <c r="AA11" s="23"/>
      <c r="AB11" s="23"/>
      <c r="AC11" s="23"/>
      <c r="AD11" s="23">
        <v>0</v>
      </c>
      <c r="AE11" s="23"/>
      <c r="AF11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2862.9999999999995</v>
      </c>
      <c r="AG11" s="14" t="s">
        <v>128</v>
      </c>
      <c r="AH11" s="27">
        <f>Tabla210[[#This Row],[TOTAL REMUNERACIONES]]*13%</f>
        <v>372.18999999999994</v>
      </c>
      <c r="AI11" s="27"/>
      <c r="AJ11" s="14"/>
      <c r="AK11" s="14"/>
      <c r="AL11" s="14"/>
      <c r="AM11" s="14"/>
      <c r="AN11" s="14"/>
      <c r="AO11" s="27"/>
      <c r="AP11" s="27"/>
      <c r="AQ11" s="27"/>
      <c r="AR11" s="14"/>
      <c r="AS11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2490.8099999999995</v>
      </c>
      <c r="AT11" s="14">
        <f t="shared" si="4"/>
        <v>257.66999999999996</v>
      </c>
      <c r="AU11" s="27">
        <f>Tabla210[[#This Row],[TOTAL REMUNERACIONES]]*2.5%</f>
        <v>71.574999999999989</v>
      </c>
      <c r="AV11" s="27">
        <f>Tabla210[[#This Row],[TOTAL REMUNERACIONES]]*6%</f>
        <v>171.77999999999997</v>
      </c>
      <c r="AW11" s="27">
        <f>Tabla210[[#This Row],[TOTAL REMUNERACIONES]]*1.5%</f>
        <v>42.944999999999993</v>
      </c>
      <c r="AX11" s="27">
        <f>Tabla210[[#This Row],[ESSALUD 9%]]+Tabla210[[#This Row],[EPS. SCTR.]]+Tabla210[[#This Row],[SCTR PENSIONES]]+Tabla210[[#This Row],[POLIZA DE SEGURO D LEG. 688]]</f>
        <v>543.96999999999991</v>
      </c>
      <c r="AY11" s="14"/>
      <c r="AZ11" s="14"/>
      <c r="BA11" s="14">
        <f>Tabla210[[#This Row],[DIAS LABORADOS]]*12</f>
        <v>216</v>
      </c>
      <c r="BB11" s="14" t="s">
        <v>25</v>
      </c>
      <c r="BC11" s="5"/>
    </row>
    <row r="12" spans="1:55" s="31" customFormat="1" ht="13.35" customHeight="1">
      <c r="A12" s="12">
        <v>6</v>
      </c>
      <c r="B12" s="42" t="s">
        <v>152</v>
      </c>
      <c r="C12" s="13">
        <v>47531176</v>
      </c>
      <c r="D12" s="13" t="s">
        <v>33</v>
      </c>
      <c r="E12" s="13" t="s">
        <v>80</v>
      </c>
      <c r="F12" s="17">
        <v>45474</v>
      </c>
      <c r="G12" s="21">
        <v>45870</v>
      </c>
      <c r="H12" s="13" t="s">
        <v>158</v>
      </c>
      <c r="I12" s="13" t="s">
        <v>28</v>
      </c>
      <c r="J12" s="25">
        <v>3000</v>
      </c>
      <c r="K12" s="13">
        <v>24</v>
      </c>
      <c r="L12" s="13">
        <v>7</v>
      </c>
      <c r="M12" s="13">
        <v>2</v>
      </c>
      <c r="N12" s="13">
        <v>0</v>
      </c>
      <c r="O12" s="13">
        <v>0</v>
      </c>
      <c r="P12" s="13"/>
      <c r="Q12" s="13">
        <f t="shared" si="0"/>
        <v>31</v>
      </c>
      <c r="R12" s="25">
        <v>3000</v>
      </c>
      <c r="S12" s="24">
        <v>140</v>
      </c>
      <c r="T12" s="24"/>
      <c r="U12" s="23">
        <v>0</v>
      </c>
      <c r="V12" s="23"/>
      <c r="W12" s="24">
        <f t="shared" si="2"/>
        <v>400</v>
      </c>
      <c r="X12" s="24">
        <f t="shared" si="3"/>
        <v>0</v>
      </c>
      <c r="Y12" s="23">
        <v>113</v>
      </c>
      <c r="Z12" s="23"/>
      <c r="AA12" s="23"/>
      <c r="AB12" s="23"/>
      <c r="AC12" s="23"/>
      <c r="AD12" s="23">
        <v>0</v>
      </c>
      <c r="AE12" s="23"/>
      <c r="AF12" s="48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3513</v>
      </c>
      <c r="AG12" s="14"/>
      <c r="AH12" s="27"/>
      <c r="AI12" s="27"/>
      <c r="AJ12" s="14"/>
      <c r="AK12" s="14"/>
      <c r="AL12" s="14" t="s">
        <v>9</v>
      </c>
      <c r="AM12" s="14" t="s">
        <v>68</v>
      </c>
      <c r="AN12" s="14" t="s">
        <v>153</v>
      </c>
      <c r="AO12" s="27">
        <f>Tabla210[[#This Row],[TOTAL REMUNERACIONES]]*10%</f>
        <v>351.3</v>
      </c>
      <c r="AP12" s="27">
        <v>0</v>
      </c>
      <c r="AQ12" s="27">
        <f>Tabla210[[#This Row],[TOTAL REMUNERACIONES]]*1.37%</f>
        <v>48.128100000000003</v>
      </c>
      <c r="AR12" s="14"/>
      <c r="AS12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3253.5718999999999</v>
      </c>
      <c r="AT12" s="14">
        <f t="shared" si="4"/>
        <v>316.17</v>
      </c>
      <c r="AU12" s="27">
        <f>Tabla210[[#This Row],[TOTAL REMUNERACIONES]]*2.5%</f>
        <v>87.825000000000003</v>
      </c>
      <c r="AV12" s="27">
        <f>Tabla210[[#This Row],[TOTAL REMUNERACIONES]]*6%</f>
        <v>210.78</v>
      </c>
      <c r="AW12" s="27">
        <f>Tabla210[[#This Row],[TOTAL REMUNERACIONES]]*1.5%</f>
        <v>52.695</v>
      </c>
      <c r="AX12" s="27">
        <f>Tabla210[[#This Row],[ESSALUD 9%]]+Tabla210[[#This Row],[EPS. SCTR.]]+Tabla210[[#This Row],[SCTR PENSIONES]]+Tabla210[[#This Row],[POLIZA DE SEGURO D LEG. 688]]</f>
        <v>667.47</v>
      </c>
      <c r="AY12" s="14"/>
      <c r="AZ12" s="14"/>
      <c r="BA12" s="14">
        <f>Tabla210[[#This Row],[DIAS LABORADOS]]*12</f>
        <v>288</v>
      </c>
      <c r="BB12" s="14" t="s">
        <v>43</v>
      </c>
      <c r="BC12" s="5"/>
    </row>
    <row r="13" spans="1:55" s="31" customFormat="1" ht="13.35" customHeight="1">
      <c r="A13" s="12">
        <v>7</v>
      </c>
      <c r="B13" s="42" t="s">
        <v>69</v>
      </c>
      <c r="C13" s="13">
        <v>70439761</v>
      </c>
      <c r="D13" s="13" t="s">
        <v>33</v>
      </c>
      <c r="E13" s="13" t="s">
        <v>142</v>
      </c>
      <c r="F13" s="17">
        <v>45421</v>
      </c>
      <c r="G13" s="21">
        <v>45870</v>
      </c>
      <c r="H13" s="13" t="s">
        <v>158</v>
      </c>
      <c r="I13" s="13" t="s">
        <v>28</v>
      </c>
      <c r="J13" s="25">
        <v>1130</v>
      </c>
      <c r="K13" s="13">
        <v>26</v>
      </c>
      <c r="L13" s="13">
        <v>5</v>
      </c>
      <c r="M13" s="13">
        <v>0</v>
      </c>
      <c r="N13" s="13">
        <v>0</v>
      </c>
      <c r="O13" s="13">
        <v>0</v>
      </c>
      <c r="P13" s="13"/>
      <c r="Q13" s="13">
        <f t="shared" si="0"/>
        <v>31</v>
      </c>
      <c r="R13" s="25">
        <f>Tabla210[[#This Row],[JORNAL]]</f>
        <v>1130</v>
      </c>
      <c r="S13" s="24"/>
      <c r="T13" s="24"/>
      <c r="U13" s="23">
        <v>0</v>
      </c>
      <c r="V13" s="23"/>
      <c r="W13" s="24">
        <f t="shared" si="2"/>
        <v>0</v>
      </c>
      <c r="X13" s="24">
        <f t="shared" si="3"/>
        <v>0</v>
      </c>
      <c r="Y13" s="23">
        <v>113</v>
      </c>
      <c r="Z13" s="23"/>
      <c r="AA13" s="23"/>
      <c r="AB13" s="23"/>
      <c r="AC13" s="23"/>
      <c r="AD13" s="23">
        <v>0</v>
      </c>
      <c r="AE13" s="23"/>
      <c r="AF13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1243</v>
      </c>
      <c r="AG13" s="14" t="s">
        <v>128</v>
      </c>
      <c r="AH13" s="27">
        <f>Tabla210[[#This Row],[TOTAL REMUNERACIONES]]*13%</f>
        <v>161.59</v>
      </c>
      <c r="AI13" s="27"/>
      <c r="AJ13" s="14"/>
      <c r="AK13" s="14"/>
      <c r="AL13" s="14"/>
      <c r="AM13" s="14"/>
      <c r="AN13" s="14"/>
      <c r="AO13" s="27"/>
      <c r="AP13" s="27"/>
      <c r="AQ13" s="27"/>
      <c r="AR13" s="14"/>
      <c r="AS13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1081.4100000000001</v>
      </c>
      <c r="AT13" s="27">
        <f t="shared" si="4"/>
        <v>111.87</v>
      </c>
      <c r="AU13" s="27">
        <f>Tabla210[[#This Row],[JORNAL]]*1.56%</f>
        <v>17.628</v>
      </c>
      <c r="AV13" s="27">
        <f>Tabla210[[#This Row],[JORNAL]]*1.2%</f>
        <v>13.56</v>
      </c>
      <c r="AW13" s="27">
        <f>Tabla210[[#This Row],[JORNAL]]*1.5%</f>
        <v>16.95</v>
      </c>
      <c r="AX13" s="27">
        <f>Tabla210[[#This Row],[ESSALUD 9%]]+Tabla210[[#This Row],[EPS. SCTR.]]+Tabla210[[#This Row],[SCTR PENSIONES]]+Tabla210[[#This Row],[POLIZA DE SEGURO D LEG. 688]]</f>
        <v>160.00799999999998</v>
      </c>
      <c r="AY13" s="14"/>
      <c r="AZ13" s="14"/>
      <c r="BA13" s="14">
        <f>Tabla210[[#This Row],[DIAS LABORADOS]]*8</f>
        <v>208</v>
      </c>
      <c r="BB13" s="14" t="s">
        <v>31</v>
      </c>
      <c r="BC13" s="5"/>
    </row>
    <row r="14" spans="1:55" s="31" customFormat="1" ht="12.75" customHeight="1">
      <c r="A14" s="12">
        <v>8</v>
      </c>
      <c r="B14" s="42" t="s">
        <v>35</v>
      </c>
      <c r="C14" s="13" t="s">
        <v>71</v>
      </c>
      <c r="D14" s="13" t="s">
        <v>33</v>
      </c>
      <c r="E14" s="13" t="s">
        <v>36</v>
      </c>
      <c r="F14" s="17">
        <v>45323</v>
      </c>
      <c r="G14" s="21">
        <v>45870</v>
      </c>
      <c r="H14" s="13" t="s">
        <v>158</v>
      </c>
      <c r="I14" s="13" t="s">
        <v>28</v>
      </c>
      <c r="J14" s="25">
        <v>8000</v>
      </c>
      <c r="K14" s="13">
        <v>26</v>
      </c>
      <c r="L14" s="13">
        <v>5</v>
      </c>
      <c r="M14" s="13">
        <v>0</v>
      </c>
      <c r="N14" s="13">
        <v>0</v>
      </c>
      <c r="O14" s="13">
        <v>0</v>
      </c>
      <c r="P14" s="13"/>
      <c r="Q14" s="13">
        <f t="shared" si="0"/>
        <v>31</v>
      </c>
      <c r="R14" s="25">
        <v>8000</v>
      </c>
      <c r="S14" s="24"/>
      <c r="T14" s="24"/>
      <c r="U14" s="23">
        <v>0</v>
      </c>
      <c r="V14" s="23"/>
      <c r="W14" s="24">
        <f t="shared" si="2"/>
        <v>0</v>
      </c>
      <c r="X14" s="24">
        <f t="shared" si="3"/>
        <v>0</v>
      </c>
      <c r="Y14" s="23">
        <v>113</v>
      </c>
      <c r="Z14" s="23"/>
      <c r="AA14" s="23"/>
      <c r="AB14" s="23"/>
      <c r="AC14" s="23"/>
      <c r="AD14" s="23">
        <v>0</v>
      </c>
      <c r="AE14" s="23"/>
      <c r="AF14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8113</v>
      </c>
      <c r="AG14" s="14"/>
      <c r="AH14" s="27"/>
      <c r="AI14" s="43">
        <v>754.46</v>
      </c>
      <c r="AJ14" s="14"/>
      <c r="AK14" s="14"/>
      <c r="AL14" s="14" t="s">
        <v>9</v>
      </c>
      <c r="AM14" s="14" t="s">
        <v>24</v>
      </c>
      <c r="AN14" s="14" t="s">
        <v>37</v>
      </c>
      <c r="AO14" s="27">
        <f>Tabla210[[#This Row],[TOTAL REMUNERACIONES]]*10%</f>
        <v>811.30000000000007</v>
      </c>
      <c r="AP14" s="27">
        <v>0</v>
      </c>
      <c r="AQ14" s="27">
        <f>Tabla210[[#This Row],[TOTAL REMUNERACIONES]]*1.37%</f>
        <v>111.1481</v>
      </c>
      <c r="AR14" s="14"/>
      <c r="AS14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6436.0918999999994</v>
      </c>
      <c r="AT14" s="27">
        <f t="shared" si="4"/>
        <v>730.17</v>
      </c>
      <c r="AU14" s="27">
        <f>Tabla210[[#This Row],[TOTAL REMUNERACIONES]]*2.5%</f>
        <v>202.82500000000002</v>
      </c>
      <c r="AV14" s="27">
        <f>Tabla210[[#This Row],[TOTAL REMUNERACIONES]]*6%</f>
        <v>486.78</v>
      </c>
      <c r="AW14" s="27">
        <f>Tabla210[[#This Row],[JORNAL]]*1.5%</f>
        <v>120</v>
      </c>
      <c r="AX14" s="27">
        <f>Tabla210[[#This Row],[ESSALUD 9%]]+Tabla210[[#This Row],[EPS. SCTR.]]+Tabla210[[#This Row],[SCTR PENSIONES]]+Tabla210[[#This Row],[POLIZA DE SEGURO D LEG. 688]]</f>
        <v>1539.7750000000001</v>
      </c>
      <c r="AY14" s="14"/>
      <c r="AZ14" s="14"/>
      <c r="BA14" s="14">
        <f>Tabla210[[#This Row],[DIAS LABORADOS]]*8</f>
        <v>208</v>
      </c>
      <c r="BB14" s="14" t="s">
        <v>31</v>
      </c>
      <c r="BC14" s="5"/>
    </row>
    <row r="15" spans="1:55" s="31" customFormat="1" ht="12.75" customHeight="1">
      <c r="A15" s="12">
        <v>9</v>
      </c>
      <c r="B15" s="42" t="s">
        <v>38</v>
      </c>
      <c r="C15" s="13">
        <v>72858894</v>
      </c>
      <c r="D15" s="13" t="s">
        <v>26</v>
      </c>
      <c r="E15" s="13" t="s">
        <v>27</v>
      </c>
      <c r="F15" s="17">
        <v>44774</v>
      </c>
      <c r="G15" s="21">
        <v>45870</v>
      </c>
      <c r="H15" s="13" t="s">
        <v>158</v>
      </c>
      <c r="I15" s="13" t="s">
        <v>28</v>
      </c>
      <c r="J15" s="25">
        <v>1800</v>
      </c>
      <c r="K15" s="13">
        <v>26</v>
      </c>
      <c r="L15" s="13">
        <v>5</v>
      </c>
      <c r="M15" s="13">
        <v>0</v>
      </c>
      <c r="N15" s="13">
        <v>0</v>
      </c>
      <c r="O15" s="13">
        <v>0</v>
      </c>
      <c r="P15" s="13"/>
      <c r="Q15" s="13">
        <f t="shared" si="0"/>
        <v>31</v>
      </c>
      <c r="R15" s="25">
        <f t="shared" si="1"/>
        <v>1860</v>
      </c>
      <c r="S15" s="24"/>
      <c r="T15" s="24"/>
      <c r="U15" s="23">
        <v>0</v>
      </c>
      <c r="V15" s="23"/>
      <c r="W15" s="24">
        <f t="shared" si="2"/>
        <v>0</v>
      </c>
      <c r="X15" s="24">
        <f t="shared" si="3"/>
        <v>0</v>
      </c>
      <c r="Y15" s="23"/>
      <c r="Z15" s="23"/>
      <c r="AA15" s="23"/>
      <c r="AB15" s="23"/>
      <c r="AC15" s="23"/>
      <c r="AD15" s="23">
        <v>0</v>
      </c>
      <c r="AE15" s="23"/>
      <c r="AF15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1860</v>
      </c>
      <c r="AG15" s="14" t="s">
        <v>128</v>
      </c>
      <c r="AH15" s="27">
        <f>Tabla210[[#This Row],[TOTAL REMUNERACIONES]]*13%</f>
        <v>241.8</v>
      </c>
      <c r="AI15" s="27"/>
      <c r="AJ15" s="14"/>
      <c r="AK15" s="14"/>
      <c r="AL15" s="14"/>
      <c r="AM15" s="14"/>
      <c r="AN15" s="14"/>
      <c r="AO15" s="27"/>
      <c r="AP15" s="27"/>
      <c r="AQ15" s="27"/>
      <c r="AR15" s="14"/>
      <c r="AS15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1618.2</v>
      </c>
      <c r="AT15" s="27">
        <f t="shared" si="4"/>
        <v>167.4</v>
      </c>
      <c r="AU15" s="27">
        <f>Tabla210[[#This Row],[JORNAL]]*1.56%</f>
        <v>28.080000000000002</v>
      </c>
      <c r="AV15" s="27">
        <f>Tabla210[[#This Row],[JORNAL]]*1.2%</f>
        <v>21.6</v>
      </c>
      <c r="AW15" s="27">
        <f>Tabla210[[#This Row],[JORNAL]]*1.5%</f>
        <v>27</v>
      </c>
      <c r="AX15" s="27">
        <f>Tabla210[[#This Row],[ESSALUD 9%]]+Tabla210[[#This Row],[EPS. SCTR.]]+Tabla210[[#This Row],[SCTR PENSIONES]]+Tabla210[[#This Row],[POLIZA DE SEGURO D LEG. 688]]</f>
        <v>244.08</v>
      </c>
      <c r="AY15" s="14"/>
      <c r="AZ15" s="14"/>
      <c r="BA15" s="14">
        <f>Tabla210[[#This Row],[DIAS LABORADOS]]*8</f>
        <v>208</v>
      </c>
      <c r="BB15" s="14" t="s">
        <v>31</v>
      </c>
      <c r="BC15" s="5"/>
    </row>
    <row r="16" spans="1:55" s="31" customFormat="1" ht="12.75" customHeight="1">
      <c r="A16" s="12">
        <v>10</v>
      </c>
      <c r="B16" s="42" t="s">
        <v>39</v>
      </c>
      <c r="C16" s="13" t="s">
        <v>40</v>
      </c>
      <c r="D16" s="13" t="s">
        <v>33</v>
      </c>
      <c r="E16" s="13" t="s">
        <v>143</v>
      </c>
      <c r="F16" s="17">
        <v>43191</v>
      </c>
      <c r="G16" s="21">
        <v>45870</v>
      </c>
      <c r="H16" s="13" t="s">
        <v>158</v>
      </c>
      <c r="I16" s="13" t="s">
        <v>28</v>
      </c>
      <c r="J16" s="25">
        <v>7000</v>
      </c>
      <c r="K16" s="13">
        <v>26</v>
      </c>
      <c r="L16" s="13">
        <v>5</v>
      </c>
      <c r="M16" s="13">
        <v>0</v>
      </c>
      <c r="N16" s="13">
        <v>0</v>
      </c>
      <c r="O16" s="13">
        <v>0</v>
      </c>
      <c r="P16" s="13"/>
      <c r="Q16" s="13">
        <f t="shared" si="0"/>
        <v>31</v>
      </c>
      <c r="R16" s="25">
        <v>7000</v>
      </c>
      <c r="S16" s="24"/>
      <c r="T16" s="24"/>
      <c r="U16" s="23">
        <v>0</v>
      </c>
      <c r="V16" s="23"/>
      <c r="W16" s="24">
        <f t="shared" si="2"/>
        <v>0</v>
      </c>
      <c r="X16" s="24">
        <f t="shared" si="3"/>
        <v>0</v>
      </c>
      <c r="Y16" s="23">
        <v>113</v>
      </c>
      <c r="Z16" s="23"/>
      <c r="AA16" s="23"/>
      <c r="AB16" s="23"/>
      <c r="AC16" s="23"/>
      <c r="AD16" s="23">
        <v>0</v>
      </c>
      <c r="AE16" s="23"/>
      <c r="AF16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7113</v>
      </c>
      <c r="AG16" s="14" t="s">
        <v>128</v>
      </c>
      <c r="AH16" s="27">
        <f>Tabla210[[#This Row],[TOTAL REMUNERACIONES]]*13%</f>
        <v>924.69</v>
      </c>
      <c r="AI16" s="43">
        <v>630.55999999999995</v>
      </c>
      <c r="AJ16" s="14"/>
      <c r="AK16" s="14"/>
      <c r="AL16" s="14"/>
      <c r="AM16" s="14"/>
      <c r="AN16" s="14"/>
      <c r="AO16" s="27"/>
      <c r="AP16" s="27"/>
      <c r="AQ16" s="27"/>
      <c r="AR16" s="14"/>
      <c r="AS16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5557.75</v>
      </c>
      <c r="AT16" s="27">
        <f t="shared" si="4"/>
        <v>640.16999999999996</v>
      </c>
      <c r="AU16" s="27">
        <f>Tabla210[[#This Row],[JORNAL]]*1.2%</f>
        <v>84</v>
      </c>
      <c r="AV16" s="27">
        <v>66.8</v>
      </c>
      <c r="AW16" s="27">
        <f>Tabla210[[#This Row],[JORNAL]]*1.5%</f>
        <v>105</v>
      </c>
      <c r="AX16" s="27">
        <f>Tabla210[[#This Row],[ESSALUD 9%]]+Tabla210[[#This Row],[EPS. SCTR.]]+Tabla210[[#This Row],[SCTR PENSIONES]]+Tabla210[[#This Row],[POLIZA DE SEGURO D LEG. 688]]</f>
        <v>895.96999999999991</v>
      </c>
      <c r="AY16" s="14"/>
      <c r="AZ16" s="14"/>
      <c r="BA16" s="14">
        <f>Tabla210[[#This Row],[DIAS LABORADOS]]*8</f>
        <v>208</v>
      </c>
      <c r="BB16" s="14" t="s">
        <v>127</v>
      </c>
      <c r="BC16" s="5"/>
    </row>
    <row r="17" spans="1:55" s="31" customFormat="1" ht="12.75" customHeight="1">
      <c r="A17" s="12">
        <v>11</v>
      </c>
      <c r="B17" s="42" t="s">
        <v>41</v>
      </c>
      <c r="C17" s="13">
        <v>71725951</v>
      </c>
      <c r="D17" s="13" t="s">
        <v>26</v>
      </c>
      <c r="E17" s="13" t="s">
        <v>42</v>
      </c>
      <c r="F17" s="17">
        <v>44942</v>
      </c>
      <c r="G17" s="21">
        <v>45870</v>
      </c>
      <c r="H17" s="13" t="s">
        <v>158</v>
      </c>
      <c r="I17" s="13" t="s">
        <v>28</v>
      </c>
      <c r="J17" s="25">
        <v>2350</v>
      </c>
      <c r="K17" s="13">
        <v>22</v>
      </c>
      <c r="L17" s="13">
        <v>6</v>
      </c>
      <c r="M17" s="13">
        <v>2</v>
      </c>
      <c r="N17" s="13">
        <v>3</v>
      </c>
      <c r="O17" s="13">
        <v>0</v>
      </c>
      <c r="P17" s="13"/>
      <c r="Q17" s="13">
        <f t="shared" si="0"/>
        <v>28</v>
      </c>
      <c r="R17" s="25">
        <f t="shared" si="1"/>
        <v>2193.333333333333</v>
      </c>
      <c r="S17" s="52">
        <v>120</v>
      </c>
      <c r="T17" s="24"/>
      <c r="U17" s="23">
        <v>0</v>
      </c>
      <c r="V17" s="23"/>
      <c r="W17" s="24">
        <f t="shared" si="2"/>
        <v>313.33333333333331</v>
      </c>
      <c r="X17" s="24">
        <f t="shared" si="3"/>
        <v>235</v>
      </c>
      <c r="Y17" s="23">
        <v>113</v>
      </c>
      <c r="Z17" s="23"/>
      <c r="AA17" s="23"/>
      <c r="AB17" s="23"/>
      <c r="AC17" s="23"/>
      <c r="AD17" s="23">
        <v>0</v>
      </c>
      <c r="AE17" s="23"/>
      <c r="AF17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2854.6666666666665</v>
      </c>
      <c r="AG17" s="14" t="s">
        <v>128</v>
      </c>
      <c r="AH17" s="27">
        <f>Tabla210[[#This Row],[TOTAL REMUNERACIONES]]*13%</f>
        <v>371.10666666666668</v>
      </c>
      <c r="AI17" s="27"/>
      <c r="AJ17" s="14"/>
      <c r="AK17" s="14"/>
      <c r="AL17" s="14"/>
      <c r="AM17" s="14"/>
      <c r="AN17" s="14"/>
      <c r="AO17" s="27"/>
      <c r="AP17" s="27"/>
      <c r="AQ17" s="27"/>
      <c r="AR17" s="14"/>
      <c r="AS17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2603.56</v>
      </c>
      <c r="AT17" s="14">
        <f t="shared" si="4"/>
        <v>256.92</v>
      </c>
      <c r="AU17" s="27">
        <f>Tabla210[[#This Row],[TOTAL REMUNERACIONES]]*2.5%</f>
        <v>71.36666666666666</v>
      </c>
      <c r="AV17" s="27">
        <f>Tabla210[[#This Row],[TOTAL REMUNERACIONES]]*6%</f>
        <v>171.27999999999997</v>
      </c>
      <c r="AW17" s="27">
        <f>Tabla210[[#This Row],[TOTAL REMUNERACIONES]]*1.5%</f>
        <v>42.819999999999993</v>
      </c>
      <c r="AX17" s="27">
        <f>Tabla210[[#This Row],[ESSALUD 9%]]+Tabla210[[#This Row],[EPS. SCTR.]]+Tabla210[[#This Row],[SCTR PENSIONES]]+Tabla210[[#This Row],[POLIZA DE SEGURO D LEG. 688]]</f>
        <v>542.38666666666666</v>
      </c>
      <c r="AY17" s="14"/>
      <c r="AZ17" s="14"/>
      <c r="BA17" s="14">
        <f>Tabla210[[#This Row],[DIAS LABORADOS]]*12</f>
        <v>264</v>
      </c>
      <c r="BB17" s="14" t="s">
        <v>43</v>
      </c>
      <c r="BC17" s="5"/>
    </row>
    <row r="18" spans="1:55" s="31" customFormat="1" ht="12.75" customHeight="1">
      <c r="A18" s="12">
        <v>12</v>
      </c>
      <c r="B18" s="42" t="s">
        <v>81</v>
      </c>
      <c r="C18" s="13">
        <v>45014143</v>
      </c>
      <c r="D18" s="13" t="s">
        <v>26</v>
      </c>
      <c r="E18" s="13" t="s">
        <v>42</v>
      </c>
      <c r="F18" s="17">
        <v>45572</v>
      </c>
      <c r="G18" s="21">
        <v>45870</v>
      </c>
      <c r="H18" s="13" t="s">
        <v>158</v>
      </c>
      <c r="I18" s="13" t="s">
        <v>28</v>
      </c>
      <c r="J18" s="25">
        <v>2350</v>
      </c>
      <c r="K18" s="13">
        <v>19</v>
      </c>
      <c r="L18" s="13">
        <v>12</v>
      </c>
      <c r="M18" s="13">
        <v>1</v>
      </c>
      <c r="N18" s="13">
        <v>0</v>
      </c>
      <c r="O18" s="13">
        <v>0</v>
      </c>
      <c r="P18" s="13"/>
      <c r="Q18" s="13">
        <f t="shared" si="0"/>
        <v>31</v>
      </c>
      <c r="R18" s="25">
        <f t="shared" si="1"/>
        <v>2428.333333333333</v>
      </c>
      <c r="S18" s="24">
        <v>360</v>
      </c>
      <c r="T18" s="24"/>
      <c r="U18" s="23">
        <v>0</v>
      </c>
      <c r="V18" s="23"/>
      <c r="W18" s="24">
        <f t="shared" si="2"/>
        <v>156.66666666666666</v>
      </c>
      <c r="X18" s="24">
        <f t="shared" si="3"/>
        <v>0</v>
      </c>
      <c r="Y18" s="23">
        <v>113</v>
      </c>
      <c r="Z18" s="23"/>
      <c r="AA18" s="23"/>
      <c r="AB18" s="23"/>
      <c r="AC18" s="23"/>
      <c r="AD18" s="23">
        <v>0</v>
      </c>
      <c r="AE18" s="23"/>
      <c r="AF18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2697.9999999999995</v>
      </c>
      <c r="AG18" s="14"/>
      <c r="AH18" s="27"/>
      <c r="AI18" s="27"/>
      <c r="AJ18" s="14"/>
      <c r="AK18" s="14"/>
      <c r="AL18" s="14" t="s">
        <v>9</v>
      </c>
      <c r="AM18" s="14" t="s">
        <v>30</v>
      </c>
      <c r="AN18" s="14" t="s">
        <v>82</v>
      </c>
      <c r="AO18" s="27">
        <f>Tabla210[[#This Row],[TOTAL REMUNERACIONES]]*10%</f>
        <v>269.79999999999995</v>
      </c>
      <c r="AP18" s="27">
        <v>0</v>
      </c>
      <c r="AQ18" s="27">
        <f>Tabla210[[#This Row],[TOTAL REMUNERACIONES]]*1.37%</f>
        <v>36.962599999999995</v>
      </c>
      <c r="AR18" s="14"/>
      <c r="AS18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2751.2374</v>
      </c>
      <c r="AT18" s="14">
        <f t="shared" si="4"/>
        <v>242.81999999999996</v>
      </c>
      <c r="AU18" s="27">
        <f>Tabla210[[#This Row],[TOTAL REMUNERACIONES]]*2.5%</f>
        <v>67.449999999999989</v>
      </c>
      <c r="AV18" s="27">
        <f>Tabla210[[#This Row],[TOTAL REMUNERACIONES]]*6%</f>
        <v>161.87999999999997</v>
      </c>
      <c r="AW18" s="27">
        <f>Tabla210[[#This Row],[TOTAL REMUNERACIONES]]*1.5%</f>
        <v>40.469999999999992</v>
      </c>
      <c r="AX18" s="27">
        <f>Tabla210[[#This Row],[ESSALUD 9%]]+Tabla210[[#This Row],[EPS. SCTR.]]+Tabla210[[#This Row],[SCTR PENSIONES]]+Tabla210[[#This Row],[POLIZA DE SEGURO D LEG. 688]]</f>
        <v>512.62</v>
      </c>
      <c r="AY18" s="14"/>
      <c r="AZ18" s="14"/>
      <c r="BA18" s="14">
        <f>Tabla210[[#This Row],[DIAS LABORADOS]]*12</f>
        <v>228</v>
      </c>
      <c r="BB18" s="14" t="s">
        <v>43</v>
      </c>
      <c r="BC18" s="5"/>
    </row>
    <row r="19" spans="1:55" s="31" customFormat="1" ht="12.75" customHeight="1">
      <c r="A19" s="12">
        <v>13</v>
      </c>
      <c r="B19" s="42" t="s">
        <v>120</v>
      </c>
      <c r="C19" s="13">
        <v>76136712</v>
      </c>
      <c r="D19" s="13" t="s">
        <v>33</v>
      </c>
      <c r="E19" s="13" t="s">
        <v>121</v>
      </c>
      <c r="F19" s="17">
        <v>45670</v>
      </c>
      <c r="G19" s="21">
        <v>45870</v>
      </c>
      <c r="H19" s="13" t="s">
        <v>158</v>
      </c>
      <c r="I19" s="13" t="s">
        <v>28</v>
      </c>
      <c r="J19" s="25">
        <v>1130</v>
      </c>
      <c r="K19" s="13">
        <v>26</v>
      </c>
      <c r="L19" s="13">
        <v>5</v>
      </c>
      <c r="M19" s="13">
        <v>0</v>
      </c>
      <c r="N19" s="13">
        <v>0</v>
      </c>
      <c r="O19" s="13">
        <v>0</v>
      </c>
      <c r="P19" s="13"/>
      <c r="Q19" s="13">
        <f t="shared" si="0"/>
        <v>31</v>
      </c>
      <c r="R19" s="25">
        <v>1130</v>
      </c>
      <c r="S19" s="24"/>
      <c r="T19" s="24">
        <v>0</v>
      </c>
      <c r="U19" s="23">
        <v>0</v>
      </c>
      <c r="V19" s="23"/>
      <c r="W19" s="24">
        <v>0</v>
      </c>
      <c r="X19" s="24">
        <f t="shared" si="3"/>
        <v>0</v>
      </c>
      <c r="Y19" s="23"/>
      <c r="Z19" s="23"/>
      <c r="AA19" s="23"/>
      <c r="AB19" s="23"/>
      <c r="AC19" s="23"/>
      <c r="AD19" s="23">
        <v>0</v>
      </c>
      <c r="AE19" s="23"/>
      <c r="AF19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1130</v>
      </c>
      <c r="AG19" s="14"/>
      <c r="AH19" s="27"/>
      <c r="AI19" s="27"/>
      <c r="AJ19" s="14"/>
      <c r="AK19" s="14"/>
      <c r="AL19" s="14" t="s">
        <v>9</v>
      </c>
      <c r="AM19" s="14" t="s">
        <v>24</v>
      </c>
      <c r="AN19" s="14" t="s">
        <v>122</v>
      </c>
      <c r="AO19" s="27">
        <f>Tabla210[[#This Row],[TOTAL REMUNERACIONES]]*10%</f>
        <v>113</v>
      </c>
      <c r="AP19" s="27">
        <v>0</v>
      </c>
      <c r="AQ19" s="27">
        <f>Tabla210[[#This Row],[TOTAL REMUNERACIONES]]*1.37%</f>
        <v>15.481</v>
      </c>
      <c r="AR19" s="14"/>
      <c r="AS19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1001.519</v>
      </c>
      <c r="AT19" s="27">
        <f t="shared" si="4"/>
        <v>101.7</v>
      </c>
      <c r="AU19" s="27">
        <f>Tabla210[[#This Row],[JORNAL]]*0.53%</f>
        <v>5.9889999999999999</v>
      </c>
      <c r="AV19" s="27">
        <f>Tabla210[[#This Row],[JORNAL]]*0.34%</f>
        <v>3.8420000000000001</v>
      </c>
      <c r="AW19" s="27">
        <f>Tabla210[[#This Row],[JORNAL]]*1.5%</f>
        <v>16.95</v>
      </c>
      <c r="AX19" s="27">
        <f>Tabla210[[#This Row],[ESSALUD 9%]]+Tabla210[[#This Row],[EPS. SCTR.]]+Tabla210[[#This Row],[SCTR PENSIONES]]+Tabla210[[#This Row],[POLIZA DE SEGURO D LEG. 688]]</f>
        <v>128.48099999999999</v>
      </c>
      <c r="AY19" s="14"/>
      <c r="AZ19" s="14"/>
      <c r="BA19" s="14">
        <f>Tabla210[[#This Row],[DIAS LABORADOS]]*8</f>
        <v>208</v>
      </c>
      <c r="BB19" s="14" t="s">
        <v>31</v>
      </c>
      <c r="BC19" s="5"/>
    </row>
    <row r="20" spans="1:55" s="31" customFormat="1" ht="13.35" customHeight="1">
      <c r="A20" s="12">
        <v>14</v>
      </c>
      <c r="B20" s="42" t="s">
        <v>44</v>
      </c>
      <c r="C20" s="13">
        <v>45138667</v>
      </c>
      <c r="D20" s="13" t="s">
        <v>26</v>
      </c>
      <c r="E20" s="13" t="s">
        <v>42</v>
      </c>
      <c r="F20" s="17">
        <v>44942</v>
      </c>
      <c r="G20" s="21">
        <v>45870</v>
      </c>
      <c r="H20" s="13" t="s">
        <v>158</v>
      </c>
      <c r="I20" s="13" t="s">
        <v>28</v>
      </c>
      <c r="J20" s="25">
        <v>2350</v>
      </c>
      <c r="K20" s="13">
        <v>20</v>
      </c>
      <c r="L20" s="13">
        <v>11</v>
      </c>
      <c r="M20" s="13">
        <v>2</v>
      </c>
      <c r="N20" s="13">
        <v>0</v>
      </c>
      <c r="O20" s="13">
        <v>0</v>
      </c>
      <c r="P20" s="13"/>
      <c r="Q20" s="13">
        <f t="shared" si="0"/>
        <v>31</v>
      </c>
      <c r="R20" s="25">
        <f t="shared" si="1"/>
        <v>2428.333333333333</v>
      </c>
      <c r="S20" s="24">
        <v>370</v>
      </c>
      <c r="T20" s="24"/>
      <c r="U20" s="23">
        <v>0</v>
      </c>
      <c r="V20" s="23"/>
      <c r="W20" s="24">
        <f t="shared" si="2"/>
        <v>313.33333333333331</v>
      </c>
      <c r="X20" s="24">
        <f t="shared" si="3"/>
        <v>0</v>
      </c>
      <c r="Y20" s="23">
        <v>113</v>
      </c>
      <c r="Z20" s="23"/>
      <c r="AA20" s="23"/>
      <c r="AB20" s="23"/>
      <c r="AC20" s="23"/>
      <c r="AD20" s="23">
        <v>0</v>
      </c>
      <c r="AE20" s="23"/>
      <c r="AF20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2854.6666666666665</v>
      </c>
      <c r="AG20" s="14" t="s">
        <v>128</v>
      </c>
      <c r="AH20" s="27">
        <f>Tabla210[[#This Row],[TOTAL REMUNERACIONES]]*13%</f>
        <v>371.10666666666668</v>
      </c>
      <c r="AI20" s="27"/>
      <c r="AJ20" s="14"/>
      <c r="AK20" s="14"/>
      <c r="AL20" s="14"/>
      <c r="AM20" s="14"/>
      <c r="AN20" s="14"/>
      <c r="AO20" s="27"/>
      <c r="AP20" s="27"/>
      <c r="AQ20" s="27"/>
      <c r="AR20" s="14"/>
      <c r="AS20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2853.56</v>
      </c>
      <c r="AT20" s="14">
        <f t="shared" si="4"/>
        <v>256.92</v>
      </c>
      <c r="AU20" s="27">
        <f>Tabla210[[#This Row],[TOTAL REMUNERACIONES]]*2.5%</f>
        <v>71.36666666666666</v>
      </c>
      <c r="AV20" s="27">
        <f>Tabla210[[#This Row],[TOTAL REMUNERACIONES]]*6%</f>
        <v>171.27999999999997</v>
      </c>
      <c r="AW20" s="27">
        <f>Tabla210[[#This Row],[TOTAL REMUNERACIONES]]*1.5%</f>
        <v>42.819999999999993</v>
      </c>
      <c r="AX20" s="27">
        <f>Tabla210[[#This Row],[ESSALUD 9%]]+Tabla210[[#This Row],[EPS. SCTR.]]+Tabla210[[#This Row],[SCTR PENSIONES]]+Tabla210[[#This Row],[POLIZA DE SEGURO D LEG. 688]]</f>
        <v>542.38666666666666</v>
      </c>
      <c r="AY20" s="14"/>
      <c r="AZ20" s="14"/>
      <c r="BA20" s="14">
        <f>Tabla210[[#This Row],[DIAS LABORADOS]]*12</f>
        <v>240</v>
      </c>
      <c r="BB20" s="14" t="s">
        <v>43</v>
      </c>
      <c r="BC20" s="5"/>
    </row>
    <row r="21" spans="1:55" s="31" customFormat="1" ht="12.75" customHeight="1">
      <c r="A21" s="12">
        <v>15</v>
      </c>
      <c r="B21" s="53" t="s">
        <v>83</v>
      </c>
      <c r="C21" s="13">
        <v>4205304</v>
      </c>
      <c r="D21" s="13" t="s">
        <v>26</v>
      </c>
      <c r="E21" s="13" t="s">
        <v>27</v>
      </c>
      <c r="F21" s="17">
        <v>45583</v>
      </c>
      <c r="G21" s="21">
        <v>45870</v>
      </c>
      <c r="H21" s="13" t="s">
        <v>158</v>
      </c>
      <c r="I21" s="13" t="s">
        <v>28</v>
      </c>
      <c r="J21" s="25">
        <v>1700</v>
      </c>
      <c r="K21" s="13">
        <v>18</v>
      </c>
      <c r="L21" s="13">
        <v>13</v>
      </c>
      <c r="M21" s="13">
        <v>1</v>
      </c>
      <c r="N21" s="13">
        <v>0</v>
      </c>
      <c r="O21" s="13">
        <v>0</v>
      </c>
      <c r="P21" s="13">
        <v>0</v>
      </c>
      <c r="Q21" s="13">
        <f t="shared" si="0"/>
        <v>31</v>
      </c>
      <c r="R21" s="25">
        <f t="shared" si="1"/>
        <v>1756.6666666666665</v>
      </c>
      <c r="S21" s="24"/>
      <c r="T21" s="24">
        <v>0</v>
      </c>
      <c r="U21" s="23">
        <v>0</v>
      </c>
      <c r="V21" s="23">
        <v>0</v>
      </c>
      <c r="W21" s="24">
        <f t="shared" si="2"/>
        <v>113.33333333333333</v>
      </c>
      <c r="X21" s="24">
        <f t="shared" si="3"/>
        <v>0</v>
      </c>
      <c r="Y21" s="23">
        <v>113</v>
      </c>
      <c r="Z21" s="23"/>
      <c r="AA21" s="23"/>
      <c r="AB21" s="23"/>
      <c r="AC21" s="23"/>
      <c r="AD21" s="23">
        <v>0</v>
      </c>
      <c r="AE21" s="23"/>
      <c r="AF21" s="43">
        <f>SUM(Tabla210[[#This Row],[BASICO]]+Tabla210[[#This Row],[Horas extras 25%]]+Tabla210[[#This Row],[Horas extras 35%]]+Tabla210[[#This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1982.9999999999998</v>
      </c>
      <c r="AG21" s="14"/>
      <c r="AH21" s="27"/>
      <c r="AI21" s="27"/>
      <c r="AJ21" s="14"/>
      <c r="AK21" s="14"/>
      <c r="AL21" s="14" t="s">
        <v>9</v>
      </c>
      <c r="AM21" s="14" t="s">
        <v>24</v>
      </c>
      <c r="AN21" s="14" t="s">
        <v>84</v>
      </c>
      <c r="AO21" s="27">
        <f>Tabla210[[#This Row],[TOTAL REMUNERACIONES]]*10%</f>
        <v>198.29999999999998</v>
      </c>
      <c r="AP21" s="27">
        <f>Tabla210[[#This Row],[TOTAL REMUNERACIONES]]*1.55%</f>
        <v>30.736499999999996</v>
      </c>
      <c r="AQ21" s="27">
        <f>Tabla210[[#This Row],[TOTAL REMUNERACIONES]]*1.37%</f>
        <v>27.167099999999998</v>
      </c>
      <c r="AR21" s="14"/>
      <c r="AS21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1726.7963999999999</v>
      </c>
      <c r="AT21" s="14">
        <f t="shared" si="4"/>
        <v>178.46999999999997</v>
      </c>
      <c r="AU21" s="23">
        <f>Tabla210[[#This Row],[JORNAL]]*0.53%</f>
        <v>9.01</v>
      </c>
      <c r="AV21" s="27">
        <f>Tabla210[[#This Row],[JORNAL]]*3.34%</f>
        <v>56.78</v>
      </c>
      <c r="AW21" s="27">
        <f>Tabla210[[#This Row],[JORNAL]]*0.71%</f>
        <v>12.069999999999999</v>
      </c>
      <c r="AX21" s="27">
        <f>Tabla210[[#This Row],[ESSALUD 9%]]+Tabla210[[#This Row],[EPS. SCTR.]]+Tabla210[[#This Row],[SCTR PENSIONES]]+Tabla210[[#This Row],[POLIZA DE SEGURO D LEG. 688]]</f>
        <v>256.33</v>
      </c>
      <c r="AY21" s="14"/>
      <c r="AZ21" s="14"/>
      <c r="BA21" s="14">
        <f>Tabla210[[#This Row],[DIAS LABORADOS]]*8</f>
        <v>144</v>
      </c>
      <c r="BB21" s="14" t="s">
        <v>25</v>
      </c>
      <c r="BC21" s="5"/>
    </row>
    <row r="22" spans="1:55" s="31" customFormat="1" ht="12.6" customHeight="1">
      <c r="A22" s="12">
        <v>16</v>
      </c>
      <c r="B22" s="42" t="s">
        <v>46</v>
      </c>
      <c r="C22" s="13">
        <v>71608186</v>
      </c>
      <c r="D22" s="13" t="s">
        <v>26</v>
      </c>
      <c r="E22" s="13" t="s">
        <v>27</v>
      </c>
      <c r="F22" s="17">
        <v>45097</v>
      </c>
      <c r="G22" s="21">
        <v>45870</v>
      </c>
      <c r="H22" s="13" t="s">
        <v>158</v>
      </c>
      <c r="I22" s="13" t="s">
        <v>28</v>
      </c>
      <c r="J22" s="25">
        <v>1800</v>
      </c>
      <c r="K22" s="13">
        <v>14</v>
      </c>
      <c r="L22" s="13">
        <v>7</v>
      </c>
      <c r="M22" s="13">
        <v>1</v>
      </c>
      <c r="N22" s="13">
        <v>10</v>
      </c>
      <c r="O22" s="13">
        <v>0</v>
      </c>
      <c r="P22" s="13"/>
      <c r="Q22" s="13">
        <f t="shared" si="0"/>
        <v>21</v>
      </c>
      <c r="R22" s="25">
        <f t="shared" si="1"/>
        <v>1260</v>
      </c>
      <c r="S22" s="52">
        <v>160</v>
      </c>
      <c r="T22" s="24"/>
      <c r="U22" s="23">
        <v>0</v>
      </c>
      <c r="V22" s="23"/>
      <c r="W22" s="24">
        <f t="shared" si="2"/>
        <v>120</v>
      </c>
      <c r="X22" s="24">
        <f t="shared" si="3"/>
        <v>600</v>
      </c>
      <c r="Y22" s="23"/>
      <c r="Z22" s="23"/>
      <c r="AA22" s="23"/>
      <c r="AB22" s="23"/>
      <c r="AC22" s="23"/>
      <c r="AD22" s="23">
        <v>0</v>
      </c>
      <c r="AE22" s="23"/>
      <c r="AF22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1980</v>
      </c>
      <c r="AG22" s="14"/>
      <c r="AH22" s="27"/>
      <c r="AI22" s="27"/>
      <c r="AJ22" s="14"/>
      <c r="AK22" s="14"/>
      <c r="AL22" s="14" t="s">
        <v>9</v>
      </c>
      <c r="AM22" s="14" t="s">
        <v>24</v>
      </c>
      <c r="AN22" s="14" t="s">
        <v>47</v>
      </c>
      <c r="AO22" s="27">
        <f>Tabla210[[#This Row],[TOTAL REMUNERACIONES]]*10%</f>
        <v>198</v>
      </c>
      <c r="AP22" s="27">
        <v>0</v>
      </c>
      <c r="AQ22" s="27">
        <f>Tabla210[[#This Row],[TOTAL REMUNERACIONES]]*1.37%</f>
        <v>27.126000000000001</v>
      </c>
      <c r="AR22" s="14"/>
      <c r="AS22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1914.874</v>
      </c>
      <c r="AT22" s="23">
        <f t="shared" si="4"/>
        <v>178.2</v>
      </c>
      <c r="AU22" s="27">
        <f>Tabla210[[#This Row],[TOTAL REMUNERACIONES]]*2.5%</f>
        <v>49.5</v>
      </c>
      <c r="AV22" s="27">
        <f>Tabla210[[#This Row],[TOTAL REMUNERACIONES]]*6%</f>
        <v>118.8</v>
      </c>
      <c r="AW22" s="27">
        <f>Tabla210[[#This Row],[TOTAL REMUNERACIONES]]*1.5%</f>
        <v>29.7</v>
      </c>
      <c r="AX22" s="27">
        <f>Tabla210[[#This Row],[ESSALUD 9%]]+Tabla210[[#This Row],[EPS. SCTR.]]+Tabla210[[#This Row],[SCTR PENSIONES]]+Tabla210[[#This Row],[POLIZA DE SEGURO D LEG. 688]]</f>
        <v>376.2</v>
      </c>
      <c r="AY22" s="14"/>
      <c r="AZ22" s="14"/>
      <c r="BA22" s="14">
        <f>Tabla210[[#This Row],[DIAS LABORADOS]]*12</f>
        <v>168</v>
      </c>
      <c r="BB22" s="14" t="s">
        <v>43</v>
      </c>
      <c r="BC22" s="5"/>
    </row>
    <row r="23" spans="1:55" s="32" customFormat="1" ht="12.75" customHeight="1">
      <c r="A23" s="12">
        <v>17</v>
      </c>
      <c r="B23" s="42" t="s">
        <v>48</v>
      </c>
      <c r="C23" s="13">
        <v>42066888</v>
      </c>
      <c r="D23" s="13" t="s">
        <v>26</v>
      </c>
      <c r="E23" s="13" t="s">
        <v>27</v>
      </c>
      <c r="F23" s="17">
        <v>45180</v>
      </c>
      <c r="G23" s="21">
        <v>45870</v>
      </c>
      <c r="H23" s="13" t="s">
        <v>158</v>
      </c>
      <c r="I23" s="13" t="s">
        <v>28</v>
      </c>
      <c r="J23" s="25">
        <v>1800</v>
      </c>
      <c r="K23" s="13">
        <v>24</v>
      </c>
      <c r="L23" s="13">
        <v>7</v>
      </c>
      <c r="M23" s="13">
        <v>2</v>
      </c>
      <c r="N23" s="13">
        <v>0</v>
      </c>
      <c r="O23" s="13">
        <v>0</v>
      </c>
      <c r="P23" s="13"/>
      <c r="Q23" s="13">
        <f t="shared" si="0"/>
        <v>31</v>
      </c>
      <c r="R23" s="25">
        <f t="shared" si="1"/>
        <v>1860</v>
      </c>
      <c r="S23" s="52">
        <v>120</v>
      </c>
      <c r="T23" s="24"/>
      <c r="U23" s="23">
        <v>0</v>
      </c>
      <c r="V23" s="23"/>
      <c r="W23" s="24">
        <f t="shared" si="2"/>
        <v>240</v>
      </c>
      <c r="X23" s="24">
        <f t="shared" si="3"/>
        <v>0</v>
      </c>
      <c r="Y23" s="23">
        <v>113</v>
      </c>
      <c r="Z23" s="23"/>
      <c r="AA23" s="23"/>
      <c r="AB23" s="23"/>
      <c r="AC23" s="23"/>
      <c r="AD23" s="23">
        <v>0</v>
      </c>
      <c r="AE23" s="23"/>
      <c r="AF23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2213</v>
      </c>
      <c r="AG23" s="14"/>
      <c r="AH23" s="27"/>
      <c r="AI23" s="27"/>
      <c r="AJ23" s="14"/>
      <c r="AK23" s="14"/>
      <c r="AL23" s="14" t="s">
        <v>9</v>
      </c>
      <c r="AM23" s="14" t="s">
        <v>49</v>
      </c>
      <c r="AN23" s="14" t="s">
        <v>50</v>
      </c>
      <c r="AO23" s="27">
        <f>Tabla210[[#This Row],[TOTAL REMUNERACIONES]]*10%</f>
        <v>221.3</v>
      </c>
      <c r="AP23" s="27">
        <v>0</v>
      </c>
      <c r="AQ23" s="27">
        <f>Tabla210[[#This Row],[TOTAL REMUNERACIONES]]*1.37%</f>
        <v>30.318100000000001</v>
      </c>
      <c r="AR23" s="14"/>
      <c r="AS23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2081.3819000000003</v>
      </c>
      <c r="AT23" s="14">
        <f t="shared" si="4"/>
        <v>199.17</v>
      </c>
      <c r="AU23" s="27">
        <f>Tabla210[[#This Row],[TOTAL REMUNERACIONES]]*2.5%</f>
        <v>55.325000000000003</v>
      </c>
      <c r="AV23" s="27">
        <f>Tabla210[[#This Row],[TOTAL REMUNERACIONES]]*6%</f>
        <v>132.78</v>
      </c>
      <c r="AW23" s="27">
        <f>Tabla210[[#This Row],[TOTAL REMUNERACIONES]]*1.5%</f>
        <v>33.195</v>
      </c>
      <c r="AX23" s="27">
        <f>Tabla210[[#This Row],[ESSALUD 9%]]+Tabla210[[#This Row],[EPS. SCTR.]]+Tabla210[[#This Row],[SCTR PENSIONES]]+Tabla210[[#This Row],[POLIZA DE SEGURO D LEG. 688]]</f>
        <v>420.46999999999997</v>
      </c>
      <c r="AY23" s="14"/>
      <c r="AZ23" s="14"/>
      <c r="BA23" s="14">
        <f>Tabla210[[#This Row],[DIAS LABORADOS]]*12</f>
        <v>288</v>
      </c>
      <c r="BB23" s="14" t="s">
        <v>43</v>
      </c>
      <c r="BC23" s="5"/>
    </row>
    <row r="24" spans="1:55" s="32" customFormat="1" ht="12.75" customHeight="1">
      <c r="A24" s="12">
        <v>18</v>
      </c>
      <c r="B24" s="42" t="s">
        <v>51</v>
      </c>
      <c r="C24" s="13">
        <v>42746343</v>
      </c>
      <c r="D24" s="13" t="s">
        <v>26</v>
      </c>
      <c r="E24" s="13" t="s">
        <v>29</v>
      </c>
      <c r="F24" s="17">
        <v>44935</v>
      </c>
      <c r="G24" s="21">
        <v>45870</v>
      </c>
      <c r="H24" s="13" t="s">
        <v>158</v>
      </c>
      <c r="I24" s="13" t="s">
        <v>28</v>
      </c>
      <c r="J24" s="25">
        <v>2500</v>
      </c>
      <c r="K24" s="13">
        <v>13</v>
      </c>
      <c r="L24" s="13">
        <v>4</v>
      </c>
      <c r="M24" s="13">
        <v>1</v>
      </c>
      <c r="N24" s="13">
        <v>14</v>
      </c>
      <c r="O24" s="13">
        <v>0</v>
      </c>
      <c r="P24" s="13"/>
      <c r="Q24" s="13">
        <f t="shared" si="0"/>
        <v>17</v>
      </c>
      <c r="R24" s="25">
        <f t="shared" si="1"/>
        <v>1416.6666666666665</v>
      </c>
      <c r="S24" s="24"/>
      <c r="T24" s="46"/>
      <c r="U24" s="23">
        <v>0</v>
      </c>
      <c r="V24" s="23"/>
      <c r="W24" s="24">
        <f t="shared" si="2"/>
        <v>166.66666666666666</v>
      </c>
      <c r="X24" s="24">
        <f t="shared" si="3"/>
        <v>1166.6666666666665</v>
      </c>
      <c r="Y24" s="23">
        <v>113</v>
      </c>
      <c r="Z24" s="23"/>
      <c r="AA24" s="23"/>
      <c r="AB24" s="23"/>
      <c r="AC24" s="23"/>
      <c r="AD24" s="23">
        <v>0</v>
      </c>
      <c r="AE24" s="23"/>
      <c r="AF24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2863</v>
      </c>
      <c r="AG24" s="14"/>
      <c r="AH24" s="27"/>
      <c r="AI24" s="27"/>
      <c r="AJ24" s="14"/>
      <c r="AK24" s="14"/>
      <c r="AL24" s="14" t="s">
        <v>9</v>
      </c>
      <c r="AM24" s="14" t="s">
        <v>30</v>
      </c>
      <c r="AN24" s="14" t="s">
        <v>53</v>
      </c>
      <c r="AO24" s="27">
        <f>Tabla210[[#This Row],[TOTAL REMUNERACIONES]]*10%</f>
        <v>286.3</v>
      </c>
      <c r="AP24" s="27">
        <v>0</v>
      </c>
      <c r="AQ24" s="27">
        <f>Tabla210[[#This Row],[TOTAL REMUNERACIONES]]*1.37%</f>
        <v>39.223100000000002</v>
      </c>
      <c r="AR24" s="14"/>
      <c r="AS24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2537.4768999999997</v>
      </c>
      <c r="AT24" s="14">
        <f t="shared" si="4"/>
        <v>257.67</v>
      </c>
      <c r="AU24" s="27">
        <f>Tabla210[[#This Row],[TOTAL REMUNERACIONES]]*2.5%</f>
        <v>71.575000000000003</v>
      </c>
      <c r="AV24" s="27">
        <f>Tabla210[[#This Row],[TOTAL REMUNERACIONES]]*6%</f>
        <v>171.78</v>
      </c>
      <c r="AW24" s="27">
        <f>Tabla210[[#This Row],[TOTAL REMUNERACIONES]]*1.5%</f>
        <v>42.945</v>
      </c>
      <c r="AX24" s="27">
        <f>Tabla210[[#This Row],[ESSALUD 9%]]+Tabla210[[#This Row],[EPS. SCTR.]]+Tabla210[[#This Row],[SCTR PENSIONES]]+Tabla210[[#This Row],[POLIZA DE SEGURO D LEG. 688]]</f>
        <v>543.97</v>
      </c>
      <c r="AY24" s="14"/>
      <c r="AZ24" s="14"/>
      <c r="BA24" s="14">
        <f>Tabla210[[#This Row],[DIAS LABORADOS]]*12</f>
        <v>156</v>
      </c>
      <c r="BB24" s="14" t="s">
        <v>43</v>
      </c>
      <c r="BC24" s="5"/>
    </row>
    <row r="25" spans="1:55" s="32" customFormat="1" ht="13.8">
      <c r="A25" s="12">
        <v>19</v>
      </c>
      <c r="B25" s="53" t="s">
        <v>54</v>
      </c>
      <c r="C25" s="13">
        <v>77037388</v>
      </c>
      <c r="D25" s="13" t="s">
        <v>26</v>
      </c>
      <c r="E25" s="13" t="s">
        <v>45</v>
      </c>
      <c r="F25" s="17">
        <v>43221</v>
      </c>
      <c r="G25" s="21">
        <v>45870</v>
      </c>
      <c r="H25" s="13" t="s">
        <v>158</v>
      </c>
      <c r="I25" s="13" t="s">
        <v>28</v>
      </c>
      <c r="J25" s="25">
        <v>1700</v>
      </c>
      <c r="K25" s="13">
        <v>11</v>
      </c>
      <c r="L25" s="13">
        <v>0</v>
      </c>
      <c r="M25" s="13">
        <v>1</v>
      </c>
      <c r="N25" s="13">
        <v>20</v>
      </c>
      <c r="O25" s="13">
        <v>0</v>
      </c>
      <c r="P25" s="13">
        <v>0</v>
      </c>
      <c r="Q25" s="13">
        <f t="shared" si="0"/>
        <v>11</v>
      </c>
      <c r="R25" s="25">
        <f t="shared" si="1"/>
        <v>623.33333333333326</v>
      </c>
      <c r="S25" s="24">
        <v>230</v>
      </c>
      <c r="T25" s="24">
        <v>0</v>
      </c>
      <c r="U25" s="23">
        <v>0</v>
      </c>
      <c r="V25" s="23">
        <v>0</v>
      </c>
      <c r="W25" s="24">
        <f t="shared" si="2"/>
        <v>113.33333333333333</v>
      </c>
      <c r="X25" s="24">
        <f t="shared" si="3"/>
        <v>1133.3333333333333</v>
      </c>
      <c r="Y25" s="23">
        <v>113</v>
      </c>
      <c r="Z25" s="23"/>
      <c r="AA25" s="23"/>
      <c r="AB25" s="23"/>
      <c r="AC25" s="23"/>
      <c r="AD25" s="23">
        <v>0</v>
      </c>
      <c r="AE25" s="23"/>
      <c r="AF25" s="27">
        <f>SUM(Tabla210[[#This Row],[BASICO]]+Tabla210[[#This Row],[Horas extras 25%]]+Tabla210[[#This Row],[Horas extras 35%]]+Tabla210[[#This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1983</v>
      </c>
      <c r="AG25" s="14" t="s">
        <v>128</v>
      </c>
      <c r="AH25" s="27">
        <f>Tabla210[[#This Row],[TOTAL REMUNERACIONES]]*13%</f>
        <v>257.79000000000002</v>
      </c>
      <c r="AI25" s="27"/>
      <c r="AJ25" s="14"/>
      <c r="AK25" s="14"/>
      <c r="AL25" s="14"/>
      <c r="AM25" s="14"/>
      <c r="AN25" s="14"/>
      <c r="AO25" s="27"/>
      <c r="AP25" s="27"/>
      <c r="AQ25" s="27"/>
      <c r="AR25" s="14"/>
      <c r="AS25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1955.21</v>
      </c>
      <c r="AT25" s="14">
        <f t="shared" si="4"/>
        <v>178.47</v>
      </c>
      <c r="AU25" s="23">
        <f>Tabla210[[#This Row],[JORNAL]]*0.53%</f>
        <v>9.01</v>
      </c>
      <c r="AV25" s="27">
        <f>Tabla210[[#This Row],[JORNAL]]*3.34%</f>
        <v>56.78</v>
      </c>
      <c r="AW25" s="27">
        <f>Tabla210[[#This Row],[JORNAL]]*0.71%</f>
        <v>12.069999999999999</v>
      </c>
      <c r="AX25" s="27">
        <f>Tabla210[[#This Row],[ESSALUD 9%]]+Tabla210[[#This Row],[EPS. SCTR.]]+Tabla210[[#This Row],[SCTR PENSIONES]]+Tabla210[[#This Row],[POLIZA DE SEGURO D LEG. 688]]</f>
        <v>256.33</v>
      </c>
      <c r="AY25" s="14"/>
      <c r="AZ25" s="14"/>
      <c r="BA25" s="14">
        <f>Tabla210[[#This Row],[DIAS LABORADOS]]*8</f>
        <v>88</v>
      </c>
      <c r="BB25" s="14" t="s">
        <v>25</v>
      </c>
      <c r="BC25" s="5"/>
    </row>
    <row r="26" spans="1:55" s="32" customFormat="1" ht="12.75" customHeight="1">
      <c r="A26" s="12">
        <v>20</v>
      </c>
      <c r="B26" s="42" t="s">
        <v>55</v>
      </c>
      <c r="C26" s="13" t="s">
        <v>72</v>
      </c>
      <c r="D26" s="13" t="s">
        <v>26</v>
      </c>
      <c r="E26" s="13" t="s">
        <v>27</v>
      </c>
      <c r="F26" s="17">
        <v>44921</v>
      </c>
      <c r="G26" s="21">
        <v>45870</v>
      </c>
      <c r="H26" s="13" t="s">
        <v>158</v>
      </c>
      <c r="I26" s="13" t="s">
        <v>28</v>
      </c>
      <c r="J26" s="25">
        <v>1800</v>
      </c>
      <c r="K26" s="13">
        <v>24</v>
      </c>
      <c r="L26" s="13">
        <v>7</v>
      </c>
      <c r="M26" s="13">
        <v>2</v>
      </c>
      <c r="N26" s="13">
        <v>0</v>
      </c>
      <c r="O26" s="13">
        <v>0</v>
      </c>
      <c r="P26" s="13"/>
      <c r="Q26" s="13">
        <f t="shared" si="0"/>
        <v>31</v>
      </c>
      <c r="R26" s="25">
        <f t="shared" si="1"/>
        <v>1860</v>
      </c>
      <c r="S26" s="24"/>
      <c r="T26" s="24"/>
      <c r="U26" s="23">
        <v>0</v>
      </c>
      <c r="V26" s="23"/>
      <c r="W26" s="24">
        <f t="shared" si="2"/>
        <v>240</v>
      </c>
      <c r="X26" s="24">
        <f t="shared" si="3"/>
        <v>0</v>
      </c>
      <c r="Y26" s="23">
        <v>113</v>
      </c>
      <c r="Z26" s="23"/>
      <c r="AA26" s="23"/>
      <c r="AB26" s="23"/>
      <c r="AC26" s="23"/>
      <c r="AD26" s="23">
        <v>0</v>
      </c>
      <c r="AE26" s="23"/>
      <c r="AF26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2213</v>
      </c>
      <c r="AG26" s="14"/>
      <c r="AH26" s="27"/>
      <c r="AI26" s="27"/>
      <c r="AJ26" s="14"/>
      <c r="AK26" s="14"/>
      <c r="AL26" s="14" t="s">
        <v>9</v>
      </c>
      <c r="AM26" s="14" t="s">
        <v>24</v>
      </c>
      <c r="AN26" s="14" t="s">
        <v>56</v>
      </c>
      <c r="AO26" s="27">
        <f>Tabla210[[#This Row],[TOTAL REMUNERACIONES]]*10%</f>
        <v>221.3</v>
      </c>
      <c r="AP26" s="27">
        <v>0</v>
      </c>
      <c r="AQ26" s="27">
        <f>Tabla210[[#This Row],[TOTAL REMUNERACIONES]]*1.37%</f>
        <v>30.318100000000001</v>
      </c>
      <c r="AR26" s="14"/>
      <c r="AS26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1961.3819000000001</v>
      </c>
      <c r="AT26" s="14">
        <f t="shared" si="4"/>
        <v>199.17</v>
      </c>
      <c r="AU26" s="27">
        <f>Tabla210[[#This Row],[TOTAL REMUNERACIONES]]*2.5%</f>
        <v>55.325000000000003</v>
      </c>
      <c r="AV26" s="27">
        <f>Tabla210[[#This Row],[TOTAL REMUNERACIONES]]*6%</f>
        <v>132.78</v>
      </c>
      <c r="AW26" s="27">
        <f>Tabla210[[#This Row],[TOTAL REMUNERACIONES]]*1.5%</f>
        <v>33.195</v>
      </c>
      <c r="AX26" s="27">
        <f>Tabla210[[#This Row],[ESSALUD 9%]]+Tabla210[[#This Row],[EPS. SCTR.]]+Tabla210[[#This Row],[SCTR PENSIONES]]+Tabla210[[#This Row],[POLIZA DE SEGURO D LEG. 688]]</f>
        <v>420.46999999999997</v>
      </c>
      <c r="AY26" s="14"/>
      <c r="AZ26" s="14"/>
      <c r="BA26" s="14">
        <f>Tabla210[[#This Row],[DIAS LABORADOS]]*12</f>
        <v>288</v>
      </c>
      <c r="BB26" s="14" t="s">
        <v>43</v>
      </c>
      <c r="BC26" s="5"/>
    </row>
    <row r="27" spans="1:55" s="32" customFormat="1" ht="12.75" customHeight="1">
      <c r="A27" s="12">
        <v>21</v>
      </c>
      <c r="B27" s="42" t="s">
        <v>57</v>
      </c>
      <c r="C27" s="13">
        <v>46782811</v>
      </c>
      <c r="D27" s="13" t="s">
        <v>26</v>
      </c>
      <c r="E27" s="13" t="s">
        <v>29</v>
      </c>
      <c r="F27" s="17">
        <v>44929</v>
      </c>
      <c r="G27" s="21">
        <v>45870</v>
      </c>
      <c r="H27" s="13" t="s">
        <v>158</v>
      </c>
      <c r="I27" s="13" t="s">
        <v>28</v>
      </c>
      <c r="J27" s="25">
        <v>3000</v>
      </c>
      <c r="K27" s="13">
        <v>26</v>
      </c>
      <c r="L27" s="13">
        <v>5</v>
      </c>
      <c r="M27" s="13">
        <v>1</v>
      </c>
      <c r="N27" s="13">
        <v>0</v>
      </c>
      <c r="O27" s="13">
        <v>0</v>
      </c>
      <c r="P27" s="13"/>
      <c r="Q27" s="13">
        <f t="shared" si="0"/>
        <v>31</v>
      </c>
      <c r="R27" s="25">
        <f t="shared" si="1"/>
        <v>3100</v>
      </c>
      <c r="S27" s="24">
        <v>0</v>
      </c>
      <c r="T27" s="24"/>
      <c r="U27" s="23">
        <v>0</v>
      </c>
      <c r="V27" s="23"/>
      <c r="W27" s="24">
        <f>J27/30*M27*2</f>
        <v>200</v>
      </c>
      <c r="X27" s="24">
        <f t="shared" si="3"/>
        <v>0</v>
      </c>
      <c r="Y27" s="23">
        <v>113</v>
      </c>
      <c r="Z27" s="23"/>
      <c r="AA27" s="23"/>
      <c r="AB27" s="23"/>
      <c r="AC27" s="23"/>
      <c r="AD27" s="23">
        <v>0</v>
      </c>
      <c r="AE27" s="23"/>
      <c r="AF27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3413</v>
      </c>
      <c r="AG27" s="14" t="s">
        <v>128</v>
      </c>
      <c r="AH27" s="27">
        <f>Tabla210[[#This Row],[TOTAL REMUNERACIONES]]*13%</f>
        <v>443.69</v>
      </c>
      <c r="AI27" s="43">
        <v>51.28</v>
      </c>
      <c r="AJ27" s="14"/>
      <c r="AK27" s="14"/>
      <c r="AL27" s="14"/>
      <c r="AM27" s="14"/>
      <c r="AN27" s="14"/>
      <c r="AO27" s="27"/>
      <c r="AP27" s="27"/>
      <c r="AQ27" s="27"/>
      <c r="AR27" s="14"/>
      <c r="AS27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2918.0299999999997</v>
      </c>
      <c r="AT27" s="27">
        <f t="shared" si="4"/>
        <v>307.17</v>
      </c>
      <c r="AU27" s="27">
        <f>Tabla210[[#This Row],[JORNAL]]*1.2%</f>
        <v>36</v>
      </c>
      <c r="AV27" s="27">
        <v>66.8</v>
      </c>
      <c r="AW27" s="27">
        <f>Tabla210[[#This Row],[JORNAL]]*1.5%</f>
        <v>45</v>
      </c>
      <c r="AX27" s="27">
        <f>Tabla210[[#This Row],[ESSALUD 9%]]+Tabla210[[#This Row],[EPS. SCTR.]]+Tabla210[[#This Row],[SCTR PENSIONES]]+Tabla210[[#This Row],[POLIZA DE SEGURO D LEG. 688]]</f>
        <v>454.97</v>
      </c>
      <c r="AY27" s="14"/>
      <c r="AZ27" s="14"/>
      <c r="BA27" s="14">
        <f>Tabla210[[#This Row],[DIAS LABORADOS]]*8</f>
        <v>208</v>
      </c>
      <c r="BB27" s="14" t="s">
        <v>127</v>
      </c>
      <c r="BC27" s="5"/>
    </row>
    <row r="28" spans="1:55" s="32" customFormat="1" ht="12.75" customHeight="1">
      <c r="A28" s="12">
        <v>22</v>
      </c>
      <c r="B28" s="53" t="s">
        <v>58</v>
      </c>
      <c r="C28" s="13">
        <v>71775875</v>
      </c>
      <c r="D28" s="13" t="s">
        <v>26</v>
      </c>
      <c r="E28" s="13" t="s">
        <v>45</v>
      </c>
      <c r="F28" s="17">
        <v>43191</v>
      </c>
      <c r="G28" s="21">
        <v>45870</v>
      </c>
      <c r="H28" s="13" t="s">
        <v>158</v>
      </c>
      <c r="I28" s="13" t="s">
        <v>28</v>
      </c>
      <c r="J28" s="25">
        <v>1700</v>
      </c>
      <c r="K28" s="13">
        <v>24</v>
      </c>
      <c r="L28" s="13">
        <v>7</v>
      </c>
      <c r="M28" s="13">
        <v>2</v>
      </c>
      <c r="N28" s="13">
        <v>0</v>
      </c>
      <c r="O28" s="13">
        <v>0</v>
      </c>
      <c r="P28" s="13">
        <v>0</v>
      </c>
      <c r="Q28" s="13">
        <f t="shared" si="0"/>
        <v>31</v>
      </c>
      <c r="R28" s="25">
        <f t="shared" si="1"/>
        <v>1756.6666666666665</v>
      </c>
      <c r="S28" s="24">
        <v>230</v>
      </c>
      <c r="T28" s="24">
        <v>0</v>
      </c>
      <c r="U28" s="23">
        <v>0</v>
      </c>
      <c r="V28" s="23">
        <v>0</v>
      </c>
      <c r="W28" s="24">
        <f t="shared" ref="W28:W49" si="5">J28/30*M28*2</f>
        <v>226.66666666666666</v>
      </c>
      <c r="X28" s="24">
        <f t="shared" si="3"/>
        <v>0</v>
      </c>
      <c r="Y28" s="23"/>
      <c r="Z28" s="23"/>
      <c r="AA28" s="23"/>
      <c r="AB28" s="23"/>
      <c r="AC28" s="23"/>
      <c r="AD28" s="23">
        <v>0</v>
      </c>
      <c r="AE28" s="23"/>
      <c r="AF28" s="27">
        <f>SUM(Tabla210[[#This Row],[BASICO]]+Tabla210[[#This Row],[Horas extras 25%]]+Tabla210[[#This Row],[Horas extras 35%]]+Tabla210[[#This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1983.3333333333333</v>
      </c>
      <c r="AG28" s="14" t="s">
        <v>128</v>
      </c>
      <c r="AH28" s="27">
        <f>Tabla210[[#This Row],[TOTAL REMUNERACIONES]]*13%</f>
        <v>257.83333333333331</v>
      </c>
      <c r="AI28" s="27"/>
      <c r="AJ28" s="14"/>
      <c r="AK28" s="14"/>
      <c r="AL28" s="14"/>
      <c r="AM28" s="14"/>
      <c r="AN28" s="14"/>
      <c r="AO28" s="27"/>
      <c r="AP28" s="27"/>
      <c r="AQ28" s="27"/>
      <c r="AR28" s="14"/>
      <c r="AS28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1955.5</v>
      </c>
      <c r="AT28" s="14">
        <f t="shared" si="4"/>
        <v>178.5</v>
      </c>
      <c r="AU28" s="23">
        <f>Tabla210[[#This Row],[JORNAL]]*0.53%</f>
        <v>9.01</v>
      </c>
      <c r="AV28" s="27">
        <f>Tabla210[[#This Row],[JORNAL]]*3.34%</f>
        <v>56.78</v>
      </c>
      <c r="AW28" s="27">
        <f>Tabla210[[#This Row],[JORNAL]]*0.71%</f>
        <v>12.069999999999999</v>
      </c>
      <c r="AX28" s="27">
        <f>Tabla210[[#This Row],[ESSALUD 9%]]+Tabla210[[#This Row],[EPS. SCTR.]]+Tabla210[[#This Row],[SCTR PENSIONES]]+Tabla210[[#This Row],[POLIZA DE SEGURO D LEG. 688]]</f>
        <v>256.36</v>
      </c>
      <c r="AY28" s="14"/>
      <c r="AZ28" s="14"/>
      <c r="BA28" s="14">
        <f>Tabla210[[#This Row],[DIAS LABORADOS]]*8</f>
        <v>192</v>
      </c>
      <c r="BB28" s="14" t="s">
        <v>25</v>
      </c>
      <c r="BC28" s="5"/>
    </row>
    <row r="29" spans="1:55" s="32" customFormat="1" ht="12.75" customHeight="1">
      <c r="A29" s="12">
        <v>23</v>
      </c>
      <c r="B29" s="42" t="s">
        <v>59</v>
      </c>
      <c r="C29" s="13">
        <v>72161365</v>
      </c>
      <c r="D29" s="13" t="s">
        <v>26</v>
      </c>
      <c r="E29" s="13" t="s">
        <v>42</v>
      </c>
      <c r="F29" s="17">
        <v>44921</v>
      </c>
      <c r="G29" s="21">
        <v>45870</v>
      </c>
      <c r="H29" s="13" t="s">
        <v>158</v>
      </c>
      <c r="I29" s="13" t="s">
        <v>28</v>
      </c>
      <c r="J29" s="25">
        <v>2350</v>
      </c>
      <c r="K29" s="13">
        <v>18</v>
      </c>
      <c r="L29" s="13">
        <v>13</v>
      </c>
      <c r="M29" s="13">
        <v>0</v>
      </c>
      <c r="N29" s="13">
        <v>0</v>
      </c>
      <c r="O29" s="13">
        <v>0</v>
      </c>
      <c r="P29" s="13"/>
      <c r="Q29" s="13">
        <f t="shared" si="0"/>
        <v>31</v>
      </c>
      <c r="R29" s="25">
        <f t="shared" si="1"/>
        <v>2428.333333333333</v>
      </c>
      <c r="S29" s="24"/>
      <c r="T29" s="24"/>
      <c r="U29" s="23">
        <v>0</v>
      </c>
      <c r="V29" s="23"/>
      <c r="W29" s="24">
        <f t="shared" si="5"/>
        <v>0</v>
      </c>
      <c r="X29" s="24">
        <f t="shared" si="3"/>
        <v>0</v>
      </c>
      <c r="Y29" s="23">
        <v>113</v>
      </c>
      <c r="Z29" s="23"/>
      <c r="AA29" s="23"/>
      <c r="AB29" s="23"/>
      <c r="AC29" s="23"/>
      <c r="AD29" s="23">
        <v>0</v>
      </c>
      <c r="AE29" s="23"/>
      <c r="AF29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2541.333333333333</v>
      </c>
      <c r="AG29" s="14" t="s">
        <v>128</v>
      </c>
      <c r="AH29" s="27">
        <f>Tabla210[[#This Row],[TOTAL REMUNERACIONES]]*13%</f>
        <v>330.37333333333328</v>
      </c>
      <c r="AI29" s="27"/>
      <c r="AJ29" s="14"/>
      <c r="AK29" s="14"/>
      <c r="AL29" s="14"/>
      <c r="AM29" s="14"/>
      <c r="AN29" s="14"/>
      <c r="AO29" s="27"/>
      <c r="AP29" s="27"/>
      <c r="AQ29" s="27"/>
      <c r="AR29" s="14"/>
      <c r="AS29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2210.9599999999996</v>
      </c>
      <c r="AT29" s="14">
        <f t="shared" si="4"/>
        <v>228.71999999999997</v>
      </c>
      <c r="AU29" s="27">
        <f>Tabla210[[#This Row],[TOTAL REMUNERACIONES]]*2.5%</f>
        <v>63.533333333333331</v>
      </c>
      <c r="AV29" s="27">
        <f>Tabla210[[#This Row],[TOTAL REMUNERACIONES]]*6%</f>
        <v>152.47999999999999</v>
      </c>
      <c r="AW29" s="27">
        <f>Tabla210[[#This Row],[TOTAL REMUNERACIONES]]*1.5%</f>
        <v>38.119999999999997</v>
      </c>
      <c r="AX29" s="27">
        <f>Tabla210[[#This Row],[ESSALUD 9%]]+Tabla210[[#This Row],[EPS. SCTR.]]+Tabla210[[#This Row],[SCTR PENSIONES]]+Tabla210[[#This Row],[POLIZA DE SEGURO D LEG. 688]]</f>
        <v>482.85333333333335</v>
      </c>
      <c r="AY29" s="14"/>
      <c r="AZ29" s="14"/>
      <c r="BA29" s="14">
        <f>Tabla210[[#This Row],[DIAS LABORADOS]]*8</f>
        <v>144</v>
      </c>
      <c r="BB29" s="14" t="s">
        <v>43</v>
      </c>
      <c r="BC29" s="5"/>
    </row>
    <row r="30" spans="1:55" s="32" customFormat="1" ht="12.75" customHeight="1">
      <c r="A30" s="12">
        <v>24</v>
      </c>
      <c r="B30" s="42" t="s">
        <v>70</v>
      </c>
      <c r="C30" s="13">
        <v>47393596</v>
      </c>
      <c r="D30" s="13" t="s">
        <v>33</v>
      </c>
      <c r="E30" s="13" t="s">
        <v>62</v>
      </c>
      <c r="F30" s="17">
        <v>45421</v>
      </c>
      <c r="G30" s="21">
        <v>45870</v>
      </c>
      <c r="H30" s="13" t="s">
        <v>158</v>
      </c>
      <c r="I30" s="13" t="s">
        <v>28</v>
      </c>
      <c r="J30" s="25">
        <v>3000</v>
      </c>
      <c r="K30" s="13">
        <v>14</v>
      </c>
      <c r="L30" s="13">
        <v>8</v>
      </c>
      <c r="M30" s="13">
        <v>3</v>
      </c>
      <c r="N30" s="13">
        <v>9</v>
      </c>
      <c r="O30" s="13">
        <v>0</v>
      </c>
      <c r="P30" s="13"/>
      <c r="Q30" s="13">
        <f t="shared" si="0"/>
        <v>22</v>
      </c>
      <c r="R30" s="25">
        <f t="shared" si="1"/>
        <v>2200</v>
      </c>
      <c r="S30" s="24">
        <v>170</v>
      </c>
      <c r="T30" s="24"/>
      <c r="U30" s="23">
        <v>0</v>
      </c>
      <c r="V30" s="23"/>
      <c r="W30" s="24">
        <f t="shared" si="5"/>
        <v>600</v>
      </c>
      <c r="X30" s="24">
        <f t="shared" si="3"/>
        <v>900</v>
      </c>
      <c r="Y30" s="23">
        <v>113</v>
      </c>
      <c r="Z30" s="23"/>
      <c r="AA30" s="23"/>
      <c r="AB30" s="23"/>
      <c r="AC30" s="23"/>
      <c r="AD30" s="23">
        <v>0</v>
      </c>
      <c r="AE30" s="23"/>
      <c r="AF30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3813</v>
      </c>
      <c r="AG30" s="14" t="s">
        <v>128</v>
      </c>
      <c r="AH30" s="27">
        <f>Tabla210[[#This Row],[TOTAL REMUNERACIONES]]*13%</f>
        <v>495.69</v>
      </c>
      <c r="AI30" s="43">
        <v>40.880000000000003</v>
      </c>
      <c r="AJ30" s="14"/>
      <c r="AK30" s="14"/>
      <c r="AL30" s="14"/>
      <c r="AM30" s="14"/>
      <c r="AN30" s="14"/>
      <c r="AO30" s="27"/>
      <c r="AP30" s="27"/>
      <c r="AQ30" s="27"/>
      <c r="AR30" s="14"/>
      <c r="AS30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3446.43</v>
      </c>
      <c r="AT30" s="14">
        <f t="shared" si="4"/>
        <v>343.17</v>
      </c>
      <c r="AU30" s="27">
        <f>Tabla210[[#This Row],[TOTAL REMUNERACIONES]]*2.5%</f>
        <v>95.325000000000003</v>
      </c>
      <c r="AV30" s="27">
        <f>Tabla210[[#This Row],[TOTAL REMUNERACIONES]]*6%</f>
        <v>228.78</v>
      </c>
      <c r="AW30" s="27">
        <f>Tabla210[[#This Row],[TOTAL REMUNERACIONES]]*1.5%</f>
        <v>57.195</v>
      </c>
      <c r="AX30" s="27">
        <f>Tabla210[[#This Row],[ESSALUD 9%]]+Tabla210[[#This Row],[EPS. SCTR.]]+Tabla210[[#This Row],[SCTR PENSIONES]]+Tabla210[[#This Row],[POLIZA DE SEGURO D LEG. 688]]</f>
        <v>724.47</v>
      </c>
      <c r="AY30" s="14"/>
      <c r="AZ30" s="14"/>
      <c r="BA30" s="14">
        <f>Tabla210[[#This Row],[DIAS LABORADOS]]*12</f>
        <v>168</v>
      </c>
      <c r="BB30" s="14" t="s">
        <v>43</v>
      </c>
      <c r="BC30" s="5"/>
    </row>
    <row r="31" spans="1:55" s="32" customFormat="1" ht="12.75" customHeight="1">
      <c r="A31" s="12">
        <v>25</v>
      </c>
      <c r="B31" s="53" t="s">
        <v>60</v>
      </c>
      <c r="C31" s="13">
        <v>45197802</v>
      </c>
      <c r="D31" s="13" t="s">
        <v>26</v>
      </c>
      <c r="E31" s="13" t="s">
        <v>29</v>
      </c>
      <c r="F31" s="17">
        <v>44270</v>
      </c>
      <c r="G31" s="21">
        <v>45870</v>
      </c>
      <c r="H31" s="13" t="s">
        <v>158</v>
      </c>
      <c r="I31" s="13" t="s">
        <v>28</v>
      </c>
      <c r="J31" s="25">
        <v>2500</v>
      </c>
      <c r="K31" s="13">
        <v>10</v>
      </c>
      <c r="L31" s="13">
        <v>7</v>
      </c>
      <c r="M31" s="13">
        <v>1</v>
      </c>
      <c r="N31" s="13">
        <v>14</v>
      </c>
      <c r="O31" s="13">
        <v>0</v>
      </c>
      <c r="P31" s="13"/>
      <c r="Q31" s="13">
        <f t="shared" si="0"/>
        <v>17</v>
      </c>
      <c r="R31" s="25">
        <f t="shared" si="1"/>
        <v>1416.6666666666665</v>
      </c>
      <c r="S31" s="24">
        <v>30</v>
      </c>
      <c r="T31" s="24">
        <v>0</v>
      </c>
      <c r="U31" s="23">
        <v>0</v>
      </c>
      <c r="V31" s="23"/>
      <c r="W31" s="24">
        <f t="shared" si="5"/>
        <v>166.66666666666666</v>
      </c>
      <c r="X31" s="24">
        <v>0</v>
      </c>
      <c r="Y31" s="23">
        <v>113</v>
      </c>
      <c r="Z31" s="23"/>
      <c r="AA31" s="23"/>
      <c r="AB31" s="23"/>
      <c r="AC31" s="23"/>
      <c r="AD31" s="23">
        <v>0</v>
      </c>
      <c r="AE31" s="23"/>
      <c r="AF31" s="43">
        <f>SUM(Tabla210[[#This Row],[BASICO]]+Tabla210[[#This Row],[Horas extras 25%]]+Tabla210[[#This Row],[Horas extras 35%]]+Tabla210[[#This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1696.3333333333333</v>
      </c>
      <c r="AG31" s="14"/>
      <c r="AH31" s="27"/>
      <c r="AI31" s="27"/>
      <c r="AJ31" s="14"/>
      <c r="AK31" s="14"/>
      <c r="AL31" s="14" t="s">
        <v>9</v>
      </c>
      <c r="AM31" s="14" t="s">
        <v>30</v>
      </c>
      <c r="AN31" s="14" t="s">
        <v>61</v>
      </c>
      <c r="AO31" s="27">
        <f>Tabla210[[#This Row],[TOTAL REMUNERACIONES]]*10%</f>
        <v>169.63333333333333</v>
      </c>
      <c r="AP31" s="27">
        <v>0</v>
      </c>
      <c r="AQ31" s="27">
        <f>Tabla210[[#This Row],[TOTAL REMUNERACIONES]]*1.37%</f>
        <v>23.239766666666668</v>
      </c>
      <c r="AR31" s="14"/>
      <c r="AS31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1533.4602333333332</v>
      </c>
      <c r="AT31" s="14">
        <f t="shared" si="4"/>
        <v>152.66999999999999</v>
      </c>
      <c r="AU31" s="23">
        <f>Tabla210[[#This Row],[JORNAL]]*0.53%</f>
        <v>13.25</v>
      </c>
      <c r="AV31" s="27">
        <f>Tabla210[[#This Row],[JORNAL]]*3.34%</f>
        <v>83.5</v>
      </c>
      <c r="AW31" s="27">
        <f>Tabla210[[#This Row],[JORNAL]]*0.71%</f>
        <v>17.75</v>
      </c>
      <c r="AX31" s="27">
        <f>Tabla210[[#This Row],[ESSALUD 9%]]+Tabla210[[#This Row],[EPS. SCTR.]]+Tabla210[[#This Row],[SCTR PENSIONES]]+Tabla210[[#This Row],[POLIZA DE SEGURO D LEG. 688]]</f>
        <v>267.16999999999996</v>
      </c>
      <c r="AY31" s="14"/>
      <c r="AZ31" s="14"/>
      <c r="BA31" s="14">
        <f>Tabla210[[#This Row],[DIAS LABORADOS]]*8</f>
        <v>80</v>
      </c>
      <c r="BB31" s="14" t="s">
        <v>25</v>
      </c>
      <c r="BC31" s="5"/>
    </row>
    <row r="32" spans="1:55" s="32" customFormat="1" ht="12.75" customHeight="1">
      <c r="A32" s="12">
        <v>26</v>
      </c>
      <c r="B32" s="53" t="s">
        <v>123</v>
      </c>
      <c r="C32" s="13">
        <v>72051265</v>
      </c>
      <c r="D32" s="13" t="s">
        <v>26</v>
      </c>
      <c r="E32" s="13" t="s">
        <v>27</v>
      </c>
      <c r="F32" s="17">
        <v>45673</v>
      </c>
      <c r="G32" s="21">
        <v>45870</v>
      </c>
      <c r="H32" s="13" t="s">
        <v>158</v>
      </c>
      <c r="I32" s="13" t="s">
        <v>28</v>
      </c>
      <c r="J32" s="25">
        <v>1800</v>
      </c>
      <c r="K32" s="13">
        <v>20</v>
      </c>
      <c r="L32" s="13">
        <v>11</v>
      </c>
      <c r="M32" s="13">
        <v>1</v>
      </c>
      <c r="N32" s="13">
        <v>0</v>
      </c>
      <c r="O32" s="13">
        <v>0</v>
      </c>
      <c r="P32" s="13">
        <v>0</v>
      </c>
      <c r="Q32" s="13">
        <f t="shared" si="0"/>
        <v>31</v>
      </c>
      <c r="R32" s="25">
        <f t="shared" si="1"/>
        <v>1860</v>
      </c>
      <c r="S32" s="46"/>
      <c r="T32" s="24">
        <v>0</v>
      </c>
      <c r="U32" s="23">
        <v>0</v>
      </c>
      <c r="V32" s="23">
        <v>0</v>
      </c>
      <c r="W32" s="24">
        <f t="shared" si="5"/>
        <v>120</v>
      </c>
      <c r="X32" s="24">
        <f t="shared" ref="X32:X49" si="6">J32/30*N32</f>
        <v>0</v>
      </c>
      <c r="Y32" s="23">
        <v>113</v>
      </c>
      <c r="Z32" s="23"/>
      <c r="AA32" s="23"/>
      <c r="AB32" s="23"/>
      <c r="AC32" s="23"/>
      <c r="AD32" s="23">
        <v>0</v>
      </c>
      <c r="AE32" s="23"/>
      <c r="AF32" s="43">
        <f>SUM(Tabla210[[#This Row],[BASICO]]+Tabla210[[#This Row],[Horas extras 25%]]+Tabla210[[#This Row],[Horas extras 35%]]+Tabla210[[#This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2093</v>
      </c>
      <c r="AG32" s="14"/>
      <c r="AH32" s="27"/>
      <c r="AI32" s="27"/>
      <c r="AJ32" s="14"/>
      <c r="AK32" s="14"/>
      <c r="AL32" s="14" t="s">
        <v>9</v>
      </c>
      <c r="AM32" s="14" t="s">
        <v>24</v>
      </c>
      <c r="AN32" s="14" t="s">
        <v>124</v>
      </c>
      <c r="AO32" s="27">
        <f>Tabla210[[#This Row],[TOTAL REMUNERACIONES]]*10%</f>
        <v>209.3</v>
      </c>
      <c r="AP32" s="27">
        <v>0</v>
      </c>
      <c r="AQ32" s="27">
        <f>Tabla210[[#This Row],[TOTAL REMUNERACIONES]]*1.37%</f>
        <v>28.674099999999999</v>
      </c>
      <c r="AR32" s="14"/>
      <c r="AS32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1855.0259000000001</v>
      </c>
      <c r="AT32" s="14">
        <v>197.93</v>
      </c>
      <c r="AU32" s="23">
        <f>Tabla210[[#This Row],[JORNAL]]*0.53%</f>
        <v>9.5400000000000009</v>
      </c>
      <c r="AV32" s="27">
        <f>Tabla210[[#This Row],[JORNAL]]*3.34%</f>
        <v>60.12</v>
      </c>
      <c r="AW32" s="27">
        <f>Tabla210[[#This Row],[JORNAL]]*0.71%</f>
        <v>12.78</v>
      </c>
      <c r="AX32" s="27">
        <f>Tabla210[[#This Row],[ESSALUD 9%]]+Tabla210[[#This Row],[EPS. SCTR.]]+Tabla210[[#This Row],[SCTR PENSIONES]]+Tabla210[[#This Row],[POLIZA DE SEGURO D LEG. 688]]</f>
        <v>280.36999999999995</v>
      </c>
      <c r="AY32" s="14"/>
      <c r="AZ32" s="14"/>
      <c r="BA32" s="14">
        <f>Tabla210[[#This Row],[DIAS LABORADOS]]*8</f>
        <v>160</v>
      </c>
      <c r="BB32" s="14" t="s">
        <v>25</v>
      </c>
      <c r="BC32" s="5"/>
    </row>
    <row r="33" spans="1:55" s="32" customFormat="1" ht="12.75" customHeight="1">
      <c r="A33" s="12">
        <v>27</v>
      </c>
      <c r="B33" s="42" t="s">
        <v>145</v>
      </c>
      <c r="C33" s="13">
        <v>70281896</v>
      </c>
      <c r="D33" s="13" t="s">
        <v>33</v>
      </c>
      <c r="E33" s="13" t="s">
        <v>62</v>
      </c>
      <c r="F33" s="17">
        <v>45785</v>
      </c>
      <c r="G33" s="21">
        <v>45870</v>
      </c>
      <c r="H33" s="13" t="s">
        <v>158</v>
      </c>
      <c r="I33" s="17" t="s">
        <v>28</v>
      </c>
      <c r="J33" s="25">
        <v>2500</v>
      </c>
      <c r="K33" s="13">
        <v>19</v>
      </c>
      <c r="L33" s="13">
        <v>12</v>
      </c>
      <c r="M33" s="13">
        <v>2</v>
      </c>
      <c r="N33" s="13">
        <v>0</v>
      </c>
      <c r="O33" s="13">
        <v>0</v>
      </c>
      <c r="P33" s="13"/>
      <c r="Q33" s="13">
        <f t="shared" si="0"/>
        <v>31</v>
      </c>
      <c r="R33" s="25">
        <v>2500</v>
      </c>
      <c r="S33" s="24">
        <v>89</v>
      </c>
      <c r="T33" s="24"/>
      <c r="U33" s="23">
        <v>0</v>
      </c>
      <c r="V33" s="23"/>
      <c r="W33" s="24">
        <f t="shared" si="5"/>
        <v>333.33333333333331</v>
      </c>
      <c r="X33" s="24">
        <f t="shared" si="6"/>
        <v>0</v>
      </c>
      <c r="Y33" s="23">
        <v>113</v>
      </c>
      <c r="Z33" s="23"/>
      <c r="AA33" s="23"/>
      <c r="AB33" s="23"/>
      <c r="AC33" s="23"/>
      <c r="AD33" s="23">
        <v>0</v>
      </c>
      <c r="AE33" s="23"/>
      <c r="AF33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2946.3333333333335</v>
      </c>
      <c r="AG33" s="14" t="s">
        <v>128</v>
      </c>
      <c r="AH33" s="27">
        <f>Tabla210[[#This Row],[TOTAL REMUNERACIONES]]*13%</f>
        <v>383.02333333333337</v>
      </c>
      <c r="AI33" s="27"/>
      <c r="AJ33" s="14"/>
      <c r="AK33" s="14"/>
      <c r="AL33" s="14"/>
      <c r="AM33" s="14"/>
      <c r="AN33" s="14"/>
      <c r="AO33" s="27"/>
      <c r="AP33" s="27"/>
      <c r="AQ33" s="27"/>
      <c r="AR33" s="14"/>
      <c r="AS33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2652.31</v>
      </c>
      <c r="AT33" s="23">
        <f t="shared" ref="AT33:AT49" si="7">AF33*9/100</f>
        <v>265.17</v>
      </c>
      <c r="AU33" s="27">
        <f>Tabla210[[#This Row],[TOTAL REMUNERACIONES]]*2.5%</f>
        <v>73.658333333333346</v>
      </c>
      <c r="AV33" s="27">
        <f>Tabla210[[#This Row],[TOTAL REMUNERACIONES]]*6%</f>
        <v>176.78</v>
      </c>
      <c r="AW33" s="27">
        <f>Tabla210[[#This Row],[TOTAL REMUNERACIONES]]*1.5%</f>
        <v>44.195</v>
      </c>
      <c r="AX33" s="27">
        <f>Tabla210[[#This Row],[ESSALUD 9%]]+Tabla210[[#This Row],[EPS. SCTR.]]+Tabla210[[#This Row],[SCTR PENSIONES]]+Tabla210[[#This Row],[POLIZA DE SEGURO D LEG. 688]]</f>
        <v>559.8033333333334</v>
      </c>
      <c r="AY33" s="14"/>
      <c r="AZ33" s="14"/>
      <c r="BA33" s="14">
        <f>Tabla210[[#This Row],[DIAS LABORADOS]]*12</f>
        <v>228</v>
      </c>
      <c r="BB33" s="14" t="s">
        <v>43</v>
      </c>
      <c r="BC33" s="5"/>
    </row>
    <row r="34" spans="1:55" s="32" customFormat="1" ht="12.75" customHeight="1">
      <c r="A34" s="12">
        <v>28</v>
      </c>
      <c r="B34" s="42" t="s">
        <v>131</v>
      </c>
      <c r="C34" s="13">
        <v>72080781</v>
      </c>
      <c r="D34" s="13" t="s">
        <v>33</v>
      </c>
      <c r="E34" s="13" t="s">
        <v>62</v>
      </c>
      <c r="F34" s="17">
        <v>45695</v>
      </c>
      <c r="G34" s="21">
        <v>45870</v>
      </c>
      <c r="H34" s="13" t="s">
        <v>158</v>
      </c>
      <c r="I34" s="13" t="s">
        <v>28</v>
      </c>
      <c r="J34" s="25">
        <v>4000</v>
      </c>
      <c r="K34" s="13">
        <v>24</v>
      </c>
      <c r="L34" s="13">
        <v>7</v>
      </c>
      <c r="M34" s="13">
        <v>2</v>
      </c>
      <c r="N34" s="13">
        <v>0</v>
      </c>
      <c r="O34" s="13">
        <v>0</v>
      </c>
      <c r="P34" s="13"/>
      <c r="Q34" s="13">
        <f t="shared" si="0"/>
        <v>31</v>
      </c>
      <c r="R34" s="25">
        <v>4000</v>
      </c>
      <c r="S34" s="54">
        <v>200</v>
      </c>
      <c r="T34" s="24"/>
      <c r="U34" s="23">
        <v>0</v>
      </c>
      <c r="V34" s="23"/>
      <c r="W34" s="24">
        <f t="shared" si="5"/>
        <v>533.33333333333337</v>
      </c>
      <c r="X34" s="24">
        <f t="shared" si="6"/>
        <v>0</v>
      </c>
      <c r="Y34" s="23">
        <v>113</v>
      </c>
      <c r="Z34" s="23"/>
      <c r="AA34" s="23"/>
      <c r="AB34" s="23"/>
      <c r="AC34" s="23"/>
      <c r="AD34" s="23">
        <v>0</v>
      </c>
      <c r="AE34" s="23"/>
      <c r="AF34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4646.333333333333</v>
      </c>
      <c r="AG34" s="14"/>
      <c r="AH34" s="27"/>
      <c r="AI34" s="43">
        <v>119.21</v>
      </c>
      <c r="AJ34" s="14"/>
      <c r="AK34" s="14"/>
      <c r="AL34" s="14" t="s">
        <v>9</v>
      </c>
      <c r="AM34" s="14" t="s">
        <v>24</v>
      </c>
      <c r="AN34" s="14" t="s">
        <v>133</v>
      </c>
      <c r="AO34" s="27">
        <f>Tabla210[[#This Row],[TOTAL REMUNERACIONES]]*10%</f>
        <v>464.63333333333333</v>
      </c>
      <c r="AP34" s="27">
        <v>0</v>
      </c>
      <c r="AQ34" s="27">
        <f>Tabla210[[#This Row],[TOTAL REMUNERACIONES]]*1.37%</f>
        <v>63.654766666666667</v>
      </c>
      <c r="AR34" s="14"/>
      <c r="AS34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4198.8352333333332</v>
      </c>
      <c r="AT34" s="14">
        <f t="shared" si="7"/>
        <v>418.17</v>
      </c>
      <c r="AU34" s="27">
        <f>Tabla210[[#This Row],[TOTAL REMUNERACIONES]]*2.5%</f>
        <v>116.15833333333333</v>
      </c>
      <c r="AV34" s="27">
        <f>Tabla210[[#This Row],[TOTAL REMUNERACIONES]]*6%</f>
        <v>278.77999999999997</v>
      </c>
      <c r="AW34" s="27">
        <f>Tabla210[[#This Row],[TOTAL REMUNERACIONES]]*1.5%</f>
        <v>69.694999999999993</v>
      </c>
      <c r="AX34" s="27">
        <f>Tabla210[[#This Row],[ESSALUD 9%]]+Tabla210[[#This Row],[EPS. SCTR.]]+Tabla210[[#This Row],[SCTR PENSIONES]]+Tabla210[[#This Row],[POLIZA DE SEGURO D LEG. 688]]</f>
        <v>882.80333333333328</v>
      </c>
      <c r="AY34" s="14"/>
      <c r="AZ34" s="14"/>
      <c r="BA34" s="14">
        <f>Tabla210[[#This Row],[DIAS LABORADOS]]*12</f>
        <v>288</v>
      </c>
      <c r="BB34" s="14" t="s">
        <v>43</v>
      </c>
      <c r="BC34" s="5"/>
    </row>
    <row r="35" spans="1:55" s="32" customFormat="1" ht="12.75" customHeight="1">
      <c r="A35" s="12">
        <v>29</v>
      </c>
      <c r="B35" s="42" t="s">
        <v>63</v>
      </c>
      <c r="C35" s="13">
        <v>77048594</v>
      </c>
      <c r="D35" s="13" t="s">
        <v>26</v>
      </c>
      <c r="E35" s="13" t="s">
        <v>27</v>
      </c>
      <c r="F35" s="17">
        <v>45300</v>
      </c>
      <c r="G35" s="21">
        <v>45870</v>
      </c>
      <c r="H35" s="13" t="s">
        <v>158</v>
      </c>
      <c r="I35" s="13" t="s">
        <v>28</v>
      </c>
      <c r="J35" s="25">
        <v>1800</v>
      </c>
      <c r="K35" s="13">
        <v>18</v>
      </c>
      <c r="L35" s="13">
        <v>13</v>
      </c>
      <c r="M35" s="13">
        <v>0</v>
      </c>
      <c r="N35" s="13">
        <v>0</v>
      </c>
      <c r="O35" s="13">
        <v>0</v>
      </c>
      <c r="P35" s="13">
        <v>2</v>
      </c>
      <c r="Q35" s="13">
        <f t="shared" si="0"/>
        <v>31</v>
      </c>
      <c r="R35" s="25">
        <f t="shared" ref="R35:R36" si="8">J35/30*Q35</f>
        <v>1860</v>
      </c>
      <c r="S35" s="24">
        <v>30</v>
      </c>
      <c r="T35" s="24"/>
      <c r="U35" s="23">
        <v>18.75</v>
      </c>
      <c r="V35" s="23"/>
      <c r="W35" s="24">
        <f t="shared" si="5"/>
        <v>0</v>
      </c>
      <c r="X35" s="24">
        <f t="shared" si="6"/>
        <v>0</v>
      </c>
      <c r="Y35" s="23"/>
      <c r="Z35" s="23"/>
      <c r="AA35" s="23"/>
      <c r="AB35" s="23"/>
      <c r="AC35" s="23"/>
      <c r="AD35" s="23">
        <v>0</v>
      </c>
      <c r="AE35" s="23"/>
      <c r="AF35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1878.75</v>
      </c>
      <c r="AG35" s="14" t="s">
        <v>128</v>
      </c>
      <c r="AH35" s="27">
        <f>Tabla210[[#This Row],[TOTAL REMUNERACIONES]]*13%</f>
        <v>244.23750000000001</v>
      </c>
      <c r="AI35" s="27"/>
      <c r="AJ35" s="14"/>
      <c r="AK35" s="14"/>
      <c r="AL35" s="14"/>
      <c r="AM35" s="14"/>
      <c r="AN35" s="14"/>
      <c r="AO35" s="27"/>
      <c r="AP35" s="27"/>
      <c r="AQ35" s="27"/>
      <c r="AR35" s="14"/>
      <c r="AS35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1664.5125</v>
      </c>
      <c r="AT35" s="14">
        <f t="shared" si="7"/>
        <v>169.08750000000001</v>
      </c>
      <c r="AU35" s="27">
        <f>Tabla210[[#This Row],[TOTAL REMUNERACIONES]]*2.5%</f>
        <v>46.96875</v>
      </c>
      <c r="AV35" s="27">
        <f>Tabla210[[#This Row],[TOTAL REMUNERACIONES]]*6%</f>
        <v>112.72499999999999</v>
      </c>
      <c r="AW35" s="27">
        <f>Tabla210[[#This Row],[TOTAL REMUNERACIONES]]*1.5%</f>
        <v>28.181249999999999</v>
      </c>
      <c r="AX35" s="27">
        <f>Tabla210[[#This Row],[ESSALUD 9%]]+Tabla210[[#This Row],[EPS. SCTR.]]+Tabla210[[#This Row],[SCTR PENSIONES]]+Tabla210[[#This Row],[POLIZA DE SEGURO D LEG. 688]]</f>
        <v>356.96249999999998</v>
      </c>
      <c r="AY35" s="14"/>
      <c r="AZ35" s="14"/>
      <c r="BA35" s="14">
        <f>Tabla210[[#This Row],[DIAS LABORADOS]]*12</f>
        <v>216</v>
      </c>
      <c r="BB35" s="14" t="s">
        <v>43</v>
      </c>
      <c r="BC35" s="5"/>
    </row>
    <row r="36" spans="1:55" s="32" customFormat="1" ht="12.75" customHeight="1">
      <c r="A36" s="12">
        <v>30</v>
      </c>
      <c r="B36" s="42" t="s">
        <v>64</v>
      </c>
      <c r="C36" s="13">
        <v>42505613</v>
      </c>
      <c r="D36" s="13" t="s">
        <v>26</v>
      </c>
      <c r="E36" s="13" t="s">
        <v>29</v>
      </c>
      <c r="F36" s="17">
        <v>44981</v>
      </c>
      <c r="G36" s="21">
        <v>45870</v>
      </c>
      <c r="H36" s="13" t="s">
        <v>158</v>
      </c>
      <c r="I36" s="13" t="s">
        <v>28</v>
      </c>
      <c r="J36" s="25">
        <v>2500</v>
      </c>
      <c r="K36" s="13">
        <v>26</v>
      </c>
      <c r="L36" s="13">
        <v>5</v>
      </c>
      <c r="M36" s="13">
        <v>1</v>
      </c>
      <c r="N36" s="13">
        <v>0</v>
      </c>
      <c r="O36" s="13">
        <v>0</v>
      </c>
      <c r="P36" s="13"/>
      <c r="Q36" s="13">
        <f t="shared" si="0"/>
        <v>31</v>
      </c>
      <c r="R36" s="25">
        <f t="shared" si="8"/>
        <v>2583.333333333333</v>
      </c>
      <c r="S36" s="24"/>
      <c r="T36" s="24"/>
      <c r="U36" s="23">
        <v>0</v>
      </c>
      <c r="V36" s="23"/>
      <c r="W36" s="24">
        <f t="shared" si="5"/>
        <v>166.66666666666666</v>
      </c>
      <c r="X36" s="24">
        <f t="shared" si="6"/>
        <v>0</v>
      </c>
      <c r="Y36" s="23">
        <v>113</v>
      </c>
      <c r="Z36" s="23"/>
      <c r="AA36" s="23"/>
      <c r="AB36" s="23"/>
      <c r="AC36" s="23"/>
      <c r="AD36" s="23">
        <v>0</v>
      </c>
      <c r="AE36" s="23"/>
      <c r="AF36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2862.9999999999995</v>
      </c>
      <c r="AG36" s="14" t="s">
        <v>128</v>
      </c>
      <c r="AH36" s="27">
        <f>Tabla210[[#This Row],[TOTAL REMUNERACIONES]]*13%</f>
        <v>372.18999999999994</v>
      </c>
      <c r="AI36" s="27"/>
      <c r="AJ36" s="14"/>
      <c r="AK36" s="14"/>
      <c r="AL36" s="14"/>
      <c r="AM36" s="14"/>
      <c r="AN36" s="14"/>
      <c r="AO36" s="27"/>
      <c r="AP36" s="27"/>
      <c r="AQ36" s="27"/>
      <c r="AR36" s="14"/>
      <c r="AS36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2490.8099999999995</v>
      </c>
      <c r="AT36" s="27">
        <f t="shared" si="7"/>
        <v>257.66999999999996</v>
      </c>
      <c r="AU36" s="27">
        <f>Tabla210[[#This Row],[TOTAL REMUNERACIONES]]*2.5%</f>
        <v>71.574999999999989</v>
      </c>
      <c r="AV36" s="27">
        <f>Tabla210[[#This Row],[TOTAL REMUNERACIONES]]*6%</f>
        <v>171.77999999999997</v>
      </c>
      <c r="AW36" s="27">
        <f>Tabla210[[#This Row],[JORNAL]]*1.5%</f>
        <v>37.5</v>
      </c>
      <c r="AX36" s="27">
        <f>Tabla210[[#This Row],[ESSALUD 9%]]+Tabla210[[#This Row],[EPS. SCTR.]]+Tabla210[[#This Row],[SCTR PENSIONES]]+Tabla210[[#This Row],[POLIZA DE SEGURO D LEG. 688]]</f>
        <v>538.52499999999986</v>
      </c>
      <c r="AY36" s="14"/>
      <c r="AZ36" s="14"/>
      <c r="BA36" s="14">
        <f>Tabla210[[#This Row],[DIAS LABORADOS]]*8</f>
        <v>208</v>
      </c>
      <c r="BB36" s="14" t="s">
        <v>31</v>
      </c>
      <c r="BC36" s="5"/>
    </row>
    <row r="37" spans="1:55" s="32" customFormat="1" ht="12.75" customHeight="1">
      <c r="A37" s="12">
        <v>31</v>
      </c>
      <c r="B37" s="42" t="s">
        <v>65</v>
      </c>
      <c r="C37" s="13">
        <v>72962733</v>
      </c>
      <c r="D37" s="13" t="s">
        <v>33</v>
      </c>
      <c r="E37" s="13" t="s">
        <v>144</v>
      </c>
      <c r="F37" s="17">
        <v>45335</v>
      </c>
      <c r="G37" s="21">
        <v>45870</v>
      </c>
      <c r="H37" s="13" t="s">
        <v>158</v>
      </c>
      <c r="I37" s="13" t="s">
        <v>28</v>
      </c>
      <c r="J37" s="25">
        <v>1500</v>
      </c>
      <c r="K37" s="13">
        <v>26</v>
      </c>
      <c r="L37" s="13">
        <v>5</v>
      </c>
      <c r="M37" s="13">
        <v>0</v>
      </c>
      <c r="N37" s="13">
        <v>0</v>
      </c>
      <c r="O37" s="13">
        <v>0</v>
      </c>
      <c r="P37" s="13"/>
      <c r="Q37" s="13">
        <f t="shared" si="0"/>
        <v>31</v>
      </c>
      <c r="R37" s="25">
        <f>Tabla210[[#This Row],[JORNAL]]</f>
        <v>1500</v>
      </c>
      <c r="S37" s="24"/>
      <c r="T37" s="24"/>
      <c r="U37" s="23">
        <v>0</v>
      </c>
      <c r="V37" s="23"/>
      <c r="W37" s="24">
        <f t="shared" si="5"/>
        <v>0</v>
      </c>
      <c r="X37" s="24">
        <f t="shared" si="6"/>
        <v>0</v>
      </c>
      <c r="Y37" s="23"/>
      <c r="Z37" s="23"/>
      <c r="AA37" s="23"/>
      <c r="AB37" s="23"/>
      <c r="AC37" s="23"/>
      <c r="AD37" s="23">
        <v>0</v>
      </c>
      <c r="AE37" s="23"/>
      <c r="AF37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1500</v>
      </c>
      <c r="AG37" s="14"/>
      <c r="AH37" s="27"/>
      <c r="AI37" s="27"/>
      <c r="AJ37" s="14"/>
      <c r="AK37" s="14"/>
      <c r="AL37" s="14" t="s">
        <v>9</v>
      </c>
      <c r="AM37" s="14" t="s">
        <v>24</v>
      </c>
      <c r="AN37" s="14" t="s">
        <v>125</v>
      </c>
      <c r="AO37" s="27">
        <f>Tabla210[[#This Row],[TOTAL REMUNERACIONES]]*10%</f>
        <v>150</v>
      </c>
      <c r="AP37" s="27">
        <v>0</v>
      </c>
      <c r="AQ37" s="27">
        <f>Tabla210[[#This Row],[TOTAL REMUNERACIONES]]*1.37%</f>
        <v>20.55</v>
      </c>
      <c r="AR37" s="14"/>
      <c r="AS37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1329.45</v>
      </c>
      <c r="AT37" s="27">
        <f t="shared" si="7"/>
        <v>135</v>
      </c>
      <c r="AU37" s="27">
        <f>Tabla210[[#This Row],[JORNAL]]*1.56%</f>
        <v>23.400000000000002</v>
      </c>
      <c r="AV37" s="27">
        <f>Tabla210[[#This Row],[JORNAL]]*1.2%</f>
        <v>18</v>
      </c>
      <c r="AW37" s="27">
        <f>Tabla210[[#This Row],[JORNAL]]*1.5%</f>
        <v>22.5</v>
      </c>
      <c r="AX37" s="27">
        <f>Tabla210[[#This Row],[ESSALUD 9%]]+Tabla210[[#This Row],[EPS. SCTR.]]+Tabla210[[#This Row],[SCTR PENSIONES]]+Tabla210[[#This Row],[POLIZA DE SEGURO D LEG. 688]]</f>
        <v>198.9</v>
      </c>
      <c r="AY37" s="14"/>
      <c r="AZ37" s="14"/>
      <c r="BA37" s="14">
        <f>Tabla210[[#This Row],[DIAS LABORADOS]]*8</f>
        <v>208</v>
      </c>
      <c r="BB37" s="14" t="s">
        <v>31</v>
      </c>
      <c r="BC37" s="5"/>
    </row>
    <row r="38" spans="1:55" s="32" customFormat="1" ht="12.6" customHeight="1">
      <c r="A38" s="12">
        <v>32</v>
      </c>
      <c r="B38" s="42" t="s">
        <v>66</v>
      </c>
      <c r="C38" s="13">
        <v>42033008</v>
      </c>
      <c r="D38" s="13" t="s">
        <v>26</v>
      </c>
      <c r="E38" s="13" t="s">
        <v>52</v>
      </c>
      <c r="F38" s="17">
        <v>45297</v>
      </c>
      <c r="G38" s="21">
        <v>45870</v>
      </c>
      <c r="H38" s="13" t="s">
        <v>158</v>
      </c>
      <c r="I38" s="13" t="s">
        <v>28</v>
      </c>
      <c r="J38" s="25">
        <v>2500</v>
      </c>
      <c r="K38" s="13">
        <v>17</v>
      </c>
      <c r="L38" s="13">
        <v>10</v>
      </c>
      <c r="M38" s="13">
        <v>1</v>
      </c>
      <c r="N38" s="13">
        <v>4</v>
      </c>
      <c r="O38" s="13">
        <v>0</v>
      </c>
      <c r="P38" s="13">
        <v>2</v>
      </c>
      <c r="Q38" s="13">
        <f t="shared" si="0"/>
        <v>27</v>
      </c>
      <c r="R38" s="25">
        <f t="shared" ref="R38:R39" si="9">J38/30*Q38</f>
        <v>2250</v>
      </c>
      <c r="S38" s="24">
        <v>110</v>
      </c>
      <c r="T38" s="24"/>
      <c r="U38" s="23">
        <v>27.08</v>
      </c>
      <c r="V38" s="23"/>
      <c r="W38" s="24">
        <f t="shared" si="5"/>
        <v>166.66666666666666</v>
      </c>
      <c r="X38" s="24">
        <f t="shared" si="6"/>
        <v>333.33333333333331</v>
      </c>
      <c r="Y38" s="23">
        <v>113</v>
      </c>
      <c r="Z38" s="23"/>
      <c r="AA38" s="23"/>
      <c r="AB38" s="23"/>
      <c r="AC38" s="23"/>
      <c r="AD38" s="23">
        <v>0</v>
      </c>
      <c r="AE38" s="23"/>
      <c r="AF38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2890.08</v>
      </c>
      <c r="AG38" s="14" t="s">
        <v>128</v>
      </c>
      <c r="AH38" s="27">
        <f>Tabla210[[#This Row],[TOTAL REMUNERACIONES]]*13%</f>
        <v>375.71039999999999</v>
      </c>
      <c r="AI38" s="27">
        <v>0</v>
      </c>
      <c r="AJ38" s="14"/>
      <c r="AK38" s="14"/>
      <c r="AL38" s="14"/>
      <c r="AM38" s="14"/>
      <c r="AN38" s="14"/>
      <c r="AO38" s="27"/>
      <c r="AP38" s="27"/>
      <c r="AQ38" s="27"/>
      <c r="AR38" s="14"/>
      <c r="AS38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2624.3696</v>
      </c>
      <c r="AT38" s="14">
        <f t="shared" si="7"/>
        <v>260.10720000000003</v>
      </c>
      <c r="AU38" s="27">
        <f>Tabla210[[#This Row],[TOTAL REMUNERACIONES]]*2.5%</f>
        <v>72.251999999999995</v>
      </c>
      <c r="AV38" s="27">
        <f>Tabla210[[#This Row],[TOTAL REMUNERACIONES]]*6%</f>
        <v>173.40479999999999</v>
      </c>
      <c r="AW38" s="27">
        <f>Tabla210[[#This Row],[TOTAL REMUNERACIONES]]*1.5%</f>
        <v>43.351199999999999</v>
      </c>
      <c r="AX38" s="27">
        <f>Tabla210[[#This Row],[ESSALUD 9%]]+Tabla210[[#This Row],[EPS. SCTR.]]+Tabla210[[#This Row],[SCTR PENSIONES]]+Tabla210[[#This Row],[POLIZA DE SEGURO D LEG. 688]]</f>
        <v>549.11519999999996</v>
      </c>
      <c r="AY38" s="14"/>
      <c r="AZ38" s="14"/>
      <c r="BA38" s="14">
        <f>Tabla210[[#This Row],[DIAS LABORADOS]]*12</f>
        <v>204</v>
      </c>
      <c r="BB38" s="14" t="s">
        <v>43</v>
      </c>
      <c r="BC38" s="5"/>
    </row>
    <row r="39" spans="1:55" s="32" customFormat="1" ht="12.75" customHeight="1">
      <c r="A39" s="12">
        <v>33</v>
      </c>
      <c r="B39" s="42" t="s">
        <v>67</v>
      </c>
      <c r="C39" s="13">
        <v>48179459</v>
      </c>
      <c r="D39" s="13" t="s">
        <v>26</v>
      </c>
      <c r="E39" s="13" t="s">
        <v>27</v>
      </c>
      <c r="F39" s="17">
        <v>45557</v>
      </c>
      <c r="G39" s="21">
        <v>45870</v>
      </c>
      <c r="H39" s="13" t="s">
        <v>158</v>
      </c>
      <c r="I39" s="13" t="s">
        <v>28</v>
      </c>
      <c r="J39" s="25">
        <v>1700</v>
      </c>
      <c r="K39" s="13">
        <v>26</v>
      </c>
      <c r="L39" s="13">
        <v>5</v>
      </c>
      <c r="M39" s="13">
        <v>0</v>
      </c>
      <c r="N39" s="13">
        <v>0</v>
      </c>
      <c r="O39" s="13">
        <v>0</v>
      </c>
      <c r="P39" s="13"/>
      <c r="Q39" s="13">
        <f t="shared" si="0"/>
        <v>31</v>
      </c>
      <c r="R39" s="25">
        <f t="shared" si="9"/>
        <v>1756.6666666666665</v>
      </c>
      <c r="S39" s="24"/>
      <c r="T39" s="24"/>
      <c r="U39" s="23">
        <v>0</v>
      </c>
      <c r="V39" s="23"/>
      <c r="W39" s="24">
        <f t="shared" si="5"/>
        <v>0</v>
      </c>
      <c r="X39" s="24">
        <f t="shared" si="6"/>
        <v>0</v>
      </c>
      <c r="Y39" s="23"/>
      <c r="Z39" s="23"/>
      <c r="AA39" s="23"/>
      <c r="AB39" s="23"/>
      <c r="AC39" s="23"/>
      <c r="AD39" s="23">
        <v>0</v>
      </c>
      <c r="AE39" s="23"/>
      <c r="AF39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1756.6666666666665</v>
      </c>
      <c r="AG39" s="14" t="s">
        <v>128</v>
      </c>
      <c r="AH39" s="27">
        <f>Tabla210[[#This Row],[TOTAL REMUNERACIONES]]*13%</f>
        <v>228.36666666666665</v>
      </c>
      <c r="AI39" s="27"/>
      <c r="AJ39" s="14"/>
      <c r="AK39" s="14"/>
      <c r="AL39" s="14"/>
      <c r="AM39" s="14"/>
      <c r="AN39" s="14"/>
      <c r="AO39" s="27"/>
      <c r="AP39" s="27"/>
      <c r="AQ39" s="27"/>
      <c r="AR39" s="14"/>
      <c r="AS39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1528.3</v>
      </c>
      <c r="AT39" s="27">
        <f t="shared" si="7"/>
        <v>158.1</v>
      </c>
      <c r="AU39" s="27">
        <f>Tabla210[[#This Row],[JORNAL]]*1.56%</f>
        <v>26.520000000000003</v>
      </c>
      <c r="AV39" s="27">
        <f>Tabla210[[#This Row],[JORNAL]]*1.2%</f>
        <v>20.400000000000002</v>
      </c>
      <c r="AW39" s="27">
        <f>Tabla210[[#This Row],[JORNAL]]*1.5%</f>
        <v>25.5</v>
      </c>
      <c r="AX39" s="27">
        <f>Tabla210[[#This Row],[ESSALUD 9%]]+Tabla210[[#This Row],[EPS. SCTR.]]+Tabla210[[#This Row],[SCTR PENSIONES]]+Tabla210[[#This Row],[POLIZA DE SEGURO D LEG. 688]]</f>
        <v>230.52</v>
      </c>
      <c r="AY39" s="14"/>
      <c r="AZ39" s="14"/>
      <c r="BA39" s="14">
        <f>Tabla210[[#This Row],[DIAS LABORADOS]]*8</f>
        <v>208</v>
      </c>
      <c r="BB39" s="14" t="s">
        <v>31</v>
      </c>
      <c r="BC39" s="5"/>
    </row>
    <row r="40" spans="1:55" s="32" customFormat="1" ht="12.75" customHeight="1">
      <c r="A40" s="12">
        <v>34</v>
      </c>
      <c r="B40" s="42" t="s">
        <v>93</v>
      </c>
      <c r="C40" s="13">
        <v>46737658</v>
      </c>
      <c r="D40" s="13" t="s">
        <v>33</v>
      </c>
      <c r="E40" s="13" t="s">
        <v>94</v>
      </c>
      <c r="F40" s="17">
        <v>45628</v>
      </c>
      <c r="G40" s="21">
        <v>45870</v>
      </c>
      <c r="H40" s="13" t="s">
        <v>158</v>
      </c>
      <c r="I40" s="13" t="s">
        <v>28</v>
      </c>
      <c r="J40" s="25">
        <v>2800</v>
      </c>
      <c r="K40" s="13">
        <v>26</v>
      </c>
      <c r="L40" s="13">
        <v>5</v>
      </c>
      <c r="M40" s="13">
        <v>0</v>
      </c>
      <c r="N40" s="13">
        <v>0</v>
      </c>
      <c r="O40" s="13">
        <v>0</v>
      </c>
      <c r="P40" s="13"/>
      <c r="Q40" s="13">
        <f t="shared" si="0"/>
        <v>31</v>
      </c>
      <c r="R40" s="25">
        <f>Tabla210[[#This Row],[JORNAL]]</f>
        <v>2800</v>
      </c>
      <c r="S40" s="24"/>
      <c r="T40" s="24"/>
      <c r="U40" s="23">
        <v>0</v>
      </c>
      <c r="V40" s="23"/>
      <c r="W40" s="24">
        <f t="shared" si="5"/>
        <v>0</v>
      </c>
      <c r="X40" s="24">
        <f t="shared" si="6"/>
        <v>0</v>
      </c>
      <c r="Y40" s="23"/>
      <c r="Z40" s="23"/>
      <c r="AA40" s="23"/>
      <c r="AB40" s="23"/>
      <c r="AC40" s="23"/>
      <c r="AD40" s="23">
        <v>0</v>
      </c>
      <c r="AE40" s="23"/>
      <c r="AF40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2800</v>
      </c>
      <c r="AG40" s="14" t="s">
        <v>128</v>
      </c>
      <c r="AH40" s="27">
        <f>Tabla210[[#This Row],[TOTAL REMUNERACIONES]]*13%</f>
        <v>364</v>
      </c>
      <c r="AI40" s="27"/>
      <c r="AJ40" s="14"/>
      <c r="AK40" s="14"/>
      <c r="AL40" s="14"/>
      <c r="AM40" s="14"/>
      <c r="AN40" s="14"/>
      <c r="AO40" s="27"/>
      <c r="AP40" s="27"/>
      <c r="AQ40" s="27"/>
      <c r="AR40" s="14"/>
      <c r="AS40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2436</v>
      </c>
      <c r="AT40" s="27">
        <f t="shared" si="7"/>
        <v>252</v>
      </c>
      <c r="AU40" s="27">
        <f>Tabla210[[#This Row],[JORNAL]]*1.56%</f>
        <v>43.68</v>
      </c>
      <c r="AV40" s="27">
        <f>Tabla210[[#This Row],[JORNAL]]*1.2%</f>
        <v>33.6</v>
      </c>
      <c r="AW40" s="27">
        <f>Tabla210[[#This Row],[JORNAL]]*1.5%</f>
        <v>42</v>
      </c>
      <c r="AX40" s="27">
        <f>Tabla210[[#This Row],[ESSALUD 9%]]+Tabla210[[#This Row],[EPS. SCTR.]]+Tabla210[[#This Row],[SCTR PENSIONES]]+Tabla210[[#This Row],[POLIZA DE SEGURO D LEG. 688]]</f>
        <v>371.28000000000003</v>
      </c>
      <c r="AY40" s="14"/>
      <c r="AZ40" s="14"/>
      <c r="BA40" s="14">
        <f>Tabla210[[#This Row],[DIAS LABORADOS]]*8</f>
        <v>208</v>
      </c>
      <c r="BB40" s="14" t="s">
        <v>31</v>
      </c>
      <c r="BC40" s="5"/>
    </row>
    <row r="41" spans="1:55" s="32" customFormat="1" ht="12.75" customHeight="1">
      <c r="A41" s="12">
        <v>35</v>
      </c>
      <c r="B41" s="42" t="s">
        <v>90</v>
      </c>
      <c r="C41" s="13" t="s">
        <v>91</v>
      </c>
      <c r="D41" s="13" t="s">
        <v>33</v>
      </c>
      <c r="E41" s="13" t="s">
        <v>154</v>
      </c>
      <c r="F41" s="17">
        <v>45614</v>
      </c>
      <c r="G41" s="21">
        <v>45870</v>
      </c>
      <c r="H41" s="13" t="s">
        <v>158</v>
      </c>
      <c r="I41" s="13" t="s">
        <v>28</v>
      </c>
      <c r="J41" s="25">
        <v>3000</v>
      </c>
      <c r="K41" s="13">
        <v>26</v>
      </c>
      <c r="L41" s="13">
        <v>5</v>
      </c>
      <c r="M41" s="13">
        <v>0</v>
      </c>
      <c r="N41" s="13">
        <v>0</v>
      </c>
      <c r="O41" s="13">
        <v>0</v>
      </c>
      <c r="P41" s="13"/>
      <c r="Q41" s="13">
        <f t="shared" si="0"/>
        <v>31</v>
      </c>
      <c r="R41" s="25">
        <f>Tabla210[[#This Row],[JORNAL]]</f>
        <v>3000</v>
      </c>
      <c r="S41" s="24">
        <v>800</v>
      </c>
      <c r="T41" s="24"/>
      <c r="U41" s="23">
        <v>0</v>
      </c>
      <c r="V41" s="23"/>
      <c r="W41" s="24">
        <f t="shared" si="5"/>
        <v>0</v>
      </c>
      <c r="X41" s="24">
        <f t="shared" si="6"/>
        <v>0</v>
      </c>
      <c r="Y41" s="23">
        <v>113</v>
      </c>
      <c r="Z41" s="23"/>
      <c r="AA41" s="23"/>
      <c r="AB41" s="23"/>
      <c r="AC41" s="23"/>
      <c r="AD41" s="23">
        <v>0</v>
      </c>
      <c r="AE41" s="23"/>
      <c r="AF41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3113</v>
      </c>
      <c r="AG41" s="14" t="s">
        <v>128</v>
      </c>
      <c r="AH41" s="27">
        <f>Tabla210[[#This Row],[TOTAL REMUNERACIONES]]*13%</f>
        <v>404.69</v>
      </c>
      <c r="AI41" s="43">
        <v>40.880000000000003</v>
      </c>
      <c r="AJ41" s="14"/>
      <c r="AK41" s="14"/>
      <c r="AL41" s="14"/>
      <c r="AM41" s="14"/>
      <c r="AN41" s="14"/>
      <c r="AO41" s="27"/>
      <c r="AP41" s="27"/>
      <c r="AQ41" s="27"/>
      <c r="AR41" s="14"/>
      <c r="AS41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3467.43</v>
      </c>
      <c r="AT41" s="27">
        <f t="shared" si="7"/>
        <v>280.17</v>
      </c>
      <c r="AU41" s="27">
        <f>Tabla210[[#This Row],[JORNAL]]*1.56%</f>
        <v>46.800000000000004</v>
      </c>
      <c r="AV41" s="27">
        <f>Tabla210[[#This Row],[JORNAL]]*1.2%</f>
        <v>36</v>
      </c>
      <c r="AW41" s="27">
        <f>Tabla210[[#This Row],[JORNAL]]*1.5%</f>
        <v>45</v>
      </c>
      <c r="AX41" s="27">
        <f>Tabla210[[#This Row],[ESSALUD 9%]]+Tabla210[[#This Row],[EPS. SCTR.]]+Tabla210[[#This Row],[SCTR PENSIONES]]+Tabla210[[#This Row],[POLIZA DE SEGURO D LEG. 688]]</f>
        <v>407.97</v>
      </c>
      <c r="AY41" s="14"/>
      <c r="AZ41" s="14"/>
      <c r="BA41" s="14">
        <f>Tabla210[[#This Row],[DIAS LABORADOS]]*8</f>
        <v>208</v>
      </c>
      <c r="BB41" s="14" t="s">
        <v>31</v>
      </c>
      <c r="BC41" s="5"/>
    </row>
    <row r="42" spans="1:55" s="32" customFormat="1" ht="12.75" customHeight="1">
      <c r="A42" s="12">
        <v>36</v>
      </c>
      <c r="B42" s="42" t="s">
        <v>95</v>
      </c>
      <c r="C42" s="13" t="s">
        <v>96</v>
      </c>
      <c r="D42" s="13" t="s">
        <v>26</v>
      </c>
      <c r="E42" s="13" t="s">
        <v>27</v>
      </c>
      <c r="F42" s="17">
        <v>45629</v>
      </c>
      <c r="G42" s="21">
        <v>45870</v>
      </c>
      <c r="H42" s="13" t="s">
        <v>158</v>
      </c>
      <c r="I42" s="13" t="s">
        <v>28</v>
      </c>
      <c r="J42" s="25">
        <v>1800</v>
      </c>
      <c r="K42" s="13">
        <v>14</v>
      </c>
      <c r="L42" s="13">
        <v>17</v>
      </c>
      <c r="M42" s="13">
        <v>1</v>
      </c>
      <c r="N42" s="13">
        <v>0</v>
      </c>
      <c r="O42" s="13">
        <v>0</v>
      </c>
      <c r="P42" s="13"/>
      <c r="Q42" s="13">
        <f t="shared" si="0"/>
        <v>31</v>
      </c>
      <c r="R42" s="25">
        <f t="shared" ref="R42" si="10">J42/30*Q42</f>
        <v>1860</v>
      </c>
      <c r="S42" s="24">
        <v>220</v>
      </c>
      <c r="T42" s="24"/>
      <c r="U42" s="23">
        <v>0</v>
      </c>
      <c r="V42" s="23"/>
      <c r="W42" s="24">
        <f t="shared" si="5"/>
        <v>120</v>
      </c>
      <c r="X42" s="24">
        <f t="shared" si="6"/>
        <v>0</v>
      </c>
      <c r="Y42" s="23">
        <v>113</v>
      </c>
      <c r="Z42" s="23"/>
      <c r="AA42" s="23"/>
      <c r="AB42" s="23"/>
      <c r="AC42" s="23"/>
      <c r="AD42" s="23">
        <v>0</v>
      </c>
      <c r="AE42" s="23"/>
      <c r="AF42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2093</v>
      </c>
      <c r="AG42" s="14" t="s">
        <v>128</v>
      </c>
      <c r="AH42" s="27">
        <f>Tabla210[[#This Row],[TOTAL REMUNERACIONES]]*13%</f>
        <v>272.09000000000003</v>
      </c>
      <c r="AI42" s="27"/>
      <c r="AJ42" s="14"/>
      <c r="AK42" s="14"/>
      <c r="AL42" s="14"/>
      <c r="AM42" s="14"/>
      <c r="AN42" s="14"/>
      <c r="AO42" s="27"/>
      <c r="AP42" s="27"/>
      <c r="AQ42" s="27"/>
      <c r="AR42" s="14"/>
      <c r="AS42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2040.9099999999999</v>
      </c>
      <c r="AT42" s="14">
        <f t="shared" si="7"/>
        <v>188.37</v>
      </c>
      <c r="AU42" s="27">
        <f>Tabla210[[#This Row],[TOTAL REMUNERACIONES]]*2.5%</f>
        <v>52.325000000000003</v>
      </c>
      <c r="AV42" s="27">
        <f>Tabla210[[#This Row],[TOTAL REMUNERACIONES]]*6%</f>
        <v>125.58</v>
      </c>
      <c r="AW42" s="27">
        <f>Tabla210[[#This Row],[TOTAL REMUNERACIONES]]*1.5%</f>
        <v>31.395</v>
      </c>
      <c r="AX42" s="27">
        <f>Tabla210[[#This Row],[ESSALUD 9%]]+Tabla210[[#This Row],[EPS. SCTR.]]+Tabla210[[#This Row],[SCTR PENSIONES]]+Tabla210[[#This Row],[POLIZA DE SEGURO D LEG. 688]]</f>
        <v>397.66999999999996</v>
      </c>
      <c r="AY42" s="14"/>
      <c r="AZ42" s="14"/>
      <c r="BA42" s="14">
        <f>Tabla210[[#This Row],[DIAS LABORADOS]]*12</f>
        <v>168</v>
      </c>
      <c r="BB42" s="14" t="s">
        <v>43</v>
      </c>
      <c r="BC42" s="5"/>
    </row>
    <row r="43" spans="1:55" s="32" customFormat="1" ht="12.75" customHeight="1">
      <c r="A43" s="12">
        <v>37</v>
      </c>
      <c r="B43" s="53" t="s">
        <v>137</v>
      </c>
      <c r="C43" s="13">
        <v>70427183</v>
      </c>
      <c r="D43" s="13" t="s">
        <v>33</v>
      </c>
      <c r="E43" s="13" t="s">
        <v>138</v>
      </c>
      <c r="F43" s="17">
        <v>45723</v>
      </c>
      <c r="G43" s="21">
        <v>45870</v>
      </c>
      <c r="H43" s="13" t="s">
        <v>158</v>
      </c>
      <c r="I43" s="13" t="s">
        <v>28</v>
      </c>
      <c r="J43" s="25">
        <v>2800</v>
      </c>
      <c r="K43" s="13">
        <v>20</v>
      </c>
      <c r="L43" s="13">
        <v>11</v>
      </c>
      <c r="M43" s="13">
        <v>1</v>
      </c>
      <c r="N43" s="13">
        <v>0</v>
      </c>
      <c r="O43" s="13">
        <v>0</v>
      </c>
      <c r="P43" s="13"/>
      <c r="Q43" s="13">
        <f t="shared" si="0"/>
        <v>31</v>
      </c>
      <c r="R43" s="25">
        <v>2800</v>
      </c>
      <c r="S43" s="24"/>
      <c r="T43" s="24">
        <v>0</v>
      </c>
      <c r="U43" s="23">
        <v>0</v>
      </c>
      <c r="V43" s="23"/>
      <c r="W43" s="24">
        <f t="shared" si="5"/>
        <v>186.66666666666666</v>
      </c>
      <c r="X43" s="24">
        <f t="shared" si="6"/>
        <v>0</v>
      </c>
      <c r="Y43" s="23">
        <v>0</v>
      </c>
      <c r="Z43" s="23"/>
      <c r="AA43" s="23"/>
      <c r="AB43" s="23"/>
      <c r="AC43" s="23"/>
      <c r="AD43" s="23">
        <v>0</v>
      </c>
      <c r="AE43" s="23"/>
      <c r="AF43" s="43">
        <f>SUM(Tabla210[[#This Row],[BASICO]]+Tabla210[[#This Row],[Horas extras 25%]]+Tabla210[[#This Row],[Horas extras 35%]]+Tabla210[[#This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2986.6666666666665</v>
      </c>
      <c r="AG43" s="14"/>
      <c r="AH43" s="27"/>
      <c r="AI43" s="27"/>
      <c r="AJ43" s="14"/>
      <c r="AK43" s="14"/>
      <c r="AL43" s="14" t="s">
        <v>9</v>
      </c>
      <c r="AM43" s="14" t="s">
        <v>24</v>
      </c>
      <c r="AN43" s="14" t="s">
        <v>140</v>
      </c>
      <c r="AO43" s="27">
        <f>Tabla210[[#This Row],[TOTAL REMUNERACIONES]]*10%</f>
        <v>298.66666666666669</v>
      </c>
      <c r="AP43" s="27">
        <v>0</v>
      </c>
      <c r="AQ43" s="27">
        <f>Tabla210[[#This Row],[TOTAL REMUNERACIONES]]*1.37%</f>
        <v>40.917333333333332</v>
      </c>
      <c r="AR43" s="14"/>
      <c r="AS43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2647.0826666666667</v>
      </c>
      <c r="AT43" s="27">
        <f t="shared" si="7"/>
        <v>268.8</v>
      </c>
      <c r="AU43" s="27">
        <f>Tabla210[[#This Row],[JORNAL]]*1.39%</f>
        <v>38.919999999999995</v>
      </c>
      <c r="AV43" s="27">
        <f>Tabla210[[#This Row],[JORNAL]]*1.27%</f>
        <v>35.559999999999995</v>
      </c>
      <c r="AW43" s="27">
        <f>Tabla210[[#This Row],[JORNAL]]*1.5%</f>
        <v>42</v>
      </c>
      <c r="AX43" s="27">
        <f>Tabla210[[#This Row],[ESSALUD 9%]]+Tabla210[[#This Row],[EPS. SCTR.]]+Tabla210[[#This Row],[SCTR PENSIONES]]+Tabla210[[#This Row],[POLIZA DE SEGURO D LEG. 688]]</f>
        <v>385.28000000000003</v>
      </c>
      <c r="AY43" s="14"/>
      <c r="AZ43" s="14"/>
      <c r="BA43" s="14">
        <f>Tabla210[[#This Row],[DIAS LABORADOS]]*8</f>
        <v>160</v>
      </c>
      <c r="BB43" s="14" t="s">
        <v>25</v>
      </c>
      <c r="BC43" s="5"/>
    </row>
    <row r="44" spans="1:55" s="32" customFormat="1" ht="12.6" customHeight="1">
      <c r="A44" s="12">
        <v>38</v>
      </c>
      <c r="B44" s="53" t="s">
        <v>139</v>
      </c>
      <c r="C44" s="13">
        <v>70861671</v>
      </c>
      <c r="D44" s="13" t="s">
        <v>26</v>
      </c>
      <c r="E44" s="13" t="s">
        <v>45</v>
      </c>
      <c r="F44" s="17">
        <v>45729</v>
      </c>
      <c r="G44" s="21">
        <v>45870</v>
      </c>
      <c r="H44" s="13" t="s">
        <v>158</v>
      </c>
      <c r="I44" s="13" t="s">
        <v>28</v>
      </c>
      <c r="J44" s="25">
        <v>1800</v>
      </c>
      <c r="K44" s="13">
        <v>24</v>
      </c>
      <c r="L44" s="13">
        <v>7</v>
      </c>
      <c r="M44" s="13">
        <v>2</v>
      </c>
      <c r="N44" s="13">
        <v>0</v>
      </c>
      <c r="O44" s="13">
        <v>0</v>
      </c>
      <c r="P44" s="13"/>
      <c r="Q44" s="13">
        <f t="shared" si="0"/>
        <v>31</v>
      </c>
      <c r="R44" s="25">
        <f t="shared" ref="R44:R49" si="11">J44/30*Q44</f>
        <v>1860</v>
      </c>
      <c r="S44" s="24">
        <v>0</v>
      </c>
      <c r="T44" s="24">
        <v>0</v>
      </c>
      <c r="U44" s="23">
        <v>0</v>
      </c>
      <c r="V44" s="23"/>
      <c r="W44" s="24">
        <f t="shared" si="5"/>
        <v>240</v>
      </c>
      <c r="X44" s="24">
        <f t="shared" si="6"/>
        <v>0</v>
      </c>
      <c r="Y44" s="23">
        <v>113</v>
      </c>
      <c r="Z44" s="23"/>
      <c r="AA44" s="23"/>
      <c r="AB44" s="23"/>
      <c r="AC44" s="23"/>
      <c r="AD44" s="23">
        <v>0</v>
      </c>
      <c r="AE44" s="23"/>
      <c r="AF44" s="27">
        <f>SUM(Tabla210[[#This Row],[BASICO]]+Tabla210[[#This Row],[Horas extras 25%]]+Tabla210[[#This Row],[Horas extras 35%]]+Tabla210[[#This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2213</v>
      </c>
      <c r="AG44" s="14" t="s">
        <v>128</v>
      </c>
      <c r="AH44" s="27">
        <f>Tabla210[[#This Row],[TOTAL REMUNERACIONES]]*13%</f>
        <v>287.69</v>
      </c>
      <c r="AI44" s="27"/>
      <c r="AJ44" s="14"/>
      <c r="AK44" s="14"/>
      <c r="AL44" s="14"/>
      <c r="AM44" s="14"/>
      <c r="AN44" s="14"/>
      <c r="AO44" s="27"/>
      <c r="AP44" s="27"/>
      <c r="AQ44" s="27"/>
      <c r="AR44" s="14"/>
      <c r="AS44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1925.31</v>
      </c>
      <c r="AT44" s="27">
        <f t="shared" si="7"/>
        <v>199.17</v>
      </c>
      <c r="AU44" s="27">
        <f>Tabla210[[#This Row],[JORNAL]]*1.39%</f>
        <v>25.02</v>
      </c>
      <c r="AV44" s="27">
        <f>Tabla210[[#This Row],[JORNAL]]*1.27%</f>
        <v>22.86</v>
      </c>
      <c r="AW44" s="27">
        <f>Tabla210[[#This Row],[JORNAL]]*1.5%</f>
        <v>27</v>
      </c>
      <c r="AX44" s="27">
        <f>Tabla210[[#This Row],[ESSALUD 9%]]+Tabla210[[#This Row],[EPS. SCTR.]]+Tabla210[[#This Row],[SCTR PENSIONES]]+Tabla210[[#This Row],[POLIZA DE SEGURO D LEG. 688]]</f>
        <v>274.05</v>
      </c>
      <c r="AY44" s="14"/>
      <c r="AZ44" s="14"/>
      <c r="BA44" s="14">
        <f>Tabla210[[#This Row],[DIAS LABORADOS]]*8</f>
        <v>192</v>
      </c>
      <c r="BB44" s="14" t="s">
        <v>25</v>
      </c>
      <c r="BC44" s="5"/>
    </row>
    <row r="45" spans="1:55" s="32" customFormat="1" ht="12.6" customHeight="1">
      <c r="A45" s="12">
        <v>39</v>
      </c>
      <c r="B45" s="42" t="s">
        <v>73</v>
      </c>
      <c r="C45" s="13">
        <v>72189378</v>
      </c>
      <c r="D45" s="13" t="s">
        <v>26</v>
      </c>
      <c r="E45" s="13" t="s">
        <v>27</v>
      </c>
      <c r="F45" s="17">
        <v>45773</v>
      </c>
      <c r="G45" s="21">
        <v>45870</v>
      </c>
      <c r="H45" s="13" t="s">
        <v>158</v>
      </c>
      <c r="I45" s="13" t="s">
        <v>28</v>
      </c>
      <c r="J45" s="25">
        <v>1800</v>
      </c>
      <c r="K45" s="13">
        <v>18</v>
      </c>
      <c r="L45" s="13">
        <v>13</v>
      </c>
      <c r="M45" s="13">
        <v>0</v>
      </c>
      <c r="N45" s="13">
        <v>0</v>
      </c>
      <c r="O45" s="13">
        <v>0</v>
      </c>
      <c r="P45" s="13"/>
      <c r="Q45" s="13">
        <f t="shared" si="0"/>
        <v>31</v>
      </c>
      <c r="R45" s="25">
        <f t="shared" si="11"/>
        <v>1860</v>
      </c>
      <c r="S45" s="24">
        <v>290</v>
      </c>
      <c r="T45" s="24"/>
      <c r="U45" s="23">
        <v>0</v>
      </c>
      <c r="V45" s="23"/>
      <c r="W45" s="24">
        <f t="shared" si="5"/>
        <v>0</v>
      </c>
      <c r="X45" s="24">
        <f t="shared" si="6"/>
        <v>0</v>
      </c>
      <c r="Y45" s="23">
        <v>113</v>
      </c>
      <c r="Z45" s="23"/>
      <c r="AA45" s="23"/>
      <c r="AB45" s="23"/>
      <c r="AC45" s="23"/>
      <c r="AD45" s="23"/>
      <c r="AE45" s="23"/>
      <c r="AF45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1973</v>
      </c>
      <c r="AG45" s="14"/>
      <c r="AH45" s="27"/>
      <c r="AI45" s="27"/>
      <c r="AJ45" s="14"/>
      <c r="AK45" s="14"/>
      <c r="AL45" s="14" t="s">
        <v>9</v>
      </c>
      <c r="AM45" s="14" t="s">
        <v>68</v>
      </c>
      <c r="AN45" s="14" t="s">
        <v>76</v>
      </c>
      <c r="AO45" s="27">
        <f>Tabla210[[#This Row],[TOTAL REMUNERACIONES]]*10%</f>
        <v>197.3</v>
      </c>
      <c r="AP45" s="27">
        <v>0</v>
      </c>
      <c r="AQ45" s="27">
        <f>Tabla210[[#This Row],[TOTAL REMUNERACIONES]]*1.37%</f>
        <v>27.030100000000001</v>
      </c>
      <c r="AR45" s="14"/>
      <c r="AS45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2038.6699000000001</v>
      </c>
      <c r="AT45" s="14">
        <f t="shared" si="7"/>
        <v>177.57</v>
      </c>
      <c r="AU45" s="27">
        <f>Tabla210[[#This Row],[TOTAL REMUNERACIONES]]*2.5%</f>
        <v>49.325000000000003</v>
      </c>
      <c r="AV45" s="27">
        <f>Tabla210[[#This Row],[TOTAL REMUNERACIONES]]*6%</f>
        <v>118.38</v>
      </c>
      <c r="AW45" s="27">
        <f>Tabla210[[#This Row],[TOTAL REMUNERACIONES]]*1.5%</f>
        <v>29.594999999999999</v>
      </c>
      <c r="AX45" s="27">
        <f>Tabla210[[#This Row],[ESSALUD 9%]]+Tabla210[[#This Row],[EPS. SCTR.]]+Tabla210[[#This Row],[SCTR PENSIONES]]+Tabla210[[#This Row],[POLIZA DE SEGURO D LEG. 688]]</f>
        <v>374.87</v>
      </c>
      <c r="AY45" s="14"/>
      <c r="AZ45" s="14"/>
      <c r="BA45" s="14">
        <f>Tabla210[[#This Row],[DIAS LABORADOS]]*12</f>
        <v>216</v>
      </c>
      <c r="BB45" s="14" t="s">
        <v>43</v>
      </c>
      <c r="BC45" s="5"/>
    </row>
    <row r="46" spans="1:55" s="32" customFormat="1" ht="12.75" customHeight="1">
      <c r="A46" s="12">
        <v>40</v>
      </c>
      <c r="B46" s="42" t="s">
        <v>149</v>
      </c>
      <c r="C46" s="13">
        <v>71926116</v>
      </c>
      <c r="D46" s="13" t="s">
        <v>26</v>
      </c>
      <c r="E46" s="13" t="s">
        <v>29</v>
      </c>
      <c r="F46" s="17">
        <v>45826</v>
      </c>
      <c r="G46" s="21">
        <v>45870</v>
      </c>
      <c r="H46" s="13" t="s">
        <v>158</v>
      </c>
      <c r="I46" s="13" t="s">
        <v>28</v>
      </c>
      <c r="J46" s="25">
        <v>2500</v>
      </c>
      <c r="K46" s="13">
        <v>24</v>
      </c>
      <c r="L46" s="13">
        <v>7</v>
      </c>
      <c r="M46" s="13">
        <v>2</v>
      </c>
      <c r="N46" s="13">
        <v>0</v>
      </c>
      <c r="O46" s="13">
        <v>0</v>
      </c>
      <c r="P46" s="13"/>
      <c r="Q46" s="13">
        <f t="shared" si="0"/>
        <v>31</v>
      </c>
      <c r="R46" s="25">
        <f t="shared" si="11"/>
        <v>2583.333333333333</v>
      </c>
      <c r="S46" s="54">
        <v>800</v>
      </c>
      <c r="T46" s="24"/>
      <c r="U46" s="23">
        <v>0</v>
      </c>
      <c r="V46" s="23"/>
      <c r="W46" s="24">
        <f t="shared" si="5"/>
        <v>333.33333333333331</v>
      </c>
      <c r="X46" s="24">
        <f t="shared" si="6"/>
        <v>0</v>
      </c>
      <c r="Y46" s="23">
        <v>113</v>
      </c>
      <c r="Z46" s="23"/>
      <c r="AA46" s="23"/>
      <c r="AB46" s="23"/>
      <c r="AC46" s="23"/>
      <c r="AD46" s="23"/>
      <c r="AE46" s="23"/>
      <c r="AF46" s="43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3029.6666666666665</v>
      </c>
      <c r="AG46" s="14"/>
      <c r="AH46" s="27"/>
      <c r="AI46" s="27"/>
      <c r="AJ46" s="14"/>
      <c r="AK46" s="14"/>
      <c r="AL46" s="14" t="s">
        <v>9</v>
      </c>
      <c r="AM46" s="14" t="s">
        <v>24</v>
      </c>
      <c r="AN46" s="14" t="s">
        <v>150</v>
      </c>
      <c r="AO46" s="27">
        <f>Tabla210[[#This Row],[TOTAL REMUNERACIONES]]*10%</f>
        <v>302.96666666666664</v>
      </c>
      <c r="AP46" s="27">
        <v>0</v>
      </c>
      <c r="AQ46" s="27">
        <f>Tabla210[[#This Row],[TOTAL REMUNERACIONES]]*1.37%</f>
        <v>41.506433333333334</v>
      </c>
      <c r="AR46" s="14"/>
      <c r="AS46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3485.1935666666664</v>
      </c>
      <c r="AT46" s="14">
        <f t="shared" si="7"/>
        <v>272.67</v>
      </c>
      <c r="AU46" s="27">
        <f>Tabla210[[#This Row],[TOTAL REMUNERACIONES]]*2.5%</f>
        <v>75.74166666666666</v>
      </c>
      <c r="AV46" s="27">
        <f>Tabla210[[#This Row],[TOTAL REMUNERACIONES]]*6%</f>
        <v>181.77999999999997</v>
      </c>
      <c r="AW46" s="27">
        <f>Tabla210[[#This Row],[TOTAL REMUNERACIONES]]*1.5%</f>
        <v>45.444999999999993</v>
      </c>
      <c r="AX46" s="27">
        <f>Tabla210[[#This Row],[ESSALUD 9%]]+Tabla210[[#This Row],[EPS. SCTR.]]+Tabla210[[#This Row],[SCTR PENSIONES]]+Tabla210[[#This Row],[POLIZA DE SEGURO D LEG. 688]]</f>
        <v>575.63666666666654</v>
      </c>
      <c r="AY46" s="14"/>
      <c r="AZ46" s="14"/>
      <c r="BA46" s="14">
        <f>Tabla210[[#This Row],[DIAS LABORADOS]]*12</f>
        <v>288</v>
      </c>
      <c r="BB46" s="14" t="s">
        <v>43</v>
      </c>
      <c r="BC46" s="5"/>
    </row>
    <row r="47" spans="1:55" s="32" customFormat="1" ht="12.75" customHeight="1">
      <c r="A47" s="12">
        <v>41</v>
      </c>
      <c r="B47" s="42" t="s">
        <v>151</v>
      </c>
      <c r="C47" s="13">
        <v>46054024</v>
      </c>
      <c r="D47" s="13" t="s">
        <v>26</v>
      </c>
      <c r="E47" s="13" t="s">
        <v>29</v>
      </c>
      <c r="F47" s="17">
        <v>45824</v>
      </c>
      <c r="G47" s="21">
        <v>45870</v>
      </c>
      <c r="H47" s="13" t="s">
        <v>158</v>
      </c>
      <c r="I47" s="17" t="s">
        <v>28</v>
      </c>
      <c r="J47" s="25">
        <v>2800</v>
      </c>
      <c r="K47" s="13">
        <v>26</v>
      </c>
      <c r="L47" s="13">
        <v>5</v>
      </c>
      <c r="M47" s="13">
        <v>0</v>
      </c>
      <c r="N47" s="13">
        <v>0</v>
      </c>
      <c r="O47" s="13">
        <v>0</v>
      </c>
      <c r="P47" s="13"/>
      <c r="Q47" s="13">
        <f t="shared" si="0"/>
        <v>31</v>
      </c>
      <c r="R47" s="25">
        <f t="shared" si="11"/>
        <v>2893.333333333333</v>
      </c>
      <c r="S47" s="24"/>
      <c r="T47" s="24"/>
      <c r="U47" s="23">
        <v>0</v>
      </c>
      <c r="V47" s="23"/>
      <c r="W47" s="24">
        <f t="shared" si="5"/>
        <v>0</v>
      </c>
      <c r="X47" s="24">
        <f t="shared" si="6"/>
        <v>0</v>
      </c>
      <c r="Y47" s="23">
        <v>113</v>
      </c>
      <c r="Z47" s="23"/>
      <c r="AA47" s="23"/>
      <c r="AB47" s="23"/>
      <c r="AC47" s="23"/>
      <c r="AD47" s="23"/>
      <c r="AE47" s="23"/>
      <c r="AF47" s="27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3006.333333333333</v>
      </c>
      <c r="AG47" s="14" t="s">
        <v>128</v>
      </c>
      <c r="AH47" s="27">
        <f>Tabla210[[#This Row],[TOTAL REMUNERACIONES]]*13%</f>
        <v>390.82333333333332</v>
      </c>
      <c r="AI47" s="27"/>
      <c r="AJ47" s="14"/>
      <c r="AK47" s="14"/>
      <c r="AL47" s="14"/>
      <c r="AM47" s="14"/>
      <c r="AN47" s="14"/>
      <c r="AO47" s="27"/>
      <c r="AP47" s="27"/>
      <c r="AQ47" s="27"/>
      <c r="AR47" s="14"/>
      <c r="AS47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2615.5099999999998</v>
      </c>
      <c r="AT47" s="14">
        <f t="shared" si="7"/>
        <v>270.56999999999994</v>
      </c>
      <c r="AU47" s="27">
        <f>Tabla210[[#This Row],[TOTAL REMUNERACIONES]]*2.5%</f>
        <v>75.158333333333331</v>
      </c>
      <c r="AV47" s="27">
        <f>Tabla210[[#This Row],[TOTAL REMUNERACIONES]]*6%</f>
        <v>180.37999999999997</v>
      </c>
      <c r="AW47" s="27">
        <f>Tabla210[[#This Row],[TOTAL REMUNERACIONES]]*1.5%</f>
        <v>45.094999999999992</v>
      </c>
      <c r="AX47" s="27">
        <f>Tabla210[[#This Row],[ESSALUD 9%]]+Tabla210[[#This Row],[EPS. SCTR.]]+Tabla210[[#This Row],[SCTR PENSIONES]]+Tabla210[[#This Row],[POLIZA DE SEGURO D LEG. 688]]</f>
        <v>571.20333333333326</v>
      </c>
      <c r="AY47" s="14"/>
      <c r="AZ47" s="14"/>
      <c r="BA47" s="14">
        <f>Tabla210[[#This Row],[DIAS LABORADOS]]*12</f>
        <v>312</v>
      </c>
      <c r="BB47" s="14" t="s">
        <v>31</v>
      </c>
      <c r="BC47" s="5"/>
    </row>
    <row r="48" spans="1:55" s="32" customFormat="1" ht="12.6" customHeight="1">
      <c r="A48" s="12">
        <v>42</v>
      </c>
      <c r="B48" s="42" t="s">
        <v>155</v>
      </c>
      <c r="C48" s="13">
        <v>73051716</v>
      </c>
      <c r="D48" s="13" t="s">
        <v>33</v>
      </c>
      <c r="E48" s="13" t="s">
        <v>156</v>
      </c>
      <c r="F48" s="17">
        <v>45862</v>
      </c>
      <c r="G48" s="21">
        <v>45870</v>
      </c>
      <c r="H48" s="13" t="s">
        <v>158</v>
      </c>
      <c r="I48" s="13" t="s">
        <v>28</v>
      </c>
      <c r="J48" s="25">
        <v>3500</v>
      </c>
      <c r="K48" s="13">
        <v>25</v>
      </c>
      <c r="L48" s="13">
        <v>6</v>
      </c>
      <c r="M48" s="13">
        <v>1</v>
      </c>
      <c r="N48" s="13">
        <v>0</v>
      </c>
      <c r="O48" s="13">
        <v>0</v>
      </c>
      <c r="P48" s="13"/>
      <c r="Q48" s="13">
        <f t="shared" si="0"/>
        <v>31</v>
      </c>
      <c r="R48" s="25">
        <v>3500</v>
      </c>
      <c r="S48" s="24"/>
      <c r="T48" s="24"/>
      <c r="U48" s="23">
        <v>0</v>
      </c>
      <c r="V48" s="23"/>
      <c r="W48" s="24">
        <f t="shared" si="5"/>
        <v>233.33333333333334</v>
      </c>
      <c r="X48" s="24">
        <f t="shared" si="6"/>
        <v>0</v>
      </c>
      <c r="Y48" s="23">
        <v>113</v>
      </c>
      <c r="Z48" s="23"/>
      <c r="AA48" s="23"/>
      <c r="AB48" s="23"/>
      <c r="AC48" s="23"/>
      <c r="AD48" s="23">
        <v>0</v>
      </c>
      <c r="AE48" s="23"/>
      <c r="AF48" s="48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3846.3333333333335</v>
      </c>
      <c r="AG48" s="14"/>
      <c r="AH48" s="27"/>
      <c r="AI48" s="27"/>
      <c r="AJ48" s="14"/>
      <c r="AK48" s="14"/>
      <c r="AL48" s="14" t="s">
        <v>9</v>
      </c>
      <c r="AM48" s="14" t="s">
        <v>49</v>
      </c>
      <c r="AN48" s="14" t="s">
        <v>157</v>
      </c>
      <c r="AO48" s="27">
        <f>Tabla210[[#This Row],[TOTAL REMUNERACIONES]]*10%</f>
        <v>384.63333333333338</v>
      </c>
      <c r="AP48" s="27">
        <v>0</v>
      </c>
      <c r="AQ48" s="27">
        <f>Tabla210[[#This Row],[TOTAL REMUNERACIONES]]*1.37%</f>
        <v>52.694766666666673</v>
      </c>
      <c r="AR48" s="14"/>
      <c r="AS48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3409.0052333333338</v>
      </c>
      <c r="AT48" s="14">
        <f t="shared" si="7"/>
        <v>346.17</v>
      </c>
      <c r="AU48" s="27">
        <f>Tabla210[[#This Row],[TOTAL REMUNERACIONES]]*2.5%</f>
        <v>96.158333333333346</v>
      </c>
      <c r="AV48" s="27">
        <f>Tabla210[[#This Row],[TOTAL REMUNERACIONES]]*6%</f>
        <v>230.78</v>
      </c>
      <c r="AW48" s="27">
        <f>Tabla210[[#This Row],[JORNAL]]*1.5%</f>
        <v>52.5</v>
      </c>
      <c r="AX48" s="27">
        <f>Tabla210[[#This Row],[ESSALUD 9%]]+Tabla210[[#This Row],[EPS. SCTR.]]+Tabla210[[#This Row],[SCTR PENSIONES]]+Tabla210[[#This Row],[POLIZA DE SEGURO D LEG. 688]]</f>
        <v>725.60833333333335</v>
      </c>
      <c r="AY48" s="14"/>
      <c r="AZ48" s="14"/>
      <c r="BA48" s="14">
        <f>Tabla210[[#This Row],[DIAS LABORADOS]]*12</f>
        <v>300</v>
      </c>
      <c r="BB48" s="14" t="s">
        <v>25</v>
      </c>
      <c r="BC48" s="5"/>
    </row>
    <row r="49" spans="1:55" s="32" customFormat="1" ht="12.75" customHeight="1">
      <c r="A49" s="12">
        <v>43</v>
      </c>
      <c r="B49" s="53" t="s">
        <v>159</v>
      </c>
      <c r="C49" s="13">
        <v>47130171</v>
      </c>
      <c r="D49" s="13" t="s">
        <v>26</v>
      </c>
      <c r="E49" s="13" t="s">
        <v>27</v>
      </c>
      <c r="F49" s="17">
        <v>45870</v>
      </c>
      <c r="G49" s="21">
        <v>45870</v>
      </c>
      <c r="H49" s="13" t="s">
        <v>158</v>
      </c>
      <c r="I49" s="13" t="s">
        <v>28</v>
      </c>
      <c r="J49" s="25">
        <v>1800</v>
      </c>
      <c r="K49" s="13">
        <v>18</v>
      </c>
      <c r="L49" s="13">
        <v>7</v>
      </c>
      <c r="M49" s="13">
        <v>2</v>
      </c>
      <c r="N49" s="13">
        <v>6</v>
      </c>
      <c r="O49" s="13">
        <v>0</v>
      </c>
      <c r="P49" s="13"/>
      <c r="Q49" s="13">
        <f t="shared" si="0"/>
        <v>25</v>
      </c>
      <c r="R49" s="25">
        <f t="shared" si="11"/>
        <v>1500</v>
      </c>
      <c r="S49" s="24"/>
      <c r="T49" s="24"/>
      <c r="U49" s="23"/>
      <c r="V49" s="23"/>
      <c r="W49" s="24">
        <f t="shared" si="5"/>
        <v>240</v>
      </c>
      <c r="X49" s="24">
        <f t="shared" si="6"/>
        <v>360</v>
      </c>
      <c r="Y49" s="23">
        <v>113</v>
      </c>
      <c r="Z49" s="23"/>
      <c r="AA49" s="23"/>
      <c r="AB49" s="23"/>
      <c r="AC49" s="23"/>
      <c r="AD49" s="23"/>
      <c r="AE49" s="23"/>
      <c r="AF49" s="48">
        <f>SUM(Tabla210[[#This Row],[BASICO]]+Tabla210[[#This Row],[Horas extras 25%]]+Tabla210[[#This Row],[Feriados2]]+Tabla210[[#This Row],[Vacaciones3]]+Tabla210[[#This Row],[Asignacion familiar, 10% sueldo minimo vital 1130]]+Tabla210[[#This Row],[Vacaciones truncas]]+Tabla210[[#This Row],[Dias libres compensables]]+Tabla210[[#This Row],[Licencia por maternidad o paternidad]]+Tabla210[[#This Row],[Licencia con goce de haber]]+Tabla210[[#This Row],[Descanso medico subsidiado]]+Tabla210[[#This Row],[Licencia por paternidad]])</f>
        <v>2213</v>
      </c>
      <c r="AG49" s="14" t="s">
        <v>128</v>
      </c>
      <c r="AH49" s="27">
        <f>Tabla210[[#This Row],[TOTAL REMUNERACIONES]]*13%</f>
        <v>287.69</v>
      </c>
      <c r="AI49" s="27"/>
      <c r="AJ49" s="14"/>
      <c r="AK49" s="14"/>
      <c r="AL49" s="14"/>
      <c r="AM49" s="14"/>
      <c r="AN49" s="14"/>
      <c r="AO49" s="27"/>
      <c r="AP49" s="27"/>
      <c r="AQ49" s="27"/>
      <c r="AR49" s="14"/>
      <c r="AS49" s="50">
        <f>Tabla210[[#This Row],[TOTAL REMUNERACIONES]]-Tabla210[[#This Row],[ONP 13%]]-Tabla210[[#This Row],[RETENCION DE 5TA CATEGORIA]]-Tabla210[[#This Row],[DSCTS]]-Tabla210[[#This Row],[ADELANTOS]]-Tabla210[[#This Row],[PENSION]]-Tabla210[[#This Row],[COMISION]]-Tabla210[[#This Row],[SEGURO]]+Tabla210[[#This Row],[movilidad]]+Tabla210[[#This Row],[Bono]]</f>
        <v>1925.31</v>
      </c>
      <c r="AT49" s="14">
        <f t="shared" si="7"/>
        <v>199.17</v>
      </c>
      <c r="AU49" s="27">
        <f>Tabla210[[#This Row],[TOTAL REMUNERACIONES]]*2.5%</f>
        <v>55.325000000000003</v>
      </c>
      <c r="AV49" s="27">
        <f>Tabla210[[#This Row],[TOTAL REMUNERACIONES]]*6%</f>
        <v>132.78</v>
      </c>
      <c r="AW49" s="27">
        <f>Tabla210[[#This Row],[JORNAL]]*1.5%</f>
        <v>27</v>
      </c>
      <c r="AX49" s="27">
        <f>Tabla210[[#This Row],[ESSALUD 9%]]+Tabla210[[#This Row],[EPS. SCTR.]]+Tabla210[[#This Row],[SCTR PENSIONES]]+Tabla210[[#This Row],[POLIZA DE SEGURO D LEG. 688]]</f>
        <v>414.27499999999998</v>
      </c>
      <c r="AY49" s="14"/>
      <c r="AZ49" s="14"/>
      <c r="BA49" s="14">
        <f>Tabla210[[#This Row],[DIAS LABORADOS]]*12</f>
        <v>216</v>
      </c>
      <c r="BB49" s="14" t="s">
        <v>25</v>
      </c>
      <c r="BC49" s="5"/>
    </row>
    <row r="50" spans="1:55" s="32" customFormat="1" ht="12.75" customHeight="1">
      <c r="A50" s="12"/>
      <c r="B50" s="28"/>
      <c r="C50" s="13"/>
      <c r="D50" s="13"/>
      <c r="E50" s="13"/>
      <c r="F50" s="17"/>
      <c r="G50" s="21"/>
      <c r="H50" s="13"/>
      <c r="I50" s="13"/>
      <c r="J50" s="25"/>
      <c r="K50" s="13"/>
      <c r="L50" s="13"/>
      <c r="M50" s="13"/>
      <c r="N50" s="13"/>
      <c r="O50" s="13"/>
      <c r="P50" s="13"/>
      <c r="Q50" s="13"/>
      <c r="R50" s="25"/>
      <c r="S50" s="24"/>
      <c r="T50" s="24"/>
      <c r="U50" s="23"/>
      <c r="V50" s="23"/>
      <c r="W50" s="24"/>
      <c r="X50" s="24"/>
      <c r="Y50" s="23"/>
      <c r="Z50" s="23"/>
      <c r="AA50" s="23"/>
      <c r="AB50" s="23"/>
      <c r="AC50" s="23"/>
      <c r="AD50" s="23"/>
      <c r="AE50" s="23"/>
      <c r="AF50" s="48"/>
      <c r="AG50" s="14"/>
      <c r="AH50" s="27"/>
      <c r="AI50" s="27"/>
      <c r="AJ50" s="14"/>
      <c r="AK50" s="14"/>
      <c r="AL50" s="14"/>
      <c r="AM50" s="14"/>
      <c r="AN50" s="14"/>
      <c r="AO50" s="27"/>
      <c r="AP50" s="27"/>
      <c r="AQ50" s="27"/>
      <c r="AR50" s="14"/>
      <c r="AS50" s="51"/>
      <c r="AT50" s="14"/>
      <c r="AU50" s="27"/>
      <c r="AV50" s="27"/>
      <c r="AW50" s="27"/>
      <c r="AX50" s="27"/>
      <c r="AY50" s="14"/>
      <c r="AZ50" s="14"/>
      <c r="BA50" s="14"/>
      <c r="BB50" s="14"/>
      <c r="BC50" s="5"/>
    </row>
    <row r="51" spans="1:55" s="32" customFormat="1" ht="12.6" customHeight="1">
      <c r="A51" s="12"/>
      <c r="B51" s="47"/>
      <c r="C51" s="13"/>
      <c r="D51" s="13"/>
      <c r="E51" s="13"/>
      <c r="F51" s="17"/>
      <c r="G51" s="21"/>
      <c r="H51" s="13"/>
      <c r="I51" s="17"/>
      <c r="J51" s="25"/>
      <c r="K51" s="13"/>
      <c r="L51" s="13"/>
      <c r="M51" s="13"/>
      <c r="N51" s="13"/>
      <c r="O51" s="13"/>
      <c r="P51" s="13"/>
      <c r="Q51" s="13"/>
      <c r="R51" s="25"/>
      <c r="S51" s="24"/>
      <c r="T51" s="24"/>
      <c r="U51" s="23"/>
      <c r="V51" s="23"/>
      <c r="W51" s="24"/>
      <c r="X51" s="24"/>
      <c r="Y51" s="23"/>
      <c r="Z51" s="23"/>
      <c r="AA51" s="23"/>
      <c r="AB51" s="23"/>
      <c r="AC51" s="23"/>
      <c r="AD51" s="23"/>
      <c r="AE51" s="23"/>
      <c r="AF51" s="27"/>
      <c r="AG51" s="14"/>
      <c r="AH51" s="27"/>
      <c r="AI51" s="27"/>
      <c r="AJ51" s="14"/>
      <c r="AK51" s="14"/>
      <c r="AL51" s="14"/>
      <c r="AM51" s="14"/>
      <c r="AN51" s="14"/>
      <c r="AO51" s="27"/>
      <c r="AP51" s="27"/>
      <c r="AQ51" s="27"/>
      <c r="AR51" s="14"/>
      <c r="AS51" s="51"/>
      <c r="AT51" s="14"/>
      <c r="AU51" s="27"/>
      <c r="AV51" s="27"/>
      <c r="AW51" s="27"/>
      <c r="AX51" s="27"/>
      <c r="AY51" s="14"/>
      <c r="AZ51" s="14"/>
      <c r="BA51" s="14"/>
      <c r="BB51" s="14"/>
      <c r="BC51" s="5"/>
    </row>
    <row r="52" spans="1:55" s="32" customFormat="1" ht="12.6" customHeight="1">
      <c r="A52" s="12"/>
      <c r="B52" s="28"/>
      <c r="C52" s="13"/>
      <c r="D52" s="13"/>
      <c r="E52" s="13"/>
      <c r="F52" s="17"/>
      <c r="G52" s="21"/>
      <c r="H52" s="13"/>
      <c r="I52" s="17"/>
      <c r="J52" s="25"/>
      <c r="K52" s="13"/>
      <c r="L52" s="13"/>
      <c r="M52" s="13"/>
      <c r="N52" s="13"/>
      <c r="O52" s="13"/>
      <c r="P52" s="13"/>
      <c r="Q52" s="13"/>
      <c r="R52" s="25"/>
      <c r="S52" s="24"/>
      <c r="T52" s="24"/>
      <c r="U52" s="23"/>
      <c r="V52" s="23"/>
      <c r="W52" s="24"/>
      <c r="X52" s="24"/>
      <c r="Y52" s="23"/>
      <c r="Z52" s="23"/>
      <c r="AA52" s="23"/>
      <c r="AB52" s="23"/>
      <c r="AC52" s="23"/>
      <c r="AD52" s="23"/>
      <c r="AE52" s="23"/>
      <c r="AF52" s="27"/>
      <c r="AG52" s="14"/>
      <c r="AH52" s="27"/>
      <c r="AI52" s="27"/>
      <c r="AJ52" s="14"/>
      <c r="AK52" s="14"/>
      <c r="AL52" s="14"/>
      <c r="AM52" s="14"/>
      <c r="AN52" s="14"/>
      <c r="AO52" s="27"/>
      <c r="AP52" s="27"/>
      <c r="AQ52" s="27"/>
      <c r="AR52" s="14"/>
      <c r="AS52" s="51"/>
      <c r="AT52" s="14"/>
      <c r="AU52" s="27"/>
      <c r="AV52" s="27"/>
      <c r="AW52" s="27"/>
      <c r="AX52" s="27"/>
      <c r="AY52" s="14"/>
      <c r="AZ52" s="14"/>
      <c r="BA52" s="14"/>
      <c r="BB52" s="14"/>
      <c r="BC52" s="5"/>
    </row>
    <row r="53" spans="1:55" s="32" customFormat="1" ht="12.6" customHeight="1">
      <c r="A53" s="12"/>
      <c r="B53" s="28"/>
      <c r="C53" s="13"/>
      <c r="D53" s="13"/>
      <c r="E53" s="13"/>
      <c r="F53" s="17"/>
      <c r="G53" s="21"/>
      <c r="H53" s="13"/>
      <c r="I53" s="13"/>
      <c r="J53" s="25"/>
      <c r="K53" s="13"/>
      <c r="L53" s="13"/>
      <c r="M53" s="13"/>
      <c r="N53" s="13"/>
      <c r="O53" s="13"/>
      <c r="P53" s="13"/>
      <c r="Q53" s="13"/>
      <c r="R53" s="25"/>
      <c r="S53" s="24"/>
      <c r="T53" s="24"/>
      <c r="U53" s="23"/>
      <c r="V53" s="23"/>
      <c r="W53" s="24"/>
      <c r="X53" s="24"/>
      <c r="Y53" s="23"/>
      <c r="Z53" s="23"/>
      <c r="AA53" s="23"/>
      <c r="AB53" s="23"/>
      <c r="AC53" s="23"/>
      <c r="AD53" s="23"/>
      <c r="AE53" s="23"/>
      <c r="AF53" s="27"/>
      <c r="AG53" s="14"/>
      <c r="AH53" s="27"/>
      <c r="AI53" s="27"/>
      <c r="AJ53" s="14"/>
      <c r="AK53" s="14"/>
      <c r="AL53" s="14"/>
      <c r="AM53" s="14"/>
      <c r="AN53" s="14"/>
      <c r="AO53" s="27"/>
      <c r="AP53" s="27"/>
      <c r="AQ53" s="27"/>
      <c r="AR53" s="14"/>
      <c r="AS53" s="27"/>
      <c r="AT53" s="27"/>
      <c r="AU53" s="27"/>
      <c r="AV53" s="27"/>
      <c r="AW53" s="27"/>
      <c r="AX53" s="27"/>
      <c r="AY53" s="14"/>
      <c r="AZ53" s="14"/>
      <c r="BA53" s="14"/>
      <c r="BB53" s="14"/>
      <c r="BC53" s="5"/>
    </row>
    <row r="54" spans="1:55" s="32" customFormat="1" ht="12.6" customHeight="1">
      <c r="A54" s="12"/>
      <c r="B54" s="28"/>
      <c r="C54" s="13"/>
      <c r="D54" s="13"/>
      <c r="E54" s="13"/>
      <c r="F54" s="17"/>
      <c r="G54" s="21"/>
      <c r="H54" s="13"/>
      <c r="I54" s="17"/>
      <c r="J54" s="25"/>
      <c r="K54" s="13"/>
      <c r="L54" s="13"/>
      <c r="M54" s="13"/>
      <c r="N54" s="13"/>
      <c r="O54" s="13"/>
      <c r="P54" s="13"/>
      <c r="Q54" s="13"/>
      <c r="R54" s="25"/>
      <c r="S54" s="24"/>
      <c r="T54" s="24"/>
      <c r="U54" s="23"/>
      <c r="V54" s="23"/>
      <c r="W54" s="24"/>
      <c r="X54" s="24"/>
      <c r="Y54" s="23"/>
      <c r="Z54" s="23"/>
      <c r="AA54" s="23"/>
      <c r="AB54" s="23"/>
      <c r="AC54" s="23"/>
      <c r="AD54" s="23">
        <v>0</v>
      </c>
      <c r="AE54" s="23"/>
      <c r="AF54" s="27"/>
      <c r="AG54" s="14"/>
      <c r="AH54" s="43"/>
      <c r="AI54" s="27"/>
      <c r="AJ54" s="14"/>
      <c r="AK54" s="14"/>
      <c r="AL54" s="14"/>
      <c r="AM54" s="14"/>
      <c r="AN54" s="14"/>
      <c r="AO54" s="27"/>
      <c r="AP54" s="27"/>
      <c r="AQ54" s="27"/>
      <c r="AR54" s="14"/>
      <c r="AS54" s="39"/>
      <c r="AT54" s="27"/>
      <c r="AU54" s="27"/>
      <c r="AV54" s="27"/>
      <c r="AW54" s="27"/>
      <c r="AX54" s="27"/>
      <c r="AY54" s="40"/>
      <c r="AZ54" s="40"/>
      <c r="BA54" s="14"/>
      <c r="BB54" s="14"/>
      <c r="BC54" s="5"/>
    </row>
    <row r="55" spans="1:55" s="32" customFormat="1" ht="12.6" customHeight="1">
      <c r="A55" s="12"/>
      <c r="B55" s="28"/>
      <c r="C55" s="13"/>
      <c r="D55" s="13"/>
      <c r="E55" s="13"/>
      <c r="F55" s="17"/>
      <c r="G55" s="21"/>
      <c r="H55" s="13"/>
      <c r="I55" s="13"/>
      <c r="J55" s="25"/>
      <c r="K55" s="13"/>
      <c r="L55" s="13"/>
      <c r="M55" s="13"/>
      <c r="N55" s="13"/>
      <c r="O55" s="13"/>
      <c r="P55" s="13"/>
      <c r="Q55" s="13"/>
      <c r="R55" s="25"/>
      <c r="S55" s="24"/>
      <c r="T55" s="24"/>
      <c r="U55" s="23"/>
      <c r="V55" s="23"/>
      <c r="W55" s="24"/>
      <c r="X55" s="24"/>
      <c r="Y55" s="23"/>
      <c r="Z55" s="23"/>
      <c r="AA55" s="23"/>
      <c r="AB55" s="23"/>
      <c r="AC55" s="23"/>
      <c r="AD55" s="23"/>
      <c r="AE55" s="23"/>
      <c r="AF55" s="27"/>
      <c r="AG55" s="14"/>
      <c r="AH55" s="27"/>
      <c r="AI55" s="27"/>
      <c r="AJ55" s="14"/>
      <c r="AK55" s="14"/>
      <c r="AL55" s="14"/>
      <c r="AM55" s="14"/>
      <c r="AN55" s="14"/>
      <c r="AO55" s="27"/>
      <c r="AP55" s="27"/>
      <c r="AQ55" s="27"/>
      <c r="AR55" s="14"/>
      <c r="AS55" s="27"/>
      <c r="AT55" s="27"/>
      <c r="AU55" s="27"/>
      <c r="AV55" s="27"/>
      <c r="AW55" s="27"/>
      <c r="AX55" s="27"/>
      <c r="AY55" s="14"/>
      <c r="AZ55" s="14"/>
      <c r="BA55" s="14"/>
      <c r="BB55" s="14"/>
      <c r="BC55" s="5"/>
    </row>
    <row r="56" spans="1:55" s="32" customFormat="1" ht="12.6" customHeight="1">
      <c r="A56" s="12"/>
      <c r="B56" s="28"/>
      <c r="C56" s="13"/>
      <c r="D56" s="13"/>
      <c r="E56" s="13"/>
      <c r="F56" s="17"/>
      <c r="G56" s="21"/>
      <c r="H56" s="13"/>
      <c r="I56" s="13"/>
      <c r="J56" s="25"/>
      <c r="K56" s="13"/>
      <c r="L56" s="13"/>
      <c r="M56" s="13"/>
      <c r="N56" s="13"/>
      <c r="O56" s="13"/>
      <c r="P56" s="13"/>
      <c r="Q56" s="13"/>
      <c r="R56" s="25"/>
      <c r="S56" s="24"/>
      <c r="T56" s="24"/>
      <c r="U56" s="23"/>
      <c r="V56" s="23"/>
      <c r="W56" s="24"/>
      <c r="X56" s="24"/>
      <c r="Y56" s="23"/>
      <c r="Z56" s="23"/>
      <c r="AA56" s="23"/>
      <c r="AB56" s="23"/>
      <c r="AC56" s="23"/>
      <c r="AD56" s="23"/>
      <c r="AE56" s="23"/>
      <c r="AF56" s="27"/>
      <c r="AG56" s="14"/>
      <c r="AH56" s="27"/>
      <c r="AI56" s="27"/>
      <c r="AJ56" s="14"/>
      <c r="AK56" s="14"/>
      <c r="AL56" s="14"/>
      <c r="AM56" s="14"/>
      <c r="AN56" s="14"/>
      <c r="AO56" s="27"/>
      <c r="AP56" s="27"/>
      <c r="AQ56" s="27"/>
      <c r="AR56" s="14"/>
      <c r="AS56" s="27"/>
      <c r="AT56" s="27"/>
      <c r="AU56" s="27"/>
      <c r="AV56" s="27"/>
      <c r="AW56" s="27"/>
      <c r="AX56" s="27"/>
      <c r="AY56" s="14"/>
      <c r="AZ56" s="14"/>
      <c r="BA56" s="14"/>
      <c r="BB56" s="14"/>
      <c r="BC56" s="5"/>
    </row>
    <row r="57" spans="1:55" s="32" customFormat="1" ht="12.6" customHeight="1">
      <c r="A57" s="12"/>
      <c r="B57" s="28"/>
      <c r="C57" s="13"/>
      <c r="D57" s="13"/>
      <c r="E57" s="13"/>
      <c r="F57" s="17"/>
      <c r="G57" s="21"/>
      <c r="H57" s="13"/>
      <c r="I57" s="13"/>
      <c r="J57" s="25"/>
      <c r="K57" s="13"/>
      <c r="L57" s="13"/>
      <c r="M57" s="13"/>
      <c r="N57" s="13"/>
      <c r="O57" s="13"/>
      <c r="P57" s="13"/>
      <c r="Q57" s="13"/>
      <c r="R57" s="25"/>
      <c r="S57" s="24"/>
      <c r="T57" s="24"/>
      <c r="U57" s="23"/>
      <c r="V57" s="23"/>
      <c r="W57" s="24"/>
      <c r="X57" s="24"/>
      <c r="Y57" s="23"/>
      <c r="Z57" s="23"/>
      <c r="AA57" s="23"/>
      <c r="AB57" s="23"/>
      <c r="AC57" s="23"/>
      <c r="AD57" s="23"/>
      <c r="AE57" s="23"/>
      <c r="AF57" s="27"/>
      <c r="AG57" s="14"/>
      <c r="AH57" s="27"/>
      <c r="AI57" s="27"/>
      <c r="AJ57" s="14"/>
      <c r="AK57" s="14"/>
      <c r="AL57" s="14"/>
      <c r="AM57" s="14"/>
      <c r="AN57" s="14"/>
      <c r="AO57" s="27"/>
      <c r="AP57" s="27"/>
      <c r="AQ57" s="27"/>
      <c r="AR57" s="14"/>
      <c r="AS57" s="27"/>
      <c r="AT57" s="27"/>
      <c r="AU57" s="27"/>
      <c r="AV57" s="27"/>
      <c r="AW57" s="27"/>
      <c r="AX57" s="27"/>
      <c r="AY57" s="14"/>
      <c r="AZ57" s="14"/>
      <c r="BA57" s="14"/>
      <c r="BB57" s="14"/>
      <c r="BC57" s="5"/>
    </row>
    <row r="58" spans="1:55" ht="13.8">
      <c r="A58" s="12"/>
      <c r="B58" s="13"/>
      <c r="C58" s="13"/>
      <c r="D58" s="13"/>
      <c r="E58" s="13"/>
      <c r="F58" s="17"/>
      <c r="G58" s="21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26">
        <f t="shared" ref="R58:AX58" si="12">SUM(R7:R57)</f>
        <v>107625</v>
      </c>
      <c r="S58" s="26">
        <f t="shared" si="12"/>
        <v>4929</v>
      </c>
      <c r="T58" s="26">
        <f t="shared" si="12"/>
        <v>0</v>
      </c>
      <c r="U58" s="26">
        <f t="shared" si="12"/>
        <v>45.83</v>
      </c>
      <c r="V58" s="26">
        <f t="shared" si="12"/>
        <v>0</v>
      </c>
      <c r="W58" s="26">
        <f t="shared" si="12"/>
        <v>6816.6666666666661</v>
      </c>
      <c r="X58" s="26">
        <f t="shared" si="12"/>
        <v>4728.333333333333</v>
      </c>
      <c r="Y58" s="26">
        <f t="shared" si="12"/>
        <v>3503</v>
      </c>
      <c r="Z58" s="26">
        <f t="shared" si="12"/>
        <v>0</v>
      </c>
      <c r="AA58" s="26">
        <f t="shared" si="12"/>
        <v>0</v>
      </c>
      <c r="AB58" s="26">
        <f t="shared" si="12"/>
        <v>0</v>
      </c>
      <c r="AC58" s="26">
        <f t="shared" si="12"/>
        <v>0</v>
      </c>
      <c r="AD58" s="26">
        <f t="shared" si="12"/>
        <v>0</v>
      </c>
      <c r="AE58" s="26">
        <f t="shared" si="12"/>
        <v>0</v>
      </c>
      <c r="AF58" s="26">
        <f t="shared" si="12"/>
        <v>122718.82999999997</v>
      </c>
      <c r="AG58" s="26">
        <f t="shared" si="12"/>
        <v>0</v>
      </c>
      <c r="AH58" s="26">
        <f t="shared" si="12"/>
        <v>8601.0378999999994</v>
      </c>
      <c r="AI58" s="26">
        <f t="shared" si="12"/>
        <v>1989.6500000000003</v>
      </c>
      <c r="AJ58" s="26">
        <f t="shared" si="12"/>
        <v>0</v>
      </c>
      <c r="AK58" s="26">
        <f t="shared" si="12"/>
        <v>0</v>
      </c>
      <c r="AL58" s="26">
        <f t="shared" si="12"/>
        <v>0</v>
      </c>
      <c r="AM58" s="26">
        <f t="shared" si="12"/>
        <v>0</v>
      </c>
      <c r="AN58" s="26">
        <f t="shared" si="12"/>
        <v>0</v>
      </c>
      <c r="AO58" s="26">
        <f t="shared" si="12"/>
        <v>5655.7000000000007</v>
      </c>
      <c r="AP58" s="26">
        <f t="shared" si="12"/>
        <v>30.736499999999996</v>
      </c>
      <c r="AQ58" s="26">
        <f t="shared" si="12"/>
        <v>774.83089999999982</v>
      </c>
      <c r="AR58" s="26">
        <f t="shared" si="12"/>
        <v>0</v>
      </c>
      <c r="AS58" s="26">
        <f>AS7+AS8+AS9+AS10+AS11+AS12+AS13+AS14+AS15+AS16+AS15+AS17+AS18+AS19+AS20+AS21+AS20+AS22+AS23+AS24+AS25+AS26+AS27+AS29+AS28+AS30+AS31+AS32+AS33+AS34+AS35+AS36+AS37+AS38+AS39+AS40+AS41+AS42+AS43+AS44+AS45+AS46+AS47+AS48+AS49</f>
        <v>115067.63469999995</v>
      </c>
      <c r="AT58" s="26">
        <f t="shared" si="12"/>
        <v>11054.254700000001</v>
      </c>
      <c r="AU58" s="26">
        <f t="shared" si="12"/>
        <v>2374.1444166666665</v>
      </c>
      <c r="AV58" s="26">
        <f t="shared" si="12"/>
        <v>6030.4118000000017</v>
      </c>
      <c r="AW58" s="26">
        <f t="shared" si="12"/>
        <v>1669.2424500000004</v>
      </c>
      <c r="AX58" s="26">
        <f t="shared" si="12"/>
        <v>21128.05336666666</v>
      </c>
      <c r="AY58" s="26">
        <f>SUM(AY7:AY53)</f>
        <v>0</v>
      </c>
      <c r="AZ58" s="26">
        <f t="shared" ref="AZ58" si="13">SUM(AZ7:AZ53)</f>
        <v>0</v>
      </c>
      <c r="BA58" s="5"/>
      <c r="BB58" s="5"/>
      <c r="BC58" s="49"/>
    </row>
    <row r="60" spans="1:55">
      <c r="L60" s="4"/>
      <c r="AQ60" s="1"/>
      <c r="AS60" s="30"/>
      <c r="AU60" s="1"/>
      <c r="AV60" s="1"/>
      <c r="AW60" s="1"/>
    </row>
    <row r="61" spans="1:55">
      <c r="D61" s="55" t="s">
        <v>132</v>
      </c>
      <c r="E61" s="55"/>
      <c r="G61" s="44"/>
    </row>
    <row r="62" spans="1:55">
      <c r="E62" s="34" t="s">
        <v>127</v>
      </c>
      <c r="F62" s="41">
        <f>AS16+AS27</f>
        <v>8475.7799999999988</v>
      </c>
      <c r="G62" s="44"/>
      <c r="H62" s="45"/>
      <c r="I62" s="38"/>
    </row>
    <row r="63" spans="1:55">
      <c r="E63" s="34" t="s">
        <v>31</v>
      </c>
      <c r="F63" s="41">
        <f>AS7+AS13+AS14+AS15+AS19+AS15+AS36+AS37+AS39+AS40+AS41+AS47</f>
        <v>27554.759466666666</v>
      </c>
      <c r="G63" s="44"/>
      <c r="H63" s="45"/>
      <c r="I63" s="38"/>
      <c r="J63" s="45"/>
      <c r="K63" s="38"/>
    </row>
    <row r="64" spans="1:55">
      <c r="E64" s="34" t="s">
        <v>43</v>
      </c>
      <c r="F64" s="41">
        <f>AS8+AS9+AS12+AS17+AS18+AS20+AS22+AS20+AS23+AS24+AS26+AS29+AS30+AS33+AS34+AS35+AS38+AS42+AS45+AS46</f>
        <v>52561.964799999994</v>
      </c>
      <c r="G64" s="38"/>
      <c r="I64" s="38"/>
    </row>
    <row r="65" spans="5:10">
      <c r="E65" s="34" t="s">
        <v>25</v>
      </c>
      <c r="F65" s="41">
        <f>AS10+AS11+AS21+AS25+AS28+AS31+AS32+AS43+AS44+AS48+AS49</f>
        <v>26475.130433333332</v>
      </c>
      <c r="G65" s="2"/>
      <c r="H65" s="38"/>
    </row>
    <row r="66" spans="5:10">
      <c r="F66" s="37">
        <f>SUM(F62:F65)</f>
        <v>115067.6347</v>
      </c>
      <c r="G66" s="38"/>
      <c r="I66" s="38"/>
      <c r="J66" s="38"/>
    </row>
    <row r="67" spans="5:10">
      <c r="G67" s="2"/>
    </row>
    <row r="68" spans="5:10">
      <c r="E68" s="33"/>
      <c r="I68" s="35"/>
      <c r="J68" s="36"/>
    </row>
    <row r="416" spans="4:4">
      <c r="D416" s="2">
        <v>0</v>
      </c>
    </row>
  </sheetData>
  <mergeCells count="7">
    <mergeCell ref="AT5:AW5"/>
    <mergeCell ref="AX5:AZ5"/>
    <mergeCell ref="D61:E61"/>
    <mergeCell ref="C3:AQ3"/>
    <mergeCell ref="B5:I5"/>
    <mergeCell ref="S5:AF5"/>
    <mergeCell ref="AH5:AS5"/>
  </mergeCells>
  <conditionalFormatting sqref="B7:B57">
    <cfRule type="duplicateValues" dxfId="8" priority="9"/>
  </conditionalFormatting>
  <conditionalFormatting sqref="C1:C2 C4 E3 C6:C1048576">
    <cfRule type="duplicateValues" dxfId="7" priority="8"/>
  </conditionalFormatting>
  <conditionalFormatting sqref="C7">
    <cfRule type="duplicateValues" dxfId="6" priority="7"/>
  </conditionalFormatting>
  <conditionalFormatting sqref="C13">
    <cfRule type="duplicateValues" dxfId="5" priority="6"/>
  </conditionalFormatting>
  <conditionalFormatting sqref="C23">
    <cfRule type="duplicateValues" dxfId="4" priority="1"/>
  </conditionalFormatting>
  <conditionalFormatting sqref="AI64 AN59:AN63 AN68:AN72 AK65:AK67 AN81:AN1048576 AM73:AM80 AN14:AN17 AN1:AN2 AN4 AP3 AN8:AN11 AN20:AN57">
    <cfRule type="duplicateValues" dxfId="3" priority="5"/>
  </conditionalFormatting>
  <conditionalFormatting sqref="AN7">
    <cfRule type="duplicateValues" dxfId="2" priority="4"/>
  </conditionalFormatting>
  <conditionalFormatting sqref="AN12">
    <cfRule type="duplicateValues" dxfId="1" priority="3"/>
  </conditionalFormatting>
  <conditionalFormatting sqref="AN18:AN19">
    <cfRule type="duplicateValues" dxfId="0" priority="2"/>
  </conditionalFormatting>
  <pageMargins left="0.7" right="0.7" top="0.75" bottom="0.75" header="0.3" footer="0.3"/>
  <drawing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jhoseph  paucar prado</dc:creator>
  <cp:lastModifiedBy>escorpion chungar</cp:lastModifiedBy>
  <cp:lastPrinted>2025-03-10T03:22:00Z</cp:lastPrinted>
  <dcterms:created xsi:type="dcterms:W3CDTF">2024-04-30T21:27:54Z</dcterms:created>
  <dcterms:modified xsi:type="dcterms:W3CDTF">2025-08-29T20:36:14Z</dcterms:modified>
</cp:coreProperties>
</file>